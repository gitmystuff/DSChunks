
<file path=[Content_Types].xml><?xml version="1.0" encoding="utf-8"?>
<Types xmlns="http://schemas.openxmlformats.org/package/2006/content-types">
  <Default Extension="bin" ContentType="application/vnd.openxmlformats-officedocument.oleObject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cliff\Downloads\"/>
    </mc:Choice>
  </mc:AlternateContent>
  <xr:revisionPtr revIDLastSave="0" documentId="13_ncr:1_{8D3A30ED-9872-4213-AA0A-32D30551EAE1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One Way" sheetId="1" r:id="rId1"/>
    <sheet name="One Way Summary" sheetId="2" r:id="rId2"/>
    <sheet name="Two Way" sheetId="3" r:id="rId3"/>
    <sheet name="Two Way Summary" sheetId="4" r:id="rId4"/>
    <sheet name="With Replication" sheetId="5" r:id="rId5"/>
    <sheet name="Summary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eqx1gxAn55YPg98cPEPyKzjmFgWj6Z1mu5Y7Azx8VBY="/>
    </ext>
  </extLst>
</workbook>
</file>

<file path=xl/calcChain.xml><?xml version="1.0" encoding="utf-8"?>
<calcChain xmlns="http://schemas.openxmlformats.org/spreadsheetml/2006/main">
  <c r="O35" i="8" l="1"/>
  <c r="J7" i="8" a="1"/>
  <c r="J7" i="8" s="1"/>
  <c r="J6" i="8" a="1"/>
  <c r="J6" i="8" s="1"/>
  <c r="J5" i="8" a="1"/>
  <c r="J5" i="8" s="1"/>
  <c r="I21" i="3" l="1"/>
  <c r="Q15" i="3"/>
  <c r="T13" i="3"/>
  <c r="T12" i="3"/>
  <c r="Q10" i="3"/>
  <c r="T8" i="3"/>
  <c r="D8" i="3"/>
  <c r="C8" i="3"/>
  <c r="E7" i="3"/>
  <c r="E6" i="3"/>
  <c r="E5" i="3"/>
  <c r="E31" i="1"/>
  <c r="E27" i="1"/>
  <c r="I25" i="1"/>
  <c r="E23" i="1"/>
  <c r="I19" i="1"/>
  <c r="E15" i="1"/>
  <c r="E32" i="1" s="1"/>
  <c r="D15" i="1"/>
  <c r="D32" i="1" s="1"/>
  <c r="C15" i="1"/>
  <c r="C25" i="1" s="1"/>
  <c r="P8" i="1"/>
  <c r="P5" i="1"/>
  <c r="I8" i="3" l="1"/>
  <c r="C29" i="1"/>
  <c r="C24" i="1"/>
  <c r="E25" i="1"/>
  <c r="D29" i="1"/>
  <c r="C26" i="1"/>
  <c r="D26" i="1"/>
  <c r="D30" i="1"/>
  <c r="D25" i="1"/>
  <c r="E29" i="1"/>
  <c r="C30" i="1"/>
  <c r="C23" i="1"/>
  <c r="E26" i="1"/>
  <c r="E33" i="1" s="1"/>
  <c r="E30" i="1"/>
  <c r="D23" i="1"/>
  <c r="C27" i="1"/>
  <c r="C31" i="1"/>
  <c r="D27" i="1"/>
  <c r="D31" i="1"/>
  <c r="D24" i="1"/>
  <c r="C28" i="1"/>
  <c r="C32" i="1"/>
  <c r="F15" i="1"/>
  <c r="I15" i="1" s="1"/>
  <c r="E24" i="1"/>
  <c r="D28" i="1"/>
  <c r="E8" i="3"/>
  <c r="E28" i="1"/>
  <c r="C33" i="1" l="1"/>
  <c r="F33" i="1" s="1"/>
  <c r="P7" i="1" s="1"/>
  <c r="R7" i="1" s="1"/>
  <c r="H15" i="1"/>
  <c r="K15" i="1" s="1"/>
  <c r="L15" i="1" s="1"/>
  <c r="P4" i="1" s="1"/>
  <c r="R5" i="1" s="1"/>
  <c r="D33" i="1"/>
  <c r="J15" i="1"/>
  <c r="K11" i="3"/>
  <c r="J16" i="3"/>
  <c r="J11" i="3"/>
  <c r="I16" i="3"/>
  <c r="I11" i="3"/>
  <c r="J15" i="3"/>
  <c r="I15" i="3"/>
  <c r="J8" i="3"/>
  <c r="L8" i="3" s="1"/>
  <c r="M8" i="3" s="1"/>
  <c r="T7" i="3" s="1"/>
  <c r="U10" i="3" s="1"/>
  <c r="J14" i="3"/>
  <c r="I14" i="3"/>
  <c r="I17" i="3" s="1"/>
  <c r="L11" i="3" l="1"/>
  <c r="M11" i="3" s="1"/>
  <c r="T6" i="1"/>
  <c r="J17" i="3"/>
  <c r="K17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<sst xmlns="http://schemas.openxmlformats.org/spreadsheetml/2006/main" count="180" uniqueCount="106">
  <si>
    <t>Shout out to Jose Portilla from Perian Data</t>
  </si>
  <si>
    <t>SUMS OF SQUARES GROUPS/dfgroups (NUMERATOR)</t>
  </si>
  <si>
    <t>Group1</t>
  </si>
  <si>
    <t>Group2</t>
  </si>
  <si>
    <t>Group3</t>
  </si>
  <si>
    <t>SSG</t>
  </si>
  <si>
    <t>dfgroups</t>
  </si>
  <si>
    <t>SSE</t>
  </si>
  <si>
    <t>dferror</t>
  </si>
  <si>
    <t>SUM OF SQUARES GROUP</t>
  </si>
  <si>
    <t>SUM</t>
  </si>
  <si>
    <t>* Items in Group</t>
  </si>
  <si>
    <t>Col Means</t>
  </si>
  <si>
    <t>Tot Mean</t>
  </si>
  <si>
    <t>DEGREES OF FREEDOM GROUPS</t>
  </si>
  <si>
    <t>Sum of Squares Groups (SSG) variance between groups</t>
  </si>
  <si>
    <t>ngroups - 1</t>
  </si>
  <si>
    <t>Sum of Squares Errors (SSE) variance within groups</t>
  </si>
  <si>
    <t>SUMS OF SQUARES ERROR/dferror (DENOMINATOR)</t>
  </si>
  <si>
    <t>DEGREES OF FREEDOM ERROR</t>
  </si>
  <si>
    <t>(nrows - 1) * ngroups</t>
  </si>
  <si>
    <t>9 * 3</t>
  </si>
  <si>
    <t>Resources:</t>
  </si>
  <si>
    <t>https://www.statology.org/one-way-anova/</t>
  </si>
  <si>
    <t>https://www.itl.nist.gov/div898/handbook/ppc/section2/ppc231.htm</t>
  </si>
  <si>
    <t>Col Sums</t>
  </si>
  <si>
    <t>https://en.wikipedia.org/wiki/One-way_analysis_of_variance</t>
  </si>
  <si>
    <t>Tot Sum</t>
  </si>
  <si>
    <t>https://courses.pieriandata.com/</t>
  </si>
  <si>
    <t>Anova: Single Factor</t>
  </si>
  <si>
    <t>SUMMARY</t>
  </si>
  <si>
    <t>Groups</t>
  </si>
  <si>
    <t>Count</t>
  </si>
  <si>
    <t>Sum</t>
  </si>
  <si>
    <t>Average</t>
  </si>
  <si>
    <t>Variance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</si>
  <si>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</si>
  <si>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</si>
  <si>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</si>
  <si>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</si>
  <si>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</si>
  <si>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</si>
  <si>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</si>
  <si>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</si>
  <si>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</si>
  <si>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</si>
  <si>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Total</t>
  </si>
  <si>
    <t>Sum of Blocks (SSB) between blocks</t>
  </si>
  <si>
    <t>Block</t>
  </si>
  <si>
    <t>Row Means</t>
  </si>
  <si>
    <t>Sum of Groups (SSG) between groups</t>
  </si>
  <si>
    <t>Block1</t>
  </si>
  <si>
    <t>Sum of Errors (SSE) within groups</t>
  </si>
  <si>
    <t>Block2</t>
  </si>
  <si>
    <t>Block3</t>
  </si>
  <si>
    <t>SUM OF SQUARES GROUPS</t>
  </si>
  <si>
    <t>DFGROUPS</t>
  </si>
  <si>
    <t>Mean Total</t>
  </si>
  <si>
    <t>SUM OF SQUARE BLOCKS</t>
  </si>
  <si>
    <t>* Items in Block</t>
  </si>
  <si>
    <t>SUM OF SQUARES TOTAL</t>
  </si>
  <si>
    <t>DFERRORS</t>
  </si>
  <si>
    <t>(nblocks - 1)(ngroups-1)</t>
  </si>
  <si>
    <t>No need to multipy since every item is represented</t>
  </si>
  <si>
    <t>SUM OF SQUARES ERROR</t>
  </si>
  <si>
    <t>SSE = SST - SSG - SSB</t>
  </si>
  <si>
    <t>Anova: Two-Factor Without Replication</t>
  </si>
  <si>
    <t>Rows</t>
  </si>
  <si>
    <t>Columns</t>
  </si>
  <si>
    <t>Error</t>
  </si>
  <si>
    <t>https://www.real-statistics.com/two-way-anova/two-factor-anova-with-replication/</t>
  </si>
  <si>
    <t>Anova: Two-Factor With Replication</t>
  </si>
  <si>
    <t>Sample</t>
  </si>
  <si>
    <t>Interaction</t>
  </si>
  <si>
    <t>Within</t>
  </si>
  <si>
    <t>A</t>
  </si>
  <si>
    <t>B</t>
  </si>
  <si>
    <t>C</t>
  </si>
  <si>
    <t>Warm</t>
  </si>
  <si>
    <t>Cold</t>
  </si>
  <si>
    <t>Sanple Means</t>
  </si>
  <si>
    <t>Column Means</t>
  </si>
  <si>
    <t>Block Means</t>
  </si>
  <si>
    <t>16 (E7)</t>
  </si>
  <si>
    <t>14 (E13)</t>
  </si>
  <si>
    <t>Overall Mean</t>
  </si>
  <si>
    <t>SSB 9 items per block</t>
  </si>
  <si>
    <t>(15-15)^2 + (16-15)^2 + (14-15)^2 = 2 * 5 items per column = 12</t>
  </si>
  <si>
    <t xml:space="preserve">SSC </t>
  </si>
  <si>
    <t>df Columns</t>
  </si>
  <si>
    <t>SSI</t>
  </si>
  <si>
    <t>(13-16-15+15)^2</t>
  </si>
  <si>
    <t>(19-16-16+15)^2</t>
  </si>
  <si>
    <t>(16-16-14+15)^2</t>
  </si>
  <si>
    <t>(17-14-15+15)^2</t>
  </si>
  <si>
    <t>(13-14-16+15)^2</t>
  </si>
  <si>
    <t>(12-14-14+15)^2</t>
  </si>
  <si>
    <t>* 3 items per sample = 84</t>
  </si>
  <si>
    <t>SST</t>
  </si>
  <si>
    <t xml:space="preserve">SSE </t>
  </si>
  <si>
    <t>164 - 18 - 12 - 84 = 50</t>
  </si>
  <si>
    <t>df error</t>
  </si>
  <si>
    <t>2 * 3 * (3 - 1) = 12</t>
  </si>
  <si>
    <t>SSC</t>
  </si>
  <si>
    <t>df columns</t>
  </si>
  <si>
    <t>SUM(each sample - total mean)^2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</si>
</sst>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</font>
    <font>
      <b/>
      <sz val="11"/>
      <color theme="1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i/>
      <sz val="11"/>
      <color theme="1"/>
      <name val="Calibri"/>
    </font>
    <font>
      <i/>
      <sz val="11"/>
      <color theme="1"/>
      <name val="Calibri"/>
      <family val="2"/>
      <scheme val="minor"/>
    </font>
    <font>
      <sz val="11"/>
      <color rgb="FF1B1C1D"/>
      <name val="Arial"/>
      <family val="2"/>
    </font>
    <font>
      <b/>
      <sz val="11"/>
      <color rgb="FF1B1C1D"/>
      <name val="Arial"/>
      <family val="2"/>
    </font>
    <font>
      <i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5E0B3"/>
        <bgColor rgb="FFC5E0B3"/>
      </patternFill>
    </fill>
    <fill>
      <patternFill patternType="solid">
        <fgColor rgb="FFD8D8D8"/>
        <bgColor rgb="FFD8D8D8"/>
      </patternFill>
    </fill>
    <fill>
      <patternFill patternType="solid">
        <fgColor rgb="FF548135"/>
        <bgColor rgb="FF548135"/>
      </patternFill>
    </fill>
    <fill>
      <patternFill patternType="solid">
        <fgColor theme="0"/>
        <bgColor theme="0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indexed="18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2" xfId="0" applyFont="1" applyBorder="1"/>
    <xf numFmtId="0" fontId="5" fillId="0" borderId="0" xfId="0" applyFont="1"/>
    <xf numFmtId="0" fontId="3" fillId="2" borderId="1" xfId="0" applyFont="1" applyFill="1" applyBorder="1"/>
    <xf numFmtId="0" fontId="4" fillId="2" borderId="1" xfId="0" applyFont="1" applyFill="1" applyBorder="1"/>
    <xf numFmtId="0" fontId="4" fillId="3" borderId="1" xfId="0" applyFont="1" applyFill="1" applyBorder="1"/>
    <xf numFmtId="0" fontId="4" fillId="2" borderId="3" xfId="0" applyFont="1" applyFill="1" applyBorder="1"/>
    <xf numFmtId="0" fontId="4" fillId="0" borderId="0" xfId="0" applyFont="1"/>
    <xf numFmtId="0" fontId="6" fillId="0" borderId="4" xfId="0" applyFont="1" applyBorder="1" applyAlignment="1">
      <alignment horizontal="center"/>
    </xf>
    <xf numFmtId="0" fontId="4" fillId="0" borderId="5" xfId="0" applyFont="1" applyBorder="1"/>
    <xf numFmtId="0" fontId="4" fillId="0" borderId="6" xfId="0" applyFont="1" applyBorder="1"/>
    <xf numFmtId="0" fontId="3" fillId="4" borderId="1" xfId="0" applyFont="1" applyFill="1" applyBorder="1"/>
    <xf numFmtId="0" fontId="3" fillId="0" borderId="2" xfId="0" applyFont="1" applyBorder="1"/>
    <xf numFmtId="0" fontId="4" fillId="2" borderId="7" xfId="0" applyFont="1" applyFill="1" applyBorder="1"/>
    <xf numFmtId="0" fontId="4" fillId="2" borderId="8" xfId="0" applyFont="1" applyFill="1" applyBorder="1"/>
    <xf numFmtId="0" fontId="4" fillId="5" borderId="1" xfId="0" applyFont="1" applyFill="1" applyBorder="1"/>
    <xf numFmtId="1" fontId="4" fillId="0" borderId="0" xfId="0" applyNumberFormat="1" applyFont="1"/>
    <xf numFmtId="0" fontId="4" fillId="0" borderId="0" xfId="0" applyFont="1" applyAlignment="1">
      <alignment horizontal="center"/>
    </xf>
    <xf numFmtId="0" fontId="0" fillId="0" borderId="0" xfId="0"/>
    <xf numFmtId="0" fontId="0" fillId="0" borderId="3" xfId="0" applyFill="1" applyBorder="1" applyAlignment="1"/>
    <xf numFmtId="0" fontId="0" fillId="0" borderId="9" xfId="0" applyFill="1" applyBorder="1" applyAlignment="1"/>
    <xf numFmtId="0" fontId="7" fillId="0" borderId="10" xfId="0" applyFont="1" applyFill="1" applyBorder="1" applyAlignment="1">
      <alignment horizontal="center"/>
    </xf>
    <xf numFmtId="0" fontId="9" fillId="0" borderId="11" xfId="0" applyFont="1" applyBorder="1" applyAlignment="1">
      <alignment horizontal="left" vertical="center" wrapText="1" indent="1" readingOrder="1"/>
    </xf>
    <xf numFmtId="0" fontId="8" fillId="0" borderId="11" xfId="0" applyFont="1" applyBorder="1" applyAlignment="1">
      <alignment horizontal="left" vertical="center" wrapText="1" indent="1" readingOrder="1"/>
    </xf>
    <xf numFmtId="0" fontId="10" fillId="0" borderId="12" xfId="0" applyFont="1" applyFill="1" applyBorder="1" applyAlignment="1">
      <alignment horizontal="right"/>
    </xf>
    <xf numFmtId="0" fontId="1" fillId="0" borderId="0" xfId="0" applyFont="1"/>
  </cellXfs>
  <cellStyles count="1">
    <cellStyle name="Normal" xfId="0" builtinId="0"/>
  </cellStyles>
  <dxfs count="10">
    <dxf>
      <fill>
        <patternFill patternType="solid">
          <fgColor rgb="FFB4C6E7"/>
          <bgColor rgb="FFB4C6E7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1"/>
          <bgColor theme="1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1"/>
          <bgColor theme="1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1"/>
          <bgColor theme="1"/>
        </patternFill>
      </fill>
    </dxf>
  </dxfs>
  <tableStyles count="3">
    <tableStyle name="One Way-style" pivot="0" count="3" xr9:uid="{00000000-0011-0000-FFFF-FFFF00000000}">
      <tableStyleElement type="headerRow" dxfId="9"/>
      <tableStyleElement type="firstRowStripe" dxfId="8"/>
      <tableStyleElement type="secondRowStripe" dxfId="7"/>
    </tableStyle>
    <tableStyle name="One Way-style 2" pivot="0" count="4" xr9:uid="{00000000-0011-0000-FFFF-FFFF01000000}">
      <tableStyleElement type="headerRow" dxfId="6"/>
      <tableStyleElement type="totalRow" dxfId="5"/>
      <tableStyleElement type="firstRowStripe" dxfId="4"/>
      <tableStyleElement type="secondRowStripe" dxfId="3"/>
    </tableStyle>
    <tableStyle name="Two Way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Relationship Id="rId14" Type="http://schemas.openxmlformats.org/officeDocument/2006/relationships/calcChain" Target="calcChain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15240</xdr:colOff>
          <xdr:row>3</xdr:row>
          <xdr:rowOff>0</xdr:rowOff>
        </xdr:from>
        <xdr:to>
          <xdr:col>13</xdr:col>
          <xdr:colOff>381000</xdr:colOff>
          <xdr:row>12</xdr:row>
          <xdr:rowOff>30480</xdr:rowOff>
        </xdr:to>
        <xdr:sp macro="" textlink="">
          <xdr:nvSpPr>
            <xdr:cNvPr id="1025" name="Object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22860</xdr:colOff>
          <xdr:row>10</xdr:row>
          <xdr:rowOff>7620</xdr:rowOff>
        </xdr:from>
        <xdr:to>
          <xdr:col>5</xdr:col>
          <xdr:colOff>815340</xdr:colOff>
          <xdr:row>22</xdr:row>
          <xdr:rowOff>129540</xdr:rowOff>
        </xdr:to>
        <xdr:sp macro="" textlink="">
          <xdr:nvSpPr>
            <xdr:cNvPr id="2050" name="Object 2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00000000-0008-0000-02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C4:E14">
  <tableColumns count="3">
    <tableColumn id="1" xr3:uid="{00000000-0010-0000-0000-000001000000}" name="Group1"/>
    <tableColumn id="2" xr3:uid="{00000000-0010-0000-0000-000002000000}" name="Group2"/>
    <tableColumn id="3" xr3:uid="{00000000-0010-0000-0000-000003000000}" name="Group3"/>
  </tableColumns>
  <tableStyleInfo name="One Way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C22:E33" totalsRowCount="1">
  <tableColumns count="3">
    <tableColumn id="1" xr3:uid="{00000000-0010-0000-0100-000001000000}" name="Group1" totalsRowFunction="custom">
      <totalsRowFormula>SUBTOTAL(109,'One Way'!$C$23:$C$32)</totalsRowFormula>
    </tableColumn>
    <tableColumn id="2" xr3:uid="{00000000-0010-0000-0100-000002000000}" name="Group2" totalsRowFunction="custom">
      <totalsRowFormula>SUBTOTAL(109,'One Way'!$D$23:$D$32)</totalsRowFormula>
    </tableColumn>
    <tableColumn id="3" xr3:uid="{00000000-0010-0000-0100-000003000000}" name="Group3" totalsRowFunction="custom">
      <totalsRowFormula>SUBTOTAL(109,'One Way'!$E$23:$E$32)</totalsRowFormula>
    </tableColumn>
  </tableColumns>
  <tableStyleInfo name="One Way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4:E8">
  <tableColumns count="4">
    <tableColumn id="1" xr3:uid="{00000000-0010-0000-0200-000001000000}" name="Block"/>
    <tableColumn id="2" xr3:uid="{00000000-0010-0000-0200-000002000000}" name="Group1"/>
    <tableColumn id="3" xr3:uid="{00000000-0010-0000-0200-000003000000}" name="Group2"/>
    <tableColumn id="4" xr3:uid="{00000000-0010-0000-0200-000004000000}" name="Row Means"/>
  </tableColumns>
  <tableStyleInfo name="Two Way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table" Target="../tables/table2.xml"/><Relationship Id="rId5" Type="http://schemas.openxmlformats.org/officeDocument/2006/relationships/table" Target="../tables/table1.xml"/><Relationship Id="rId4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2.bin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5" Type="http://schemas.openxmlformats.org/officeDocument/2006/relationships/table" Target="../tables/table3.xml"/><Relationship Id="rId4" Type="http://schemas.openxmlformats.org/officeDocument/2006/relationships/image" Target="../media/image2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000"/>
  <sheetViews>
    <sheetView workbookViewId="0">
      <selection activeCell="E5" sqref="E5:E14"/>
    </sheetView>
  </sheetViews>
  <sheetFormatPr defaultColWidth="14.44140625" defaultRowHeight="15" customHeight="1" x14ac:dyDescent="0.3"/>
  <cols>
    <col min="1" max="1" width="8.88671875" customWidth="1"/>
    <col min="2" max="2" width="11.33203125" customWidth="1"/>
    <col min="3" max="5" width="9.109375" customWidth="1"/>
    <col min="6" max="6" width="8.6640625" customWidth="1"/>
    <col min="7" max="7" width="15.44140625" customWidth="1"/>
    <col min="8" max="26" width="8.6640625" customWidth="1"/>
  </cols>
  <sheetData>
    <row r="1" spans="1:20" ht="14.25" customHeight="1" x14ac:dyDescent="0.3">
      <c r="A1" s="1" t="s">
        <v>0</v>
      </c>
    </row>
    <row r="2" spans="1:20" ht="14.25" customHeight="1" x14ac:dyDescent="0.3"/>
    <row r="3" spans="1:20" ht="14.25" customHeight="1" x14ac:dyDescent="0.3">
      <c r="C3" s="2" t="s">
        <v>1</v>
      </c>
    </row>
    <row r="4" spans="1:20" ht="14.25" customHeight="1" x14ac:dyDescent="0.3">
      <c r="C4" s="3" t="s">
        <v>2</v>
      </c>
      <c r="D4" s="3" t="s">
        <v>3</v>
      </c>
      <c r="E4" s="3" t="s">
        <v>4</v>
      </c>
      <c r="O4" s="4" t="s">
        <v>5</v>
      </c>
      <c r="P4" s="5">
        <f>L15</f>
        <v>420</v>
      </c>
    </row>
    <row r="5" spans="1:20" ht="14.25" customHeight="1" x14ac:dyDescent="0.3">
      <c r="C5" s="3">
        <v>38</v>
      </c>
      <c r="D5" s="3">
        <v>63</v>
      </c>
      <c r="E5" s="3">
        <v>51</v>
      </c>
      <c r="O5" s="5" t="s">
        <v>6</v>
      </c>
      <c r="P5" s="5">
        <f>I19</f>
        <v>2</v>
      </c>
      <c r="R5" s="5">
        <f>P4/P5</f>
        <v>210</v>
      </c>
    </row>
    <row r="6" spans="1:20" ht="14.25" customHeight="1" x14ac:dyDescent="0.3">
      <c r="C6" s="3">
        <v>59</v>
      </c>
      <c r="D6" s="3">
        <v>26</v>
      </c>
      <c r="E6" s="3">
        <v>62</v>
      </c>
      <c r="T6" s="5">
        <f>R5/R7</f>
        <v>1.6824925816023739</v>
      </c>
    </row>
    <row r="7" spans="1:20" ht="14.25" customHeight="1" x14ac:dyDescent="0.3">
      <c r="C7" s="3">
        <v>53</v>
      </c>
      <c r="D7" s="3">
        <v>70</v>
      </c>
      <c r="E7" s="3">
        <v>59</v>
      </c>
      <c r="O7" s="4" t="s">
        <v>7</v>
      </c>
      <c r="P7" s="5">
        <f>F33</f>
        <v>3370</v>
      </c>
      <c r="R7" s="5">
        <f>P7/P8</f>
        <v>124.81481481481481</v>
      </c>
    </row>
    <row r="8" spans="1:20" ht="14.25" customHeight="1" x14ac:dyDescent="0.3">
      <c r="C8" s="3">
        <v>42</v>
      </c>
      <c r="D8" s="3">
        <v>63</v>
      </c>
      <c r="E8" s="3">
        <v>53</v>
      </c>
      <c r="O8" s="5" t="s">
        <v>8</v>
      </c>
      <c r="P8" s="5">
        <f>I25</f>
        <v>27</v>
      </c>
    </row>
    <row r="9" spans="1:20" ht="14.25" customHeight="1" x14ac:dyDescent="0.3">
      <c r="C9" s="3">
        <v>39</v>
      </c>
      <c r="D9" s="3">
        <v>44</v>
      </c>
      <c r="E9" s="3">
        <v>50</v>
      </c>
    </row>
    <row r="10" spans="1:20" ht="14.25" customHeight="1" x14ac:dyDescent="0.3">
      <c r="C10" s="3">
        <v>53</v>
      </c>
      <c r="D10" s="3">
        <v>53</v>
      </c>
      <c r="E10" s="3">
        <v>51</v>
      </c>
    </row>
    <row r="11" spans="1:20" ht="14.25" customHeight="1" x14ac:dyDescent="0.3">
      <c r="C11" s="3">
        <v>54</v>
      </c>
      <c r="D11" s="3">
        <v>45</v>
      </c>
      <c r="E11" s="3">
        <v>54</v>
      </c>
    </row>
    <row r="12" spans="1:20" ht="14.25" customHeight="1" x14ac:dyDescent="0.3">
      <c r="C12" s="3">
        <v>38</v>
      </c>
      <c r="D12" s="3">
        <v>30</v>
      </c>
      <c r="E12" s="3">
        <v>42</v>
      </c>
    </row>
    <row r="13" spans="1:20" ht="14.25" customHeight="1" x14ac:dyDescent="0.3">
      <c r="C13" s="3">
        <v>40</v>
      </c>
      <c r="D13" s="3">
        <v>50</v>
      </c>
      <c r="E13" s="3">
        <v>66</v>
      </c>
    </row>
    <row r="14" spans="1:20" ht="14.25" customHeight="1" x14ac:dyDescent="0.3">
      <c r="C14" s="3">
        <v>24</v>
      </c>
      <c r="D14" s="3">
        <v>56</v>
      </c>
      <c r="E14" s="3">
        <v>42</v>
      </c>
      <c r="H14" s="2" t="s">
        <v>9</v>
      </c>
      <c r="K14" s="5" t="s">
        <v>10</v>
      </c>
      <c r="L14" s="5" t="s">
        <v>11</v>
      </c>
    </row>
    <row r="15" spans="1:20" ht="14.25" customHeight="1" x14ac:dyDescent="0.3">
      <c r="B15" s="6" t="s">
        <v>12</v>
      </c>
      <c r="C15" s="7">
        <f t="shared" ref="C15:E15" si="0">AVERAGE(C5:C14)</f>
        <v>44</v>
      </c>
      <c r="D15" s="7">
        <f t="shared" si="0"/>
        <v>50</v>
      </c>
      <c r="E15" s="7">
        <f t="shared" si="0"/>
        <v>53</v>
      </c>
      <c r="F15" s="7">
        <f>AVERAGE(C15:E15)</f>
        <v>49</v>
      </c>
      <c r="H15" s="8">
        <f t="shared" ref="H15:J15" si="1">POWER(C15-$F$15, 2)</f>
        <v>25</v>
      </c>
      <c r="I15" s="8">
        <f t="shared" si="1"/>
        <v>1</v>
      </c>
      <c r="J15" s="8">
        <f t="shared" si="1"/>
        <v>16</v>
      </c>
      <c r="K15" s="5">
        <f>SUM(H15:J15)</f>
        <v>42</v>
      </c>
      <c r="L15" s="9">
        <f>K15*10</f>
        <v>420</v>
      </c>
    </row>
    <row r="16" spans="1:20" ht="14.25" customHeight="1" x14ac:dyDescent="0.3">
      <c r="F16" s="6" t="s">
        <v>13</v>
      </c>
    </row>
    <row r="17" spans="3:10" ht="14.25" customHeight="1" x14ac:dyDescent="0.3">
      <c r="H17" s="2" t="s">
        <v>14</v>
      </c>
    </row>
    <row r="18" spans="3:10" ht="14.25" customHeight="1" x14ac:dyDescent="0.3">
      <c r="C18" s="5" t="s">
        <v>15</v>
      </c>
      <c r="H18" s="20" t="s">
        <v>16</v>
      </c>
      <c r="I18" s="21"/>
      <c r="J18" s="21"/>
    </row>
    <row r="19" spans="3:10" ht="14.25" customHeight="1" x14ac:dyDescent="0.3">
      <c r="C19" s="5" t="s">
        <v>17</v>
      </c>
      <c r="I19" s="9">
        <f>3 - 1</f>
        <v>2</v>
      </c>
    </row>
    <row r="20" spans="3:10" ht="14.25" customHeight="1" x14ac:dyDescent="0.3"/>
    <row r="21" spans="3:10" ht="14.25" customHeight="1" x14ac:dyDescent="0.3">
      <c r="C21" s="2" t="s">
        <v>18</v>
      </c>
    </row>
    <row r="22" spans="3:10" ht="14.25" customHeight="1" x14ac:dyDescent="0.3">
      <c r="C22" s="3" t="s">
        <v>2</v>
      </c>
      <c r="D22" s="3" t="s">
        <v>3</v>
      </c>
      <c r="E22" s="3" t="s">
        <v>4</v>
      </c>
      <c r="H22" s="2" t="s">
        <v>19</v>
      </c>
    </row>
    <row r="23" spans="3:10" ht="14.25" customHeight="1" x14ac:dyDescent="0.3">
      <c r="C23" s="3">
        <f t="shared" ref="C23:C32" si="2">POWER(C5-$C$15, 2)</f>
        <v>36</v>
      </c>
      <c r="D23" s="3">
        <f t="shared" ref="D23:D32" si="3">POWER(D5-$D$15, 2)</f>
        <v>169</v>
      </c>
      <c r="E23" s="3">
        <f t="shared" ref="E23:E32" si="4">POWER(E5-$E$15, 2)</f>
        <v>4</v>
      </c>
      <c r="H23" s="20" t="s">
        <v>20</v>
      </c>
      <c r="I23" s="21"/>
      <c r="J23" s="21"/>
    </row>
    <row r="24" spans="3:10" ht="14.25" customHeight="1" x14ac:dyDescent="0.3">
      <c r="C24" s="3">
        <f t="shared" si="2"/>
        <v>225</v>
      </c>
      <c r="D24" s="3">
        <f t="shared" si="3"/>
        <v>576</v>
      </c>
      <c r="E24" s="3">
        <f t="shared" si="4"/>
        <v>81</v>
      </c>
      <c r="I24" s="5" t="s">
        <v>21</v>
      </c>
    </row>
    <row r="25" spans="3:10" ht="14.25" customHeight="1" x14ac:dyDescent="0.3">
      <c r="C25" s="3">
        <f t="shared" si="2"/>
        <v>81</v>
      </c>
      <c r="D25" s="3">
        <f t="shared" si="3"/>
        <v>400</v>
      </c>
      <c r="E25" s="3">
        <f t="shared" si="4"/>
        <v>36</v>
      </c>
      <c r="I25" s="9">
        <f>9*3</f>
        <v>27</v>
      </c>
    </row>
    <row r="26" spans="3:10" ht="14.25" customHeight="1" x14ac:dyDescent="0.3">
      <c r="C26" s="3">
        <f t="shared" si="2"/>
        <v>4</v>
      </c>
      <c r="D26" s="3">
        <f t="shared" si="3"/>
        <v>169</v>
      </c>
      <c r="E26" s="3">
        <f t="shared" si="4"/>
        <v>0</v>
      </c>
    </row>
    <row r="27" spans="3:10" ht="14.25" customHeight="1" x14ac:dyDescent="0.3">
      <c r="C27" s="3">
        <f t="shared" si="2"/>
        <v>25</v>
      </c>
      <c r="D27" s="3">
        <f t="shared" si="3"/>
        <v>36</v>
      </c>
      <c r="E27" s="3">
        <f t="shared" si="4"/>
        <v>9</v>
      </c>
    </row>
    <row r="28" spans="3:10" ht="14.25" customHeight="1" x14ac:dyDescent="0.3">
      <c r="C28" s="3">
        <f t="shared" si="2"/>
        <v>81</v>
      </c>
      <c r="D28" s="3">
        <f t="shared" si="3"/>
        <v>9</v>
      </c>
      <c r="E28" s="3">
        <f t="shared" si="4"/>
        <v>4</v>
      </c>
    </row>
    <row r="29" spans="3:10" ht="14.25" customHeight="1" x14ac:dyDescent="0.3">
      <c r="C29" s="3">
        <f t="shared" si="2"/>
        <v>100</v>
      </c>
      <c r="D29" s="3">
        <f t="shared" si="3"/>
        <v>25</v>
      </c>
      <c r="E29" s="3">
        <f t="shared" si="4"/>
        <v>1</v>
      </c>
    </row>
    <row r="30" spans="3:10" ht="14.25" customHeight="1" x14ac:dyDescent="0.3">
      <c r="C30" s="3">
        <f t="shared" si="2"/>
        <v>36</v>
      </c>
      <c r="D30" s="3">
        <f t="shared" si="3"/>
        <v>400</v>
      </c>
      <c r="E30" s="3">
        <f t="shared" si="4"/>
        <v>121</v>
      </c>
      <c r="H30" s="5" t="s">
        <v>22</v>
      </c>
    </row>
    <row r="31" spans="3:10" ht="14.25" customHeight="1" x14ac:dyDescent="0.3">
      <c r="C31" s="3">
        <f t="shared" si="2"/>
        <v>16</v>
      </c>
      <c r="D31" s="3">
        <f t="shared" si="3"/>
        <v>0</v>
      </c>
      <c r="E31" s="3">
        <f t="shared" si="4"/>
        <v>169</v>
      </c>
      <c r="H31" s="5" t="s">
        <v>23</v>
      </c>
    </row>
    <row r="32" spans="3:10" ht="14.25" customHeight="1" x14ac:dyDescent="0.3">
      <c r="C32" s="3">
        <f t="shared" si="2"/>
        <v>400</v>
      </c>
      <c r="D32" s="3">
        <f t="shared" si="3"/>
        <v>36</v>
      </c>
      <c r="E32" s="3">
        <f t="shared" si="4"/>
        <v>121</v>
      </c>
      <c r="H32" s="5" t="s">
        <v>24</v>
      </c>
    </row>
    <row r="33" spans="2:8" ht="14.25" customHeight="1" x14ac:dyDescent="0.3">
      <c r="B33" s="7" t="s">
        <v>25</v>
      </c>
      <c r="C33" s="7">
        <f>SUBTOTAL(109,'One Way'!$C$23:$C$32)</f>
        <v>1004</v>
      </c>
      <c r="D33" s="7">
        <f>SUBTOTAL(109,'One Way'!$D$23:$D$32)</f>
        <v>1820</v>
      </c>
      <c r="E33" s="7">
        <f>SUBTOTAL(109,'One Way'!$E$23:$E$32)</f>
        <v>546</v>
      </c>
      <c r="F33" s="6">
        <f>SUM('One Way'!$C$33:$E$33)</f>
        <v>3370</v>
      </c>
      <c r="H33" s="5" t="s">
        <v>26</v>
      </c>
    </row>
    <row r="34" spans="2:8" ht="14.25" customHeight="1" x14ac:dyDescent="0.3">
      <c r="F34" s="7" t="s">
        <v>27</v>
      </c>
      <c r="H34" s="10" t="s">
        <v>28</v>
      </c>
    </row>
    <row r="35" spans="2:8" ht="14.25" customHeight="1" x14ac:dyDescent="0.3"/>
    <row r="36" spans="2:8" ht="14.25" customHeight="1" x14ac:dyDescent="0.3"/>
    <row r="37" spans="2:8" ht="14.25" customHeight="1" x14ac:dyDescent="0.3"/>
    <row r="38" spans="2:8" ht="14.25" customHeight="1" x14ac:dyDescent="0.3"/>
    <row r="39" spans="2:8" ht="14.25" customHeight="1" x14ac:dyDescent="0.3"/>
    <row r="40" spans="2:8" ht="14.25" customHeight="1" x14ac:dyDescent="0.3"/>
    <row r="41" spans="2:8" ht="14.25" customHeight="1" x14ac:dyDescent="0.3"/>
    <row r="42" spans="2:8" ht="14.25" customHeight="1" x14ac:dyDescent="0.3"/>
    <row r="43" spans="2:8" ht="14.25" customHeight="1" x14ac:dyDescent="0.3"/>
    <row r="44" spans="2:8" ht="14.25" customHeight="1" x14ac:dyDescent="0.3"/>
    <row r="45" spans="2:8" ht="14.25" customHeight="1" x14ac:dyDescent="0.3"/>
    <row r="46" spans="2:8" ht="14.25" customHeight="1" x14ac:dyDescent="0.3"/>
    <row r="47" spans="2:8" ht="14.25" customHeight="1" x14ac:dyDescent="0.3"/>
    <row r="48" spans="2: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">
    <mergeCell ref="H23:J23"/>
    <mergeCell ref="H18:J18"/>
  </mergeCells>
  <pageMargins left="0.7" right="0.7" top="0.75" bottom="0.75" header="0" footer="0"/>
  <pageSetup orientation="portrait"/>
  <drawing r:id="rId1"/>
  <legacyDrawing r:id="rId2"/>
  <oleObjects>
    <mc:AlternateContent xmlns:mc="http://schemas.openxmlformats.org/markup-compatibility/2006">
      <mc:Choice Requires="x14">
        <oleObject progId="Paint.Picture" shapeId="1025" r:id="rId3">
          <objectPr defaultSize="0" autoPict="0" r:id="rId4">
            <anchor moveWithCells="1">
              <from>
                <xdr:col>7</xdr:col>
                <xdr:colOff>15240</xdr:colOff>
                <xdr:row>3</xdr:row>
                <xdr:rowOff>0</xdr:rowOff>
              </from>
              <to>
                <xdr:col>13</xdr:col>
                <xdr:colOff>381000</xdr:colOff>
                <xdr:row>12</xdr:row>
                <xdr:rowOff>30480</xdr:rowOff>
              </to>
            </anchor>
          </objectPr>
        </oleObject>
      </mc:Choice>
      <mc:Fallback>
        <oleObject progId="Paint.Picture" shapeId="1025" r:id="rId3"/>
      </mc:Fallback>
    </mc:AlternateContent>
  </oleObjects>
  <tableParts count="2"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0"/>
  <sheetViews>
    <sheetView workbookViewId="0"/>
  </sheetViews>
  <sheetFormatPr defaultColWidth="14.44140625" defaultRowHeight="15" customHeight="1" x14ac:dyDescent="0.3"/>
  <cols>
    <col min="1" max="1" width="18.109375" customWidth="1"/>
    <col min="2" max="3" width="8.6640625" customWidth="1"/>
    <col min="4" max="4" width="12.44140625" customWidth="1"/>
    <col min="5" max="5" width="14.44140625" customWidth="1"/>
    <col min="6" max="6" width="13.33203125" customWidth="1"/>
    <col min="7" max="7" width="18" customWidth="1"/>
    <col min="8" max="26" width="8.6640625" customWidth="1"/>
  </cols>
  <sheetData>
    <row r="1" spans="1:7" ht="14.25" customHeight="1" x14ac:dyDescent="0.3">
      <c r="A1" s="5" t="s">
        <v>29</v>
      </c>
    </row>
    <row r="2" spans="1:7" ht="14.25" customHeight="1" x14ac:dyDescent="0.3"/>
    <row r="3" spans="1:7" ht="14.25" customHeight="1" x14ac:dyDescent="0.3">
      <c r="A3" s="5" t="s">
        <v>30</v>
      </c>
    </row>
    <row r="4" spans="1:7" ht="14.25" customHeight="1" x14ac:dyDescent="0.3">
      <c r="A4" s="11" t="s">
        <v>31</v>
      </c>
      <c r="B4" s="11" t="s">
        <v>32</v>
      </c>
      <c r="C4" s="11" t="s">
        <v>33</v>
      </c>
      <c r="D4" s="11" t="s">
        <v>34</v>
      </c>
      <c r="E4" s="11" t="s">
        <v>35</v>
      </c>
    </row>
    <row r="5" spans="1:7" ht="14.25" customHeight="1" x14ac:dyDescent="0.3">
      <c r="A5" s="10" t="s">
        <v>2</v>
      </c>
      <c r="B5" s="10">
        <v>10</v>
      </c>
      <c r="C5" s="10">
        <v>440</v>
      </c>
      <c r="D5" s="10">
        <v>44</v>
      </c>
      <c r="E5" s="10">
        <v>111.55555555555556</v>
      </c>
    </row>
    <row r="6" spans="1:7" ht="14.25" customHeight="1" x14ac:dyDescent="0.3">
      <c r="A6" s="10" t="s">
        <v>3</v>
      </c>
      <c r="B6" s="10">
        <v>10</v>
      </c>
      <c r="C6" s="10">
        <v>500</v>
      </c>
      <c r="D6" s="10">
        <v>50</v>
      </c>
      <c r="E6" s="10">
        <v>202.22222222222223</v>
      </c>
    </row>
    <row r="7" spans="1:7" ht="14.25" customHeight="1" x14ac:dyDescent="0.3">
      <c r="A7" s="12" t="s">
        <v>4</v>
      </c>
      <c r="B7" s="12">
        <v>10</v>
      </c>
      <c r="C7" s="12">
        <v>530</v>
      </c>
      <c r="D7" s="12">
        <v>53</v>
      </c>
      <c r="E7" s="12">
        <v>60.666666666666664</v>
      </c>
    </row>
    <row r="8" spans="1:7" ht="14.25" customHeight="1" x14ac:dyDescent="0.3"/>
    <row r="9" spans="1:7" ht="14.25" customHeight="1" x14ac:dyDescent="0.3"/>
    <row r="10" spans="1:7" ht="14.25" customHeight="1" x14ac:dyDescent="0.3">
      <c r="A10" s="5" t="s">
        <v>36</v>
      </c>
    </row>
    <row r="11" spans="1:7" ht="14.25" customHeight="1" x14ac:dyDescent="0.3">
      <c r="A11" s="11" t="s">
        <v>37</v>
      </c>
      <c r="B11" s="11" t="s">
        <v>38</v>
      </c>
      <c r="C11" s="11" t="s">
        <v>39</v>
      </c>
      <c r="D11" s="11" t="s">
        <v>40</v>
      </c>
      <c r="E11" s="11" t="s">
        <v>41</v>
      </c>
      <c r="F11" s="11" t="s">
        <v>42</v>
      </c>
      <c r="G11" s="11" t="s">
        <v>43</v>
      </c>
    </row>
    <row r="12" spans="1:7" ht="14.25" customHeight="1" x14ac:dyDescent="0.3">
      <c r="A12" s="10" t="s">
        <v>44</v>
      </c>
      <c r="B12" s="10">
        <v>420</v>
      </c>
      <c r="C12" s="10">
        <v>2</v>
      </c>
      <c r="D12" s="10">
        <v>210</v>
      </c>
      <c r="E12" s="10">
        <v>1.6824925816023739</v>
      </c>
      <c r="F12" s="10">
        <v>0.20482092691070061</v>
      </c>
      <c r="G12" s="10">
        <v>3.3541308285291991</v>
      </c>
    </row>
    <row r="13" spans="1:7" ht="14.25" customHeight="1" x14ac:dyDescent="0.3">
      <c r="A13" s="10" t="s">
        <v>45</v>
      </c>
      <c r="B13" s="10">
        <v>3370</v>
      </c>
      <c r="C13" s="10">
        <v>27</v>
      </c>
      <c r="D13" s="10">
        <v>124.81481481481481</v>
      </c>
      <c r="E13" s="10"/>
      <c r="F13" s="10"/>
      <c r="G13" s="10"/>
    </row>
    <row r="14" spans="1:7" ht="14.25" customHeight="1" x14ac:dyDescent="0.3">
      <c r="A14" s="10"/>
      <c r="B14" s="10"/>
      <c r="C14" s="10"/>
      <c r="D14" s="10"/>
      <c r="E14" s="10"/>
      <c r="F14" s="10"/>
      <c r="G14" s="10"/>
    </row>
    <row r="15" spans="1:7" ht="14.25" customHeight="1" x14ac:dyDescent="0.3">
      <c r="A15" s="12" t="s">
        <v>46</v>
      </c>
      <c r="B15" s="12">
        <v>3790</v>
      </c>
      <c r="C15" s="12">
        <v>29</v>
      </c>
      <c r="D15" s="12"/>
      <c r="E15" s="12"/>
      <c r="F15" s="12"/>
      <c r="G15" s="12"/>
    </row>
    <row r="16" spans="1:7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000"/>
  <sheetViews>
    <sheetView workbookViewId="0">
      <selection activeCell="I29" sqref="I29"/>
    </sheetView>
  </sheetViews>
  <sheetFormatPr defaultColWidth="14.44140625" defaultRowHeight="15" customHeight="1" x14ac:dyDescent="0.3"/>
  <cols>
    <col min="1" max="1" width="8.6640625" customWidth="1"/>
    <col min="2" max="2" width="9.6640625" customWidth="1"/>
    <col min="3" max="3" width="10.88671875" customWidth="1"/>
    <col min="4" max="4" width="9.109375" customWidth="1"/>
    <col min="5" max="5" width="11.6640625" customWidth="1"/>
    <col min="6" max="6" width="12.109375" customWidth="1"/>
    <col min="7" max="26" width="8.6640625" customWidth="1"/>
  </cols>
  <sheetData>
    <row r="1" spans="1:21" ht="14.25" customHeight="1" x14ac:dyDescent="0.3">
      <c r="A1" s="1" t="s">
        <v>0</v>
      </c>
    </row>
    <row r="2" spans="1:21" ht="14.25" customHeight="1" x14ac:dyDescent="0.3"/>
    <row r="3" spans="1:21" ht="14.25" customHeight="1" x14ac:dyDescent="0.3">
      <c r="B3" s="2" t="s">
        <v>1</v>
      </c>
      <c r="I3" s="5" t="s">
        <v>47</v>
      </c>
    </row>
    <row r="4" spans="1:21" ht="14.25" customHeight="1" x14ac:dyDescent="0.3">
      <c r="B4" s="13" t="s">
        <v>48</v>
      </c>
      <c r="C4" s="5" t="s">
        <v>2</v>
      </c>
      <c r="D4" s="5" t="s">
        <v>3</v>
      </c>
      <c r="E4" s="14" t="s">
        <v>49</v>
      </c>
      <c r="I4" s="5" t="s">
        <v>50</v>
      </c>
    </row>
    <row r="5" spans="1:21" ht="14.25" customHeight="1" x14ac:dyDescent="0.3">
      <c r="B5" s="13" t="s">
        <v>51</v>
      </c>
      <c r="C5" s="3">
        <v>9</v>
      </c>
      <c r="D5" s="3">
        <v>10</v>
      </c>
      <c r="E5" s="7">
        <f>AVERAGE('Two Way'!$C5:$D5)</f>
        <v>9.5</v>
      </c>
      <c r="I5" s="5" t="s">
        <v>52</v>
      </c>
    </row>
    <row r="6" spans="1:21" ht="14.25" customHeight="1" x14ac:dyDescent="0.3">
      <c r="B6" s="13" t="s">
        <v>53</v>
      </c>
      <c r="C6" s="3">
        <v>10</v>
      </c>
      <c r="D6" s="3">
        <v>12</v>
      </c>
      <c r="E6" s="7">
        <f>AVERAGE('Two Way'!$C6:$D6)</f>
        <v>11</v>
      </c>
    </row>
    <row r="7" spans="1:21" ht="14.25" customHeight="1" x14ac:dyDescent="0.3">
      <c r="B7" s="13" t="s">
        <v>54</v>
      </c>
      <c r="C7" s="3">
        <v>11</v>
      </c>
      <c r="D7" s="3">
        <v>14</v>
      </c>
      <c r="E7" s="7">
        <f>AVERAGE('Two Way'!$C7:$D7)</f>
        <v>12.5</v>
      </c>
      <c r="I7" s="2" t="s">
        <v>55</v>
      </c>
      <c r="L7" s="5" t="s">
        <v>10</v>
      </c>
      <c r="M7" s="5" t="s">
        <v>11</v>
      </c>
      <c r="Q7" s="15" t="s">
        <v>5</v>
      </c>
      <c r="T7" s="10">
        <f>M8</f>
        <v>6</v>
      </c>
    </row>
    <row r="8" spans="1:21" ht="14.25" customHeight="1" x14ac:dyDescent="0.3">
      <c r="B8" s="6" t="s">
        <v>12</v>
      </c>
      <c r="C8" s="16">
        <f t="shared" ref="C8:D8" si="0">SUBTOTAL(101,C5:C7)</f>
        <v>10</v>
      </c>
      <c r="D8" s="17">
        <f t="shared" si="0"/>
        <v>12</v>
      </c>
      <c r="E8" s="7">
        <f>AVERAGE('Two Way'!$C8:$D8)</f>
        <v>11</v>
      </c>
      <c r="I8" s="8">
        <f t="shared" ref="I8:J8" si="1">POWER(C8 - $E$8, 2)</f>
        <v>1</v>
      </c>
      <c r="J8" s="8">
        <f t="shared" si="1"/>
        <v>1</v>
      </c>
      <c r="K8" s="18"/>
      <c r="L8" s="18">
        <f>SUM(I8:K8)</f>
        <v>2</v>
      </c>
      <c r="M8" s="7">
        <f>L8*3</f>
        <v>6</v>
      </c>
      <c r="Q8" s="2" t="s">
        <v>56</v>
      </c>
      <c r="T8" s="19">
        <f>Q10</f>
        <v>1</v>
      </c>
    </row>
    <row r="9" spans="1:21" ht="14.25" customHeight="1" x14ac:dyDescent="0.3">
      <c r="F9" s="2" t="s">
        <v>57</v>
      </c>
      <c r="Q9" s="5" t="s">
        <v>16</v>
      </c>
    </row>
    <row r="10" spans="1:21" ht="14.25" customHeight="1" x14ac:dyDescent="0.3">
      <c r="I10" s="2" t="s">
        <v>58</v>
      </c>
      <c r="L10" s="5" t="s">
        <v>10</v>
      </c>
      <c r="M10" s="5" t="s">
        <v>59</v>
      </c>
      <c r="Q10" s="9">
        <f>2 - 1</f>
        <v>1</v>
      </c>
      <c r="T10" s="10"/>
      <c r="U10" s="5">
        <f>(T7/T8)/(T12/T13)</f>
        <v>12</v>
      </c>
    </row>
    <row r="11" spans="1:21" ht="14.25" customHeight="1" x14ac:dyDescent="0.3">
      <c r="I11" s="8">
        <f>POWER(E5 - $E$8, 2)</f>
        <v>2.25</v>
      </c>
      <c r="J11" s="8">
        <f>POWER(E6 - $E$8, 2)</f>
        <v>0</v>
      </c>
      <c r="K11" s="8">
        <f>POWER(E7 - $E$8, 2)</f>
        <v>2.25</v>
      </c>
      <c r="L11" s="5">
        <f>SUM(I11:K11)</f>
        <v>4.5</v>
      </c>
      <c r="M11" s="9">
        <f>L11 * 2</f>
        <v>9</v>
      </c>
    </row>
    <row r="12" spans="1:21" ht="14.25" customHeight="1" x14ac:dyDescent="0.3">
      <c r="Q12" s="15" t="s">
        <v>7</v>
      </c>
      <c r="T12" s="10">
        <f>I21</f>
        <v>1</v>
      </c>
    </row>
    <row r="13" spans="1:21" ht="14.25" customHeight="1" x14ac:dyDescent="0.3">
      <c r="I13" s="2" t="s">
        <v>60</v>
      </c>
      <c r="Q13" s="2" t="s">
        <v>61</v>
      </c>
      <c r="T13" s="5">
        <f>Q15</f>
        <v>2</v>
      </c>
    </row>
    <row r="14" spans="1:21" ht="14.25" customHeight="1" x14ac:dyDescent="0.3">
      <c r="I14" s="8">
        <f t="shared" ref="I14:J14" si="2">POWER(C5 - $E$8, 2)</f>
        <v>4</v>
      </c>
      <c r="J14" s="8">
        <f t="shared" si="2"/>
        <v>1</v>
      </c>
      <c r="Q14" s="5" t="s">
        <v>62</v>
      </c>
    </row>
    <row r="15" spans="1:21" ht="14.25" customHeight="1" x14ac:dyDescent="0.3">
      <c r="I15" s="8">
        <f t="shared" ref="I15:J15" si="3">POWER(C6 - $E$8, 2)</f>
        <v>1</v>
      </c>
      <c r="J15" s="8">
        <f t="shared" si="3"/>
        <v>1</v>
      </c>
      <c r="Q15" s="9">
        <f>(3-1)*(2-1)</f>
        <v>2</v>
      </c>
    </row>
    <row r="16" spans="1:21" ht="14.25" customHeight="1" x14ac:dyDescent="0.3">
      <c r="I16" s="8">
        <f t="shared" ref="I16:J16" si="4">POWER(C7 - $E$8, 2)</f>
        <v>0</v>
      </c>
      <c r="J16" s="8">
        <f t="shared" si="4"/>
        <v>9</v>
      </c>
    </row>
    <row r="17" spans="9:12" ht="14.25" customHeight="1" x14ac:dyDescent="0.3">
      <c r="I17" s="5">
        <f t="shared" ref="I17:J17" si="5">SUM(I14:I16)</f>
        <v>5</v>
      </c>
      <c r="J17" s="5">
        <f t="shared" si="5"/>
        <v>11</v>
      </c>
      <c r="K17" s="9">
        <f>SUM(I17:J17)</f>
        <v>16</v>
      </c>
      <c r="L17" s="5" t="s">
        <v>63</v>
      </c>
    </row>
    <row r="18" spans="9:12" ht="14.25" customHeight="1" x14ac:dyDescent="0.3"/>
    <row r="19" spans="9:12" ht="14.25" customHeight="1" x14ac:dyDescent="0.3">
      <c r="I19" s="2" t="s">
        <v>64</v>
      </c>
    </row>
    <row r="20" spans="9:12" ht="14.25" customHeight="1" x14ac:dyDescent="0.3">
      <c r="I20" s="5" t="s">
        <v>65</v>
      </c>
    </row>
    <row r="21" spans="9:12" ht="14.25" customHeight="1" x14ac:dyDescent="0.3">
      <c r="I21" s="9">
        <f>16 - 6 - 9</f>
        <v>1</v>
      </c>
    </row>
    <row r="22" spans="9:12" ht="14.25" customHeight="1" x14ac:dyDescent="0.3"/>
    <row r="23" spans="9:12" ht="14.25" customHeight="1" x14ac:dyDescent="0.3">
      <c r="I23" s="5" t="s">
        <v>22</v>
      </c>
    </row>
    <row r="24" spans="9:12" ht="14.25" customHeight="1" x14ac:dyDescent="0.3">
      <c r="I24" s="5" t="s">
        <v>28</v>
      </c>
    </row>
    <row r="25" spans="9:12" ht="14.25" customHeight="1" x14ac:dyDescent="0.3"/>
    <row r="26" spans="9:12" ht="14.25" customHeight="1" x14ac:dyDescent="0.3"/>
    <row r="27" spans="9:12" ht="14.25" customHeight="1" x14ac:dyDescent="0.3"/>
    <row r="28" spans="9:12" ht="14.25" customHeight="1" x14ac:dyDescent="0.3"/>
    <row r="29" spans="9:12" ht="14.25" customHeight="1" x14ac:dyDescent="0.3"/>
    <row r="30" spans="9:12" ht="14.25" customHeight="1" x14ac:dyDescent="0.3"/>
    <row r="31" spans="9:12" ht="14.25" customHeight="1" x14ac:dyDescent="0.3"/>
    <row r="32" spans="9:1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  <legacyDrawing r:id="rId2"/>
  <oleObjects>
    <mc:AlternateContent xmlns:mc="http://schemas.openxmlformats.org/markup-compatibility/2006">
      <mc:Choice Requires="x14">
        <oleObject progId="PBrush" shapeId="2050" r:id="rId3">
          <objectPr defaultSize="0" autoPict="0" r:id="rId4">
            <anchor moveWithCells="1" sizeWithCells="1">
              <from>
                <xdr:col>1</xdr:col>
                <xdr:colOff>22860</xdr:colOff>
                <xdr:row>10</xdr:row>
                <xdr:rowOff>7620</xdr:rowOff>
              </from>
              <to>
                <xdr:col>5</xdr:col>
                <xdr:colOff>815340</xdr:colOff>
                <xdr:row>22</xdr:row>
                <xdr:rowOff>129540</xdr:rowOff>
              </to>
            </anchor>
          </objectPr>
        </oleObject>
      </mc:Choice>
      <mc:Fallback>
        <oleObject progId="PBrush" shapeId="2050" r:id="rId3"/>
      </mc:Fallback>
    </mc:AlternateContent>
  </oleObjects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7" ht="14.25" customHeight="1" x14ac:dyDescent="0.3">
      <c r="A1" s="5" t="s">
        <v>66</v>
      </c>
    </row>
    <row r="2" spans="1:7" ht="14.25" customHeight="1" x14ac:dyDescent="0.3"/>
    <row r="3" spans="1:7" ht="14.25" customHeight="1" x14ac:dyDescent="0.3">
      <c r="A3" s="11" t="s">
        <v>30</v>
      </c>
      <c r="B3" s="11" t="s">
        <v>32</v>
      </c>
      <c r="C3" s="11" t="s">
        <v>33</v>
      </c>
      <c r="D3" s="11" t="s">
        <v>34</v>
      </c>
      <c r="E3" s="11" t="s">
        <v>35</v>
      </c>
    </row>
    <row r="4" spans="1:7" ht="14.25" customHeight="1" x14ac:dyDescent="0.3">
      <c r="A4" s="10" t="s">
        <v>51</v>
      </c>
      <c r="B4" s="10">
        <v>2</v>
      </c>
      <c r="C4" s="10">
        <v>19</v>
      </c>
      <c r="D4" s="10">
        <v>9.5</v>
      </c>
      <c r="E4" s="10">
        <v>0.5</v>
      </c>
    </row>
    <row r="5" spans="1:7" ht="14.25" customHeight="1" x14ac:dyDescent="0.3">
      <c r="A5" s="10" t="s">
        <v>53</v>
      </c>
      <c r="B5" s="10">
        <v>2</v>
      </c>
      <c r="C5" s="10">
        <v>22</v>
      </c>
      <c r="D5" s="10">
        <v>11</v>
      </c>
      <c r="E5" s="10">
        <v>2</v>
      </c>
    </row>
    <row r="6" spans="1:7" ht="14.25" customHeight="1" x14ac:dyDescent="0.3">
      <c r="A6" s="10" t="s">
        <v>54</v>
      </c>
      <c r="B6" s="10">
        <v>2</v>
      </c>
      <c r="C6" s="10">
        <v>25</v>
      </c>
      <c r="D6" s="10">
        <v>12.5</v>
      </c>
      <c r="E6" s="10">
        <v>4.5</v>
      </c>
    </row>
    <row r="7" spans="1:7" ht="14.25" customHeight="1" x14ac:dyDescent="0.3">
      <c r="A7" s="10"/>
      <c r="B7" s="10"/>
      <c r="C7" s="10"/>
      <c r="D7" s="10"/>
      <c r="E7" s="10"/>
    </row>
    <row r="8" spans="1:7" ht="14.25" customHeight="1" x14ac:dyDescent="0.3">
      <c r="A8" s="10" t="s">
        <v>2</v>
      </c>
      <c r="B8" s="10">
        <v>3</v>
      </c>
      <c r="C8" s="10">
        <v>30</v>
      </c>
      <c r="D8" s="10">
        <v>10</v>
      </c>
      <c r="E8" s="10">
        <v>1</v>
      </c>
    </row>
    <row r="9" spans="1:7" ht="14.25" customHeight="1" x14ac:dyDescent="0.3">
      <c r="A9" s="12" t="s">
        <v>3</v>
      </c>
      <c r="B9" s="12">
        <v>3</v>
      </c>
      <c r="C9" s="12">
        <v>36</v>
      </c>
      <c r="D9" s="12">
        <v>12</v>
      </c>
      <c r="E9" s="12">
        <v>4</v>
      </c>
    </row>
    <row r="10" spans="1:7" ht="14.25" customHeight="1" x14ac:dyDescent="0.3"/>
    <row r="11" spans="1:7" ht="14.25" customHeight="1" x14ac:dyDescent="0.3"/>
    <row r="12" spans="1:7" ht="14.25" customHeight="1" x14ac:dyDescent="0.3">
      <c r="A12" s="5" t="s">
        <v>36</v>
      </c>
    </row>
    <row r="13" spans="1:7" ht="14.25" customHeight="1" x14ac:dyDescent="0.3">
      <c r="A13" s="11" t="s">
        <v>37</v>
      </c>
      <c r="B13" s="11" t="s">
        <v>38</v>
      </c>
      <c r="C13" s="11" t="s">
        <v>39</v>
      </c>
      <c r="D13" s="11" t="s">
        <v>40</v>
      </c>
      <c r="E13" s="11" t="s">
        <v>41</v>
      </c>
      <c r="F13" s="11" t="s">
        <v>42</v>
      </c>
      <c r="G13" s="11" t="s">
        <v>43</v>
      </c>
    </row>
    <row r="14" spans="1:7" ht="14.25" customHeight="1" x14ac:dyDescent="0.3">
      <c r="A14" s="10" t="s">
        <v>67</v>
      </c>
      <c r="B14" s="10">
        <v>9</v>
      </c>
      <c r="C14" s="10">
        <v>2</v>
      </c>
      <c r="D14" s="10">
        <v>4.5</v>
      </c>
      <c r="E14" s="10">
        <v>9</v>
      </c>
      <c r="F14" s="10">
        <v>0.10000000000000002</v>
      </c>
      <c r="G14" s="10">
        <v>18.999999999999996</v>
      </c>
    </row>
    <row r="15" spans="1:7" ht="14.25" customHeight="1" x14ac:dyDescent="0.3">
      <c r="A15" s="10" t="s">
        <v>68</v>
      </c>
      <c r="B15" s="10">
        <v>6</v>
      </c>
      <c r="C15" s="10">
        <v>1</v>
      </c>
      <c r="D15" s="10">
        <v>6</v>
      </c>
      <c r="E15" s="10">
        <v>12</v>
      </c>
      <c r="F15" s="10">
        <v>7.417990022744847E-2</v>
      </c>
      <c r="G15" s="10">
        <v>18.512820512820511</v>
      </c>
    </row>
    <row r="16" spans="1:7" ht="14.25" customHeight="1" x14ac:dyDescent="0.3">
      <c r="A16" s="10" t="s">
        <v>69</v>
      </c>
      <c r="B16" s="10">
        <v>1</v>
      </c>
      <c r="C16" s="10">
        <v>2</v>
      </c>
      <c r="D16" s="10">
        <v>0.5</v>
      </c>
      <c r="E16" s="10"/>
      <c r="F16" s="10"/>
      <c r="G16" s="10"/>
    </row>
    <row r="17" spans="1:7" ht="14.25" customHeight="1" x14ac:dyDescent="0.3">
      <c r="A17" s="10"/>
      <c r="B17" s="10"/>
      <c r="C17" s="10"/>
      <c r="D17" s="10"/>
      <c r="E17" s="10"/>
      <c r="F17" s="10"/>
      <c r="G17" s="10"/>
    </row>
    <row r="18" spans="1:7" ht="14.25" customHeight="1" x14ac:dyDescent="0.3">
      <c r="A18" s="12" t="s">
        <v>46</v>
      </c>
      <c r="B18" s="12">
        <v>16</v>
      </c>
      <c r="C18" s="12">
        <v>5</v>
      </c>
      <c r="D18" s="12"/>
      <c r="E18" s="12"/>
      <c r="F18" s="12"/>
      <c r="G18" s="12"/>
    </row>
    <row r="19" spans="1:7" ht="14.25" customHeight="1" x14ac:dyDescent="0.3"/>
    <row r="20" spans="1:7" ht="14.25" customHeight="1" x14ac:dyDescent="0.3"/>
    <row r="21" spans="1:7" ht="14.25" customHeight="1" x14ac:dyDescent="0.3"/>
    <row r="22" spans="1:7" ht="14.25" customHeight="1" x14ac:dyDescent="0.3"/>
    <row r="23" spans="1:7" ht="14.25" customHeight="1" x14ac:dyDescent="0.3"/>
    <row r="24" spans="1:7" ht="14.25" customHeight="1" x14ac:dyDescent="0.3"/>
    <row r="25" spans="1:7" ht="14.25" customHeight="1" x14ac:dyDescent="0.3"/>
    <row r="26" spans="1:7" ht="14.25" customHeight="1" x14ac:dyDescent="0.3"/>
    <row r="27" spans="1:7" ht="14.25" customHeight="1" x14ac:dyDescent="0.3"/>
    <row r="28" spans="1:7" ht="14.25" customHeight="1" x14ac:dyDescent="0.3"/>
    <row r="29" spans="1:7" ht="14.25" customHeight="1" x14ac:dyDescent="0.3"/>
    <row r="30" spans="1:7" ht="14.25" customHeight="1" x14ac:dyDescent="0.3"/>
    <row r="31" spans="1:7" ht="14.25" customHeight="1" x14ac:dyDescent="0.3"/>
    <row r="32" spans="1:7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activeCell="F11" sqref="F11"/>
    </sheetView>
  </sheetViews>
  <sheetFormatPr defaultColWidth="14.44140625" defaultRowHeight="15" customHeight="1" x14ac:dyDescent="0.3"/>
  <cols>
    <col min="1" max="26" width="8.6640625" customWidth="1"/>
  </cols>
  <sheetData>
    <row r="1" spans="1:4" ht="14.25" customHeight="1" x14ac:dyDescent="0.3">
      <c r="A1" s="5" t="s">
        <v>70</v>
      </c>
    </row>
    <row r="2" spans="1:4" ht="14.25" customHeight="1" thickBot="1" x14ac:dyDescent="0.35"/>
    <row r="3" spans="1:4" ht="14.25" customHeight="1" thickBot="1" x14ac:dyDescent="0.35">
      <c r="A3" s="25"/>
      <c r="B3" s="25" t="s">
        <v>75</v>
      </c>
      <c r="C3" s="25" t="s">
        <v>76</v>
      </c>
      <c r="D3" s="25" t="s">
        <v>77</v>
      </c>
    </row>
    <row r="4" spans="1:4" ht="14.25" customHeight="1" thickBot="1" x14ac:dyDescent="0.35">
      <c r="A4" s="25" t="s">
        <v>78</v>
      </c>
      <c r="B4" s="26">
        <v>13</v>
      </c>
      <c r="C4" s="26">
        <v>21</v>
      </c>
      <c r="D4" s="26">
        <v>18</v>
      </c>
    </row>
    <row r="5" spans="1:4" ht="14.25" customHeight="1" thickBot="1" x14ac:dyDescent="0.35">
      <c r="A5" s="25" t="s">
        <v>78</v>
      </c>
      <c r="B5" s="26">
        <v>14</v>
      </c>
      <c r="C5" s="26">
        <v>19</v>
      </c>
      <c r="D5" s="26">
        <v>15</v>
      </c>
    </row>
    <row r="6" spans="1:4" ht="14.25" customHeight="1" thickBot="1" x14ac:dyDescent="0.35">
      <c r="A6" s="25" t="s">
        <v>78</v>
      </c>
      <c r="B6" s="26">
        <v>12</v>
      </c>
      <c r="C6" s="26">
        <v>17</v>
      </c>
      <c r="D6" s="26">
        <v>15</v>
      </c>
    </row>
    <row r="7" spans="1:4" ht="14.25" customHeight="1" thickBot="1" x14ac:dyDescent="0.35">
      <c r="A7" s="25" t="s">
        <v>79</v>
      </c>
      <c r="B7" s="26">
        <v>16</v>
      </c>
      <c r="C7" s="26">
        <v>14</v>
      </c>
      <c r="D7" s="26">
        <v>15</v>
      </c>
    </row>
    <row r="8" spans="1:4" ht="14.25" customHeight="1" thickBot="1" x14ac:dyDescent="0.35">
      <c r="A8" s="25" t="s">
        <v>79</v>
      </c>
      <c r="B8" s="26">
        <v>18</v>
      </c>
      <c r="C8" s="26">
        <v>11</v>
      </c>
      <c r="D8" s="26">
        <v>13</v>
      </c>
    </row>
    <row r="9" spans="1:4" ht="14.25" customHeight="1" thickBot="1" x14ac:dyDescent="0.35">
      <c r="A9" s="25" t="s">
        <v>79</v>
      </c>
      <c r="B9" s="26">
        <v>17</v>
      </c>
      <c r="C9" s="26">
        <v>14</v>
      </c>
      <c r="D9" s="26">
        <v>8</v>
      </c>
    </row>
    <row r="10" spans="1:4" ht="14.25" customHeight="1" x14ac:dyDescent="0.3"/>
    <row r="11" spans="1:4" ht="14.25" customHeight="1" x14ac:dyDescent="0.3"/>
    <row r="12" spans="1:4" ht="14.25" customHeight="1" x14ac:dyDescent="0.3"/>
    <row r="13" spans="1:4" ht="14.25" customHeight="1" x14ac:dyDescent="0.3"/>
    <row r="14" spans="1:4" ht="14.25" customHeight="1" x14ac:dyDescent="0.3"/>
    <row r="15" spans="1:4" ht="14.25" customHeight="1" x14ac:dyDescent="0.3"/>
    <row r="16" spans="1:4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AE4B0-F135-4FB3-A9B3-EECBBA6807A6}">
  <dimension ref="A1:O37"/>
  <sheetViews>
    <sheetView tabSelected="1" workbookViewId="0">
      <selection activeCell="M26" sqref="M26"/>
    </sheetView>
  </sheetViews>
  <sheetFormatPr defaultRowHeight="14.4" x14ac:dyDescent="0.3"/>
  <sheetData>
    <row r="1" spans="1:12" x14ac:dyDescent="0.3">
      <c r="A1" t="s">
        <v>71</v>
      </c>
    </row>
    <row r="3" spans="1:12" x14ac:dyDescent="0.3">
      <c r="A3" t="s">
        <v>30</v>
      </c>
      <c r="B3" t="s">
        <v>75</v>
      </c>
      <c r="C3" t="s">
        <v>76</v>
      </c>
      <c r="D3" t="s">
        <v>77</v>
      </c>
      <c r="E3" t="s">
        <v>46</v>
      </c>
    </row>
    <row r="4" spans="1:12" ht="15" thickBot="1" x14ac:dyDescent="0.35">
      <c r="A4" s="27" t="s">
        <v>78</v>
      </c>
      <c r="B4" s="27"/>
      <c r="C4" s="27"/>
      <c r="D4" s="27"/>
      <c r="E4" s="27"/>
    </row>
    <row r="5" spans="1:12" x14ac:dyDescent="0.3">
      <c r="A5" s="22" t="s">
        <v>32</v>
      </c>
      <c r="B5" s="22">
        <v>3</v>
      </c>
      <c r="C5" s="22">
        <v>3</v>
      </c>
      <c r="D5" s="22">
        <v>3</v>
      </c>
      <c r="E5" s="22">
        <v>9</v>
      </c>
      <c r="H5" s="28" t="s">
        <v>80</v>
      </c>
      <c r="J5" cm="1">
        <f t="array" ref="J5:L5">B7:D7</f>
        <v>13</v>
      </c>
      <c r="K5">
        <v>19</v>
      </c>
      <c r="L5">
        <v>16</v>
      </c>
    </row>
    <row r="6" spans="1:12" x14ac:dyDescent="0.3">
      <c r="A6" s="22" t="s">
        <v>33</v>
      </c>
      <c r="B6" s="22">
        <v>39</v>
      </c>
      <c r="C6" s="22">
        <v>57</v>
      </c>
      <c r="D6" s="22">
        <v>48</v>
      </c>
      <c r="E6" s="22">
        <v>144</v>
      </c>
      <c r="J6" cm="1">
        <f t="array" ref="J6:L6">B13:D13</f>
        <v>17</v>
      </c>
      <c r="K6">
        <v>13</v>
      </c>
      <c r="L6">
        <v>12</v>
      </c>
    </row>
    <row r="7" spans="1:12" x14ac:dyDescent="0.3">
      <c r="A7" s="22" t="s">
        <v>34</v>
      </c>
      <c r="B7" s="22">
        <v>13</v>
      </c>
      <c r="C7" s="22">
        <v>19</v>
      </c>
      <c r="D7" s="22">
        <v>16</v>
      </c>
      <c r="E7" s="22">
        <v>16</v>
      </c>
      <c r="H7" s="28" t="s">
        <v>81</v>
      </c>
      <c r="J7" cm="1">
        <f t="array" ref="J7:L7">B19:D19</f>
        <v>15</v>
      </c>
      <c r="K7">
        <v>16</v>
      </c>
      <c r="L7">
        <v>14</v>
      </c>
    </row>
    <row r="8" spans="1:12" x14ac:dyDescent="0.3">
      <c r="A8" s="22" t="s">
        <v>35</v>
      </c>
      <c r="B8" s="22">
        <v>1</v>
      </c>
      <c r="C8" s="22">
        <v>4</v>
      </c>
      <c r="D8" s="22">
        <v>3</v>
      </c>
      <c r="E8" s="22">
        <v>8.75</v>
      </c>
    </row>
    <row r="9" spans="1:12" x14ac:dyDescent="0.3">
      <c r="A9" s="22"/>
      <c r="B9" s="22"/>
      <c r="C9" s="22"/>
      <c r="D9" s="22"/>
      <c r="E9" s="22"/>
      <c r="H9" s="28" t="s">
        <v>82</v>
      </c>
      <c r="J9" s="28" t="s">
        <v>83</v>
      </c>
      <c r="K9" s="28" t="s">
        <v>84</v>
      </c>
    </row>
    <row r="10" spans="1:12" ht="15" thickBot="1" x14ac:dyDescent="0.35">
      <c r="A10" s="27" t="s">
        <v>79</v>
      </c>
      <c r="B10" s="27"/>
      <c r="C10" s="27"/>
      <c r="D10" s="27"/>
      <c r="E10" s="27"/>
    </row>
    <row r="11" spans="1:12" x14ac:dyDescent="0.3">
      <c r="A11" s="22" t="s">
        <v>32</v>
      </c>
      <c r="B11" s="22">
        <v>3</v>
      </c>
      <c r="C11" s="22">
        <v>3</v>
      </c>
      <c r="D11" s="22">
        <v>3</v>
      </c>
      <c r="E11" s="22">
        <v>9</v>
      </c>
      <c r="H11" s="28" t="s">
        <v>85</v>
      </c>
      <c r="J11">
        <v>15</v>
      </c>
    </row>
    <row r="12" spans="1:12" x14ac:dyDescent="0.3">
      <c r="A12" s="22" t="s">
        <v>33</v>
      </c>
      <c r="B12" s="22">
        <v>51</v>
      </c>
      <c r="C12" s="22">
        <v>39</v>
      </c>
      <c r="D12" s="22">
        <v>36</v>
      </c>
      <c r="E12" s="22">
        <v>126</v>
      </c>
    </row>
    <row r="13" spans="1:12" x14ac:dyDescent="0.3">
      <c r="A13" s="22" t="s">
        <v>34</v>
      </c>
      <c r="B13" s="22">
        <v>17</v>
      </c>
      <c r="C13" s="22">
        <v>13</v>
      </c>
      <c r="D13" s="22">
        <v>12</v>
      </c>
      <c r="E13" s="22">
        <v>14</v>
      </c>
      <c r="H13" s="28" t="s">
        <v>86</v>
      </c>
      <c r="J13">
        <v>18</v>
      </c>
    </row>
    <row r="14" spans="1:12" x14ac:dyDescent="0.3">
      <c r="A14" s="22" t="s">
        <v>35</v>
      </c>
      <c r="B14" s="22">
        <v>1</v>
      </c>
      <c r="C14" s="22">
        <v>3</v>
      </c>
      <c r="D14" s="22">
        <v>13</v>
      </c>
      <c r="E14" s="22">
        <v>9.5</v>
      </c>
    </row>
    <row r="15" spans="1:12" x14ac:dyDescent="0.3">
      <c r="A15" s="22"/>
      <c r="B15" s="22"/>
      <c r="C15" s="22"/>
      <c r="D15" s="22"/>
      <c r="E15" s="22"/>
      <c r="H15" s="28" t="s">
        <v>88</v>
      </c>
      <c r="J15" s="28" t="s">
        <v>87</v>
      </c>
    </row>
    <row r="16" spans="1:12" ht="15" thickBot="1" x14ac:dyDescent="0.35">
      <c r="A16" s="27" t="s">
        <v>46</v>
      </c>
      <c r="B16" s="27"/>
      <c r="C16" s="27"/>
      <c r="D16" s="27"/>
    </row>
    <row r="17" spans="1:13" x14ac:dyDescent="0.3">
      <c r="A17" s="22" t="s">
        <v>32</v>
      </c>
      <c r="B17" s="22">
        <v>6</v>
      </c>
      <c r="C17" s="22">
        <v>6</v>
      </c>
      <c r="D17" s="22">
        <v>6</v>
      </c>
      <c r="H17" s="28" t="s">
        <v>89</v>
      </c>
      <c r="J17">
        <v>2</v>
      </c>
    </row>
    <row r="18" spans="1:13" x14ac:dyDescent="0.3">
      <c r="A18" s="22" t="s">
        <v>33</v>
      </c>
      <c r="B18" s="22">
        <v>90</v>
      </c>
      <c r="C18" s="22">
        <v>96</v>
      </c>
      <c r="D18" s="22">
        <v>84</v>
      </c>
    </row>
    <row r="19" spans="1:13" x14ac:dyDescent="0.3">
      <c r="A19" s="22" t="s">
        <v>34</v>
      </c>
      <c r="B19" s="22">
        <v>15</v>
      </c>
      <c r="C19" s="22">
        <v>16</v>
      </c>
      <c r="D19" s="22">
        <v>14</v>
      </c>
      <c r="H19" s="28" t="s">
        <v>90</v>
      </c>
      <c r="J19" s="28" t="s">
        <v>91</v>
      </c>
    </row>
    <row r="20" spans="1:13" x14ac:dyDescent="0.3">
      <c r="A20" s="22" t="s">
        <v>35</v>
      </c>
      <c r="B20" s="22">
        <v>5.6</v>
      </c>
      <c r="C20" s="22">
        <v>13.6</v>
      </c>
      <c r="D20" s="22">
        <v>11.2</v>
      </c>
      <c r="J20" s="28" t="s">
        <v>92</v>
      </c>
    </row>
    <row r="21" spans="1:13" x14ac:dyDescent="0.3">
      <c r="A21" s="22"/>
      <c r="B21" s="22"/>
      <c r="C21" s="22"/>
      <c r="D21" s="22"/>
      <c r="J21" s="28" t="s">
        <v>93</v>
      </c>
    </row>
    <row r="22" spans="1:13" x14ac:dyDescent="0.3">
      <c r="J22" s="28" t="s">
        <v>94</v>
      </c>
    </row>
    <row r="23" spans="1:13" ht="15" thickBot="1" x14ac:dyDescent="0.35">
      <c r="A23" t="s">
        <v>36</v>
      </c>
      <c r="J23" s="28" t="s">
        <v>95</v>
      </c>
    </row>
    <row r="24" spans="1:13" x14ac:dyDescent="0.3">
      <c r="A24" s="24" t="s">
        <v>37</v>
      </c>
      <c r="B24" s="24" t="s">
        <v>38</v>
      </c>
      <c r="C24" s="24" t="s">
        <v>39</v>
      </c>
      <c r="D24" s="24" t="s">
        <v>40</v>
      </c>
      <c r="E24" s="24" t="s">
        <v>41</v>
      </c>
      <c r="F24" s="24" t="s">
        <v>42</v>
      </c>
      <c r="G24" s="24" t="s">
        <v>43</v>
      </c>
      <c r="J24" s="28" t="s">
        <v>96</v>
      </c>
      <c r="L24" s="28" t="s">
        <v>97</v>
      </c>
    </row>
    <row r="25" spans="1:13" x14ac:dyDescent="0.3">
      <c r="A25" s="22" t="s">
        <v>72</v>
      </c>
      <c r="B25" s="22">
        <v>18</v>
      </c>
      <c r="C25" s="22">
        <v>1</v>
      </c>
      <c r="D25" s="22">
        <v>18</v>
      </c>
      <c r="E25" s="22">
        <v>4.3199999999999994</v>
      </c>
      <c r="F25" s="22">
        <v>5.9785685928291817E-2</v>
      </c>
      <c r="G25" s="22">
        <v>4.7472253467225149</v>
      </c>
    </row>
    <row r="26" spans="1:13" x14ac:dyDescent="0.3">
      <c r="A26" s="22" t="s">
        <v>68</v>
      </c>
      <c r="B26" s="22">
        <v>12</v>
      </c>
      <c r="C26" s="22">
        <v>2</v>
      </c>
      <c r="D26" s="22">
        <v>6</v>
      </c>
      <c r="E26" s="22">
        <v>1.44</v>
      </c>
      <c r="F26" s="22">
        <v>0.27508688721709079</v>
      </c>
      <c r="G26" s="22">
        <v>3.8852938346523942</v>
      </c>
      <c r="J26" s="28" t="s">
        <v>98</v>
      </c>
      <c r="L26">
        <v>164</v>
      </c>
      <c r="M26" s="28" t="s">
        <v>105</v>
      </c>
    </row>
    <row r="27" spans="1:13" x14ac:dyDescent="0.3">
      <c r="A27" s="22" t="s">
        <v>73</v>
      </c>
      <c r="B27" s="22">
        <v>84</v>
      </c>
      <c r="C27" s="22">
        <v>2</v>
      </c>
      <c r="D27" s="22">
        <v>42</v>
      </c>
      <c r="E27" s="22">
        <v>10.08</v>
      </c>
      <c r="F27" s="22">
        <v>2.6989276078791817E-3</v>
      </c>
      <c r="G27" s="22">
        <v>3.8852938346523942</v>
      </c>
    </row>
    <row r="28" spans="1:13" x14ac:dyDescent="0.3">
      <c r="A28" s="22" t="s">
        <v>74</v>
      </c>
      <c r="B28" s="22">
        <v>50</v>
      </c>
      <c r="C28" s="22">
        <v>12</v>
      </c>
      <c r="D28" s="22">
        <v>4.166666666666667</v>
      </c>
      <c r="E28" s="22"/>
      <c r="F28" s="22"/>
      <c r="G28" s="22"/>
      <c r="J28" s="28" t="s">
        <v>99</v>
      </c>
      <c r="K28" s="28" t="s">
        <v>100</v>
      </c>
    </row>
    <row r="29" spans="1:13" x14ac:dyDescent="0.3">
      <c r="A29" s="22"/>
      <c r="B29" s="22"/>
      <c r="C29" s="22"/>
      <c r="D29" s="22"/>
      <c r="E29" s="22"/>
      <c r="F29" s="22"/>
      <c r="G29" s="22"/>
    </row>
    <row r="30" spans="1:13" ht="15" thickBot="1" x14ac:dyDescent="0.35">
      <c r="A30" s="23" t="s">
        <v>46</v>
      </c>
      <c r="B30" s="23">
        <v>164</v>
      </c>
      <c r="C30" s="23">
        <v>17</v>
      </c>
      <c r="D30" s="23"/>
      <c r="E30" s="23"/>
      <c r="F30" s="23"/>
      <c r="G30" s="23"/>
      <c r="J30" s="28" t="s">
        <v>101</v>
      </c>
      <c r="K30" s="28" t="s">
        <v>102</v>
      </c>
    </row>
    <row r="33" spans="10:15" x14ac:dyDescent="0.3">
      <c r="J33" s="28" t="s">
        <v>103</v>
      </c>
      <c r="K33">
        <v>12</v>
      </c>
    </row>
    <row r="34" spans="10:15" x14ac:dyDescent="0.3">
      <c r="J34" s="28" t="s">
        <v>104</v>
      </c>
      <c r="K34">
        <v>2</v>
      </c>
    </row>
    <row r="35" spans="10:15" x14ac:dyDescent="0.3">
      <c r="L35">
        <v>1.44</v>
      </c>
      <c r="O35">
        <f>6/(50/12)</f>
        <v>1.44</v>
      </c>
    </row>
    <row r="36" spans="10:15" x14ac:dyDescent="0.3">
      <c r="J36" s="28" t="s">
        <v>7</v>
      </c>
      <c r="K36">
        <v>50</v>
      </c>
    </row>
    <row r="37" spans="10:15" x14ac:dyDescent="0.3">
      <c r="J37" s="28" t="s">
        <v>101</v>
      </c>
      <c r="K37">
        <v>12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7f4b8a2-ad4f-41b5-9a91-284d2cc38f56}" enabled="1" method="Standard" siteId="{70de1992-07c6-480f-a318-a1afcba0398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One Way</vt:lpstr>
      <vt:lpstr>One Way Summary</vt:lpstr>
      <vt:lpstr>Two Way</vt:lpstr>
      <vt:lpstr>Two Way Summary</vt:lpstr>
      <vt:lpstr>With Replication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Cliff Whitworth</dc:creator>
  <cp:lastModifiedBy>Whitworth, Clifford</cp:lastModifiedBy>
  <dcterms:created xsi:type="dcterms:W3CDTF">2022-03-08T14:15:32Z</dcterms:created>
  <dcterms:modified xsi:type="dcterms:W3CDTF">2025-11-03T18:41:40Z</dcterms:modified>
</cp:coreProperties>
</file>