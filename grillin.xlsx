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ff\Downloads\"/>
    </mc:Choice>
  </mc:AlternateContent>
  <xr:revisionPtr revIDLastSave="0" documentId="13_ncr:1_{9A42B79A-60D1-4A39-9C47-F7FE2518EFE1}" xr6:coauthVersionLast="47" xr6:coauthVersionMax="47" xr10:uidLastSave="{00000000-0000-0000-0000-000000000000}"/>
  <bookViews>
    <workbookView xWindow="-108" yWindow="-108" windowWidth="23256" windowHeight="12576" activeTab="1" xr2:uid="{F2051E1C-02E8-4B6A-A35A-7901CF099D6E}"/>
  </bookViews>
  <sheets>
    <sheet name="Data" sheetId="1" r:id="rId1"/>
    <sheet name="Pivot Table" sheetId="4" r:id="rId2"/>
    <sheet name="Math" sheetId="6" r:id="rId3"/>
    <sheet name="Iris Gini Entropy" sheetId="5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6" l="1"/>
  <c r="A9" i="6"/>
  <c r="B8" i="6"/>
  <c r="C7" i="6"/>
  <c r="A7" i="6"/>
  <c r="C5" i="6"/>
  <c r="C4" i="6"/>
  <c r="C3" i="6"/>
  <c r="C1" i="6"/>
  <c r="A5" i="6"/>
  <c r="A4" i="6"/>
  <c r="A3" i="6"/>
  <c r="A1" i="6"/>
  <c r="B10" i="5"/>
  <c r="J14" i="5"/>
  <c r="E10" i="5"/>
  <c r="E12" i="5" s="1"/>
  <c r="D10" i="5"/>
  <c r="C10" i="5"/>
  <c r="E6" i="5"/>
  <c r="E4" i="5"/>
  <c r="D4" i="5"/>
  <c r="C4" i="5"/>
  <c r="B4" i="5"/>
</calcChain>
</file>

<file path=xl/sharedStrings.xml><?xml version="1.0" encoding="utf-8"?>
<sst xmlns="http://schemas.openxmlformats.org/spreadsheetml/2006/main" count="148" uniqueCount="29">
  <si>
    <t>forecast</t>
  </si>
  <si>
    <t>worked</t>
  </si>
  <si>
    <t>wind</t>
  </si>
  <si>
    <t>grilled</t>
  </si>
  <si>
    <t>ocast</t>
  </si>
  <si>
    <t>dayoff</t>
  </si>
  <si>
    <t>yes</t>
  </si>
  <si>
    <t>no</t>
  </si>
  <si>
    <t>high</t>
  </si>
  <si>
    <t>norm</t>
  </si>
  <si>
    <t>sunny</t>
  </si>
  <si>
    <t>rainy</t>
  </si>
  <si>
    <t>Row Labels</t>
  </si>
  <si>
    <t>Grand Total</t>
  </si>
  <si>
    <t>Count of grilled</t>
  </si>
  <si>
    <t xml:space="preserve">Gini = </t>
  </si>
  <si>
    <t>Gini</t>
  </si>
  <si>
    <t>Entropy</t>
  </si>
  <si>
    <t>Entropy =</t>
  </si>
  <si>
    <t>Iris Dataset</t>
  </si>
  <si>
    <t>Gini 0: Pure</t>
  </si>
  <si>
    <t>Gini .5: Equal Distribution</t>
  </si>
  <si>
    <t>Gini 1: Random</t>
  </si>
  <si>
    <t>Contains 1.6 bits of information</t>
  </si>
  <si>
    <t>Entropy 1: High Level of Disorder</t>
  </si>
  <si>
    <t>So Entropy is Between 0 and log base 2 k</t>
  </si>
  <si>
    <t>Entropy 0: No Disorder</t>
  </si>
  <si>
    <t>If p(x) = .5 (binary) then classes are equally distributed and entropy = 1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</si>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</sst>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iff Whitworth" refreshedDate="45091.483344328706" createdVersion="8" refreshedVersion="8" minRefreshableVersion="3" recordCount="30" xr:uid="{1C432778-4E9C-4E74-BDFA-30EA6B088648}">
  <cacheSource type="worksheet">
    <worksheetSource ref="A1:D31" sheet="Data"/>
  </cacheSource>
  <cacheFields count="4">
    <cacheField name="forecast" numFmtId="0">
      <sharedItems count="4">
        <s v="ocast"/>
        <s v="sunny"/>
        <s v="rainy"/>
        <s v="sunnt" u="1"/>
      </sharedItems>
    </cacheField>
    <cacheField name="worked" numFmtId="0">
      <sharedItems count="2">
        <s v="worked"/>
        <s v="dayoff"/>
      </sharedItems>
    </cacheField>
    <cacheField name="wind" numFmtId="0">
      <sharedItems count="2">
        <s v="high"/>
        <s v="norm"/>
      </sharedItems>
    </cacheField>
    <cacheField name="grilled" numFmtId="0">
      <sharedItems count="2">
        <s v="yes"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x v="0"/>
    <x v="0"/>
  </r>
  <r>
    <x v="1"/>
    <x v="0"/>
    <x v="1"/>
    <x v="0"/>
  </r>
  <r>
    <x v="1"/>
    <x v="1"/>
    <x v="0"/>
    <x v="1"/>
  </r>
  <r>
    <x v="0"/>
    <x v="1"/>
    <x v="1"/>
    <x v="1"/>
  </r>
  <r>
    <x v="0"/>
    <x v="0"/>
    <x v="1"/>
    <x v="1"/>
  </r>
  <r>
    <x v="1"/>
    <x v="0"/>
    <x v="1"/>
    <x v="0"/>
  </r>
  <r>
    <x v="1"/>
    <x v="0"/>
    <x v="0"/>
    <x v="0"/>
  </r>
  <r>
    <x v="1"/>
    <x v="0"/>
    <x v="1"/>
    <x v="0"/>
  </r>
  <r>
    <x v="0"/>
    <x v="0"/>
    <x v="1"/>
    <x v="1"/>
  </r>
  <r>
    <x v="1"/>
    <x v="1"/>
    <x v="1"/>
    <x v="0"/>
  </r>
  <r>
    <x v="0"/>
    <x v="1"/>
    <x v="0"/>
    <x v="1"/>
  </r>
  <r>
    <x v="1"/>
    <x v="0"/>
    <x v="0"/>
    <x v="1"/>
  </r>
  <r>
    <x v="1"/>
    <x v="0"/>
    <x v="0"/>
    <x v="1"/>
  </r>
  <r>
    <x v="1"/>
    <x v="0"/>
    <x v="1"/>
    <x v="0"/>
  </r>
  <r>
    <x v="0"/>
    <x v="0"/>
    <x v="0"/>
    <x v="0"/>
  </r>
  <r>
    <x v="2"/>
    <x v="0"/>
    <x v="1"/>
    <x v="1"/>
  </r>
  <r>
    <x v="1"/>
    <x v="1"/>
    <x v="1"/>
    <x v="0"/>
  </r>
  <r>
    <x v="1"/>
    <x v="1"/>
    <x v="1"/>
    <x v="0"/>
  </r>
  <r>
    <x v="0"/>
    <x v="1"/>
    <x v="0"/>
    <x v="1"/>
  </r>
  <r>
    <x v="1"/>
    <x v="0"/>
    <x v="1"/>
    <x v="0"/>
  </r>
  <r>
    <x v="1"/>
    <x v="0"/>
    <x v="1"/>
    <x v="0"/>
  </r>
  <r>
    <x v="0"/>
    <x v="0"/>
    <x v="1"/>
    <x v="0"/>
  </r>
  <r>
    <x v="0"/>
    <x v="0"/>
    <x v="0"/>
    <x v="1"/>
  </r>
  <r>
    <x v="0"/>
    <x v="1"/>
    <x v="0"/>
    <x v="0"/>
  </r>
  <r>
    <x v="2"/>
    <x v="1"/>
    <x v="1"/>
    <x v="1"/>
  </r>
  <r>
    <x v="1"/>
    <x v="0"/>
    <x v="0"/>
    <x v="1"/>
  </r>
  <r>
    <x v="2"/>
    <x v="0"/>
    <x v="0"/>
    <x v="1"/>
  </r>
  <r>
    <x v="2"/>
    <x v="0"/>
    <x v="1"/>
    <x v="1"/>
  </r>
  <r>
    <x v="1"/>
    <x v="0"/>
    <x v="0"/>
    <x v="0"/>
  </r>
  <r>
    <x v="1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34991C-D812-401B-9975-F894AFEAB9D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8" firstHeaderRow="1" firstDataRow="1" firstDataCol="1" rowPageCount="3" colPageCount="1"/>
  <pivotFields count="4">
    <pivotField axis="axisPage" multipleItemSelectionAllowed="1" showAll="0">
      <items count="5">
        <item x="0"/>
        <item x="2"/>
        <item x="1"/>
        <item m="1" x="3"/>
        <item t="default"/>
      </items>
    </pivotField>
    <pivotField axis="axisPage" showAll="0">
      <items count="3">
        <item x="1"/>
        <item x="0"/>
        <item t="default"/>
      </items>
    </pivotField>
    <pivotField axis="axisPage" showAll="0">
      <items count="3">
        <item x="0"/>
        <item x="1"/>
        <item t="default"/>
      </items>
    </pivotField>
    <pivotField axis="axisRow" dataField="1" showAll="0">
      <items count="3">
        <item x="1"/>
        <item x="0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pageFields count="3">
    <pageField fld="0" hier="-1"/>
    <pageField fld="2" hier="-1"/>
    <pageField fld="1" hier="-1"/>
  </pageFields>
  <dataFields count="1">
    <dataField name="Count of grilled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2C690-9D13-4BEE-8077-9D625093535B}">
  <dimension ref="A1:D31"/>
  <sheetViews>
    <sheetView workbookViewId="0">
      <selection sqref="A1:D31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1</v>
      </c>
      <c r="C2" t="s">
        <v>8</v>
      </c>
      <c r="D2" t="s">
        <v>6</v>
      </c>
    </row>
    <row r="3" spans="1:4" x14ac:dyDescent="0.3">
      <c r="A3" t="s">
        <v>10</v>
      </c>
      <c r="B3" t="s">
        <v>1</v>
      </c>
      <c r="C3" t="s">
        <v>9</v>
      </c>
      <c r="D3" t="s">
        <v>6</v>
      </c>
    </row>
    <row r="4" spans="1:4" x14ac:dyDescent="0.3">
      <c r="A4" t="s">
        <v>10</v>
      </c>
      <c r="B4" t="s">
        <v>5</v>
      </c>
      <c r="C4" t="s">
        <v>8</v>
      </c>
      <c r="D4" t="s">
        <v>7</v>
      </c>
    </row>
    <row r="5" spans="1:4" x14ac:dyDescent="0.3">
      <c r="A5" t="s">
        <v>4</v>
      </c>
      <c r="B5" t="s">
        <v>5</v>
      </c>
      <c r="C5" t="s">
        <v>9</v>
      </c>
      <c r="D5" t="s">
        <v>7</v>
      </c>
    </row>
    <row r="6" spans="1:4" x14ac:dyDescent="0.3">
      <c r="A6" t="s">
        <v>4</v>
      </c>
      <c r="B6" t="s">
        <v>1</v>
      </c>
      <c r="C6" t="s">
        <v>9</v>
      </c>
      <c r="D6" t="s">
        <v>7</v>
      </c>
    </row>
    <row r="7" spans="1:4" x14ac:dyDescent="0.3">
      <c r="A7" t="s">
        <v>10</v>
      </c>
      <c r="B7" t="s">
        <v>1</v>
      </c>
      <c r="C7" t="s">
        <v>9</v>
      </c>
      <c r="D7" t="s">
        <v>6</v>
      </c>
    </row>
    <row r="8" spans="1:4" x14ac:dyDescent="0.3">
      <c r="A8" t="s">
        <v>10</v>
      </c>
      <c r="B8" t="s">
        <v>1</v>
      </c>
      <c r="C8" t="s">
        <v>8</v>
      </c>
      <c r="D8" t="s">
        <v>6</v>
      </c>
    </row>
    <row r="9" spans="1:4" x14ac:dyDescent="0.3">
      <c r="A9" t="s">
        <v>10</v>
      </c>
      <c r="B9" t="s">
        <v>1</v>
      </c>
      <c r="C9" t="s">
        <v>9</v>
      </c>
      <c r="D9" t="s">
        <v>6</v>
      </c>
    </row>
    <row r="10" spans="1:4" x14ac:dyDescent="0.3">
      <c r="A10" t="s">
        <v>4</v>
      </c>
      <c r="B10" t="s">
        <v>1</v>
      </c>
      <c r="C10" t="s">
        <v>9</v>
      </c>
      <c r="D10" t="s">
        <v>7</v>
      </c>
    </row>
    <row r="11" spans="1:4" x14ac:dyDescent="0.3">
      <c r="A11" t="s">
        <v>10</v>
      </c>
      <c r="B11" t="s">
        <v>5</v>
      </c>
      <c r="C11" t="s">
        <v>9</v>
      </c>
      <c r="D11" t="s">
        <v>6</v>
      </c>
    </row>
    <row r="12" spans="1:4" x14ac:dyDescent="0.3">
      <c r="A12" t="s">
        <v>4</v>
      </c>
      <c r="B12" t="s">
        <v>5</v>
      </c>
      <c r="C12" t="s">
        <v>8</v>
      </c>
      <c r="D12" t="s">
        <v>7</v>
      </c>
    </row>
    <row r="13" spans="1:4" x14ac:dyDescent="0.3">
      <c r="A13" t="s">
        <v>10</v>
      </c>
      <c r="B13" t="s">
        <v>1</v>
      </c>
      <c r="C13" t="s">
        <v>8</v>
      </c>
      <c r="D13" t="s">
        <v>7</v>
      </c>
    </row>
    <row r="14" spans="1:4" x14ac:dyDescent="0.3">
      <c r="A14" t="s">
        <v>10</v>
      </c>
      <c r="B14" t="s">
        <v>1</v>
      </c>
      <c r="C14" t="s">
        <v>8</v>
      </c>
      <c r="D14" t="s">
        <v>7</v>
      </c>
    </row>
    <row r="15" spans="1:4" x14ac:dyDescent="0.3">
      <c r="A15" t="s">
        <v>10</v>
      </c>
      <c r="B15" t="s">
        <v>1</v>
      </c>
      <c r="C15" t="s">
        <v>9</v>
      </c>
      <c r="D15" t="s">
        <v>6</v>
      </c>
    </row>
    <row r="16" spans="1:4" x14ac:dyDescent="0.3">
      <c r="A16" t="s">
        <v>4</v>
      </c>
      <c r="B16" t="s">
        <v>1</v>
      </c>
      <c r="C16" t="s">
        <v>8</v>
      </c>
      <c r="D16" t="s">
        <v>6</v>
      </c>
    </row>
    <row r="17" spans="1:4" x14ac:dyDescent="0.3">
      <c r="A17" t="s">
        <v>11</v>
      </c>
      <c r="B17" t="s">
        <v>1</v>
      </c>
      <c r="C17" t="s">
        <v>9</v>
      </c>
      <c r="D17" t="s">
        <v>7</v>
      </c>
    </row>
    <row r="18" spans="1:4" x14ac:dyDescent="0.3">
      <c r="A18" t="s">
        <v>10</v>
      </c>
      <c r="B18" t="s">
        <v>5</v>
      </c>
      <c r="C18" t="s">
        <v>9</v>
      </c>
      <c r="D18" t="s">
        <v>6</v>
      </c>
    </row>
    <row r="19" spans="1:4" x14ac:dyDescent="0.3">
      <c r="A19" t="s">
        <v>10</v>
      </c>
      <c r="B19" t="s">
        <v>5</v>
      </c>
      <c r="C19" t="s">
        <v>9</v>
      </c>
      <c r="D19" t="s">
        <v>6</v>
      </c>
    </row>
    <row r="20" spans="1:4" x14ac:dyDescent="0.3">
      <c r="A20" t="s">
        <v>4</v>
      </c>
      <c r="B20" t="s">
        <v>5</v>
      </c>
      <c r="C20" t="s">
        <v>8</v>
      </c>
      <c r="D20" t="s">
        <v>7</v>
      </c>
    </row>
    <row r="21" spans="1:4" x14ac:dyDescent="0.3">
      <c r="A21" t="s">
        <v>10</v>
      </c>
      <c r="B21" t="s">
        <v>1</v>
      </c>
      <c r="C21" t="s">
        <v>9</v>
      </c>
      <c r="D21" t="s">
        <v>6</v>
      </c>
    </row>
    <row r="22" spans="1:4" x14ac:dyDescent="0.3">
      <c r="A22" t="s">
        <v>10</v>
      </c>
      <c r="B22" t="s">
        <v>1</v>
      </c>
      <c r="C22" t="s">
        <v>9</v>
      </c>
      <c r="D22" t="s">
        <v>6</v>
      </c>
    </row>
    <row r="23" spans="1:4" x14ac:dyDescent="0.3">
      <c r="A23" t="s">
        <v>4</v>
      </c>
      <c r="B23" t="s">
        <v>1</v>
      </c>
      <c r="C23" t="s">
        <v>9</v>
      </c>
      <c r="D23" t="s">
        <v>6</v>
      </c>
    </row>
    <row r="24" spans="1:4" x14ac:dyDescent="0.3">
      <c r="A24" t="s">
        <v>4</v>
      </c>
      <c r="B24" t="s">
        <v>1</v>
      </c>
      <c r="C24" t="s">
        <v>8</v>
      </c>
      <c r="D24" t="s">
        <v>7</v>
      </c>
    </row>
    <row r="25" spans="1:4" x14ac:dyDescent="0.3">
      <c r="A25" t="s">
        <v>4</v>
      </c>
      <c r="B25" t="s">
        <v>5</v>
      </c>
      <c r="C25" t="s">
        <v>8</v>
      </c>
      <c r="D25" t="s">
        <v>6</v>
      </c>
    </row>
    <row r="26" spans="1:4" x14ac:dyDescent="0.3">
      <c r="A26" t="s">
        <v>11</v>
      </c>
      <c r="B26" t="s">
        <v>5</v>
      </c>
      <c r="C26" t="s">
        <v>9</v>
      </c>
      <c r="D26" t="s">
        <v>7</v>
      </c>
    </row>
    <row r="27" spans="1:4" x14ac:dyDescent="0.3">
      <c r="A27" t="s">
        <v>10</v>
      </c>
      <c r="B27" t="s">
        <v>1</v>
      </c>
      <c r="C27" t="s">
        <v>8</v>
      </c>
      <c r="D27" t="s">
        <v>7</v>
      </c>
    </row>
    <row r="28" spans="1:4" x14ac:dyDescent="0.3">
      <c r="A28" t="s">
        <v>11</v>
      </c>
      <c r="B28" t="s">
        <v>1</v>
      </c>
      <c r="C28" t="s">
        <v>8</v>
      </c>
      <c r="D28" t="s">
        <v>7</v>
      </c>
    </row>
    <row r="29" spans="1:4" x14ac:dyDescent="0.3">
      <c r="A29" t="s">
        <v>11</v>
      </c>
      <c r="B29" t="s">
        <v>1</v>
      </c>
      <c r="C29" t="s">
        <v>9</v>
      </c>
      <c r="D29" t="s">
        <v>7</v>
      </c>
    </row>
    <row r="30" spans="1:4" x14ac:dyDescent="0.3">
      <c r="A30" t="s">
        <v>10</v>
      </c>
      <c r="B30" t="s">
        <v>1</v>
      </c>
      <c r="C30" t="s">
        <v>8</v>
      </c>
      <c r="D30" t="s">
        <v>6</v>
      </c>
    </row>
    <row r="31" spans="1:4" x14ac:dyDescent="0.3">
      <c r="A31" t="s">
        <v>10</v>
      </c>
      <c r="B31" t="s">
        <v>1</v>
      </c>
      <c r="C31" t="s">
        <v>8</v>
      </c>
      <c r="D31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5043C-6A4A-43C4-A16A-2EE7D3A734D5}">
  <dimension ref="A1:B8"/>
  <sheetViews>
    <sheetView tabSelected="1" workbookViewId="0">
      <selection activeCell="A5" sqref="A5"/>
    </sheetView>
  </sheetViews>
  <sheetFormatPr defaultRowHeight="14.4" x14ac:dyDescent="0.3"/>
  <cols>
    <col min="1" max="1" width="12.5546875" bestFit="1" customWidth="1"/>
    <col min="2" max="2" width="14" bestFit="1" customWidth="1"/>
    <col min="3" max="4" width="10.77734375" bestFit="1" customWidth="1"/>
    <col min="5" max="5" width="6.5546875" bestFit="1" customWidth="1"/>
    <col min="6" max="6" width="7.33203125" bestFit="1" customWidth="1"/>
    <col min="7" max="7" width="8.44140625" bestFit="1" customWidth="1"/>
    <col min="8" max="9" width="10.77734375" bestFit="1" customWidth="1"/>
  </cols>
  <sheetData>
    <row r="1" spans="1:2" x14ac:dyDescent="0.3">
      <c r="A1" s="1" t="s">
        <v>0</v>
      </c>
      <c r="B1" t="s">
        <v>28</v>
      </c>
    </row>
    <row r="2" spans="1:2" x14ac:dyDescent="0.3">
      <c r="A2" s="1" t="s">
        <v>2</v>
      </c>
      <c r="B2" t="s">
        <v>28</v>
      </c>
    </row>
    <row r="3" spans="1:2" x14ac:dyDescent="0.3">
      <c r="A3" s="1" t="s">
        <v>1</v>
      </c>
      <c r="B3" t="s">
        <v>28</v>
      </c>
    </row>
    <row r="5" spans="1:2" x14ac:dyDescent="0.3">
      <c r="A5" s="1" t="s">
        <v>12</v>
      </c>
      <c r="B5" t="s">
        <v>14</v>
      </c>
    </row>
    <row r="6" spans="1:2" x14ac:dyDescent="0.3">
      <c r="A6" s="2" t="s">
        <v>7</v>
      </c>
      <c r="B6" s="3">
        <v>14</v>
      </c>
    </row>
    <row r="7" spans="1:2" x14ac:dyDescent="0.3">
      <c r="A7" s="2" t="s">
        <v>6</v>
      </c>
      <c r="B7" s="3">
        <v>16</v>
      </c>
    </row>
    <row r="8" spans="1:2" x14ac:dyDescent="0.3">
      <c r="A8" s="2" t="s">
        <v>13</v>
      </c>
      <c r="B8" s="3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A009B-B01C-4234-9FD3-9BA9AC4365DE}">
  <dimension ref="A1:C9"/>
  <sheetViews>
    <sheetView workbookViewId="0">
      <selection activeCell="C9" sqref="C9"/>
    </sheetView>
  </sheetViews>
  <sheetFormatPr defaultRowHeight="14.4" x14ac:dyDescent="0.3"/>
  <sheetData>
    <row r="1" spans="1:3" x14ac:dyDescent="0.3">
      <c r="A1">
        <f>16/30</f>
        <v>0.53333333333333333</v>
      </c>
      <c r="C1">
        <f>14/30</f>
        <v>0.46666666666666667</v>
      </c>
    </row>
    <row r="3" spans="1:3" x14ac:dyDescent="0.3">
      <c r="A3">
        <f>12/16</f>
        <v>0.75</v>
      </c>
      <c r="C3">
        <f>4/16</f>
        <v>0.25</v>
      </c>
    </row>
    <row r="4" spans="1:3" x14ac:dyDescent="0.3">
      <c r="A4">
        <f>12/21</f>
        <v>0.5714285714285714</v>
      </c>
      <c r="C4">
        <f>9/21</f>
        <v>0.42857142857142855</v>
      </c>
    </row>
    <row r="5" spans="1:3" x14ac:dyDescent="0.3">
      <c r="A5">
        <f>10/16</f>
        <v>0.625</v>
      </c>
      <c r="C5">
        <f>6/16</f>
        <v>0.375</v>
      </c>
    </row>
    <row r="7" spans="1:3" x14ac:dyDescent="0.3">
      <c r="A7">
        <f>A1*A3*A4*A5</f>
        <v>0.14285714285714285</v>
      </c>
      <c r="C7">
        <f>C1*C3*C4*C5</f>
        <v>1.8749999999999999E-2</v>
      </c>
    </row>
    <row r="8" spans="1:3" x14ac:dyDescent="0.3">
      <c r="B8">
        <f>A7+C7</f>
        <v>0.16160714285714284</v>
      </c>
    </row>
    <row r="9" spans="1:3" x14ac:dyDescent="0.3">
      <c r="A9">
        <f>A7/B8</f>
        <v>0.88397790055248626</v>
      </c>
      <c r="C9">
        <f>C7/B8</f>
        <v>0.11602209944751382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DB5A-1A29-4E9F-9A85-ABEDA4A07571}">
  <dimension ref="A1:J15"/>
  <sheetViews>
    <sheetView zoomScale="200" zoomScaleNormal="200" workbookViewId="0">
      <selection activeCell="E12" sqref="E12"/>
    </sheetView>
  </sheetViews>
  <sheetFormatPr defaultRowHeight="14.4" x14ac:dyDescent="0.3"/>
  <sheetData>
    <row r="1" spans="1:10" x14ac:dyDescent="0.3">
      <c r="A1" t="s">
        <v>19</v>
      </c>
    </row>
    <row r="3" spans="1:10" x14ac:dyDescent="0.3">
      <c r="B3" t="s">
        <v>16</v>
      </c>
    </row>
    <row r="4" spans="1:10" x14ac:dyDescent="0.3">
      <c r="B4">
        <f>(40/120)^2</f>
        <v>0.1111111111111111</v>
      </c>
      <c r="C4">
        <f>(41/120)^2</f>
        <v>0.11673611111111111</v>
      </c>
      <c r="D4">
        <f>(39/120)^2</f>
        <v>0.10562500000000001</v>
      </c>
      <c r="E4">
        <f>SUM(B4:D4)</f>
        <v>0.33347222222222223</v>
      </c>
      <c r="G4" t="s">
        <v>20</v>
      </c>
    </row>
    <row r="5" spans="1:10" x14ac:dyDescent="0.3">
      <c r="G5" t="s">
        <v>21</v>
      </c>
    </row>
    <row r="6" spans="1:10" x14ac:dyDescent="0.3">
      <c r="D6" t="s">
        <v>15</v>
      </c>
      <c r="E6">
        <f>1-E4</f>
        <v>0.66652777777777783</v>
      </c>
      <c r="G6" t="s">
        <v>22</v>
      </c>
    </row>
    <row r="9" spans="1:10" x14ac:dyDescent="0.3">
      <c r="B9" t="s">
        <v>17</v>
      </c>
    </row>
    <row r="10" spans="1:10" x14ac:dyDescent="0.3">
      <c r="B10">
        <f>(40/120)*LOG(40/120, 2)</f>
        <v>-0.52832083357371873</v>
      </c>
      <c r="C10">
        <f>(41/120)*LOG(41/120, 2)</f>
        <v>-0.52935735192173183</v>
      </c>
      <c r="D10">
        <f>(39/120)*LOG(39/120, 2)</f>
        <v>-0.52698372244253788</v>
      </c>
      <c r="E10">
        <f>SUM(B10:D10)</f>
        <v>-1.5846619079379884</v>
      </c>
      <c r="G10" t="s">
        <v>26</v>
      </c>
    </row>
    <row r="11" spans="1:10" x14ac:dyDescent="0.3">
      <c r="G11" t="s">
        <v>24</v>
      </c>
    </row>
    <row r="12" spans="1:10" x14ac:dyDescent="0.3">
      <c r="D12" t="s">
        <v>18</v>
      </c>
      <c r="E12">
        <f>-1*E10</f>
        <v>1.5846619079379884</v>
      </c>
      <c r="G12" t="s">
        <v>23</v>
      </c>
    </row>
    <row r="13" spans="1:10" x14ac:dyDescent="0.3">
      <c r="G13" t="s">
        <v>25</v>
      </c>
    </row>
    <row r="14" spans="1:10" x14ac:dyDescent="0.3">
      <c r="J14">
        <f>LOG(3, 2)</f>
        <v>1.5849625007211563</v>
      </c>
    </row>
    <row r="15" spans="1:10" x14ac:dyDescent="0.3">
      <c r="G15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Pivot Table</vt:lpstr>
      <vt:lpstr>Math</vt:lpstr>
      <vt:lpstr>Iris Gini Entropy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Cliff Whitworth</dc:creator>
  <cp:lastModifiedBy>Whitworth, Clifford K</cp:lastModifiedBy>
  <dcterms:created xsi:type="dcterms:W3CDTF">2023-04-04T01:19:02Z</dcterms:created>
  <dcterms:modified xsi:type="dcterms:W3CDTF">2024-04-23T16:26:01Z</dcterms:modified>
</cp:coreProperties>
</file>