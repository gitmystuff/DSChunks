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hidePivotFieldList="1" defaultThemeVersion="166925"/>
  <mc:AlternateContent xmlns:mc="http://schemas.openxmlformats.org/markup-compatibility/2006">
    <mc:Choice Requires="x15">
      <x15ac:absPath xmlns:x15ac="http://schemas.microsoft.com/office/spreadsheetml/2010/11/ac" url="C:\Users\cliff\Documents\1aaaaClasses\Misc Examples\"/>
    </mc:Choice>
  </mc:AlternateContent>
  <xr:revisionPtr revIDLastSave="0" documentId="13_ncr:1_{6F1D6693-4AA1-45ED-A45A-32DA53DC24A8}" xr6:coauthVersionLast="47" xr6:coauthVersionMax="47" xr10:uidLastSave="{00000000-0000-0000-0000-000000000000}"/>
  <bookViews>
    <workbookView xWindow="-108" yWindow="-108" windowWidth="23256" windowHeight="12576" activeTab="4" xr2:uid="{FF5227AC-4361-4240-8594-5DAE6B11CE2C}"/>
  </bookViews>
  <sheets>
    <sheet name="Advertising" sheetId="2" r:id="rId1"/>
    <sheet name="Titanic" sheetId="3" r:id="rId2"/>
    <sheet name="Preprocessing" sheetId="4" r:id="rId3"/>
    <sheet name="Table" sheetId="8" r:id="rId4"/>
    <sheet name="Dashboard" sheetId="9" r:id="rId5"/>
  </sheets>
  <definedNames>
    <definedName name="Slicer_Child_Adult">#N/A</definedName>
    <definedName name="Slicer_Pclass">#N/A</definedName>
    <definedName name="Slicer_Rounded_Age">#N/A</definedName>
    <definedName name="Slicer_Rounded_Fare">#N/A</definedName>
    <definedName name="Slicer_Sex">#N/A</definedName>
    <definedName name="Slicer_Surname">#N/A</definedName>
    <definedName name="Slicer_Survive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8" l="1" a="1"/>
  <c r="F2" i="8" s="1"/>
  <c r="L2" i="8" s="1"/>
  <c r="Q5" i="8"/>
  <c r="F3" i="8" a="1"/>
  <c r="F3" i="8" s="1"/>
  <c r="F4" i="8" a="1"/>
  <c r="F4" i="8" s="1"/>
  <c r="F5" i="8" a="1"/>
  <c r="F5" i="8" s="1"/>
  <c r="F6" i="8" a="1"/>
  <c r="F6" i="8"/>
  <c r="F7" i="8" a="1"/>
  <c r="F7" i="8" s="1"/>
  <c r="F8" i="8" a="1"/>
  <c r="F8" i="8" s="1"/>
  <c r="F9" i="8" a="1"/>
  <c r="F9" i="8" s="1"/>
  <c r="F10" i="8" a="1"/>
  <c r="F10" i="8" s="1"/>
  <c r="F11" i="8" a="1"/>
  <c r="F11" i="8" s="1"/>
  <c r="F12" i="8" a="1"/>
  <c r="F12" i="8" s="1"/>
  <c r="F13" i="8" a="1"/>
  <c r="F13" i="8" s="1"/>
  <c r="F14" i="8" a="1"/>
  <c r="F14" i="8" s="1"/>
  <c r="F15" i="8" a="1"/>
  <c r="F15" i="8" s="1"/>
  <c r="F16" i="8" a="1"/>
  <c r="F16" i="8" s="1"/>
  <c r="F17" i="8" a="1"/>
  <c r="F17" i="8" s="1"/>
  <c r="F18" i="8" a="1"/>
  <c r="F18" i="8"/>
  <c r="F19" i="8" a="1"/>
  <c r="F19" i="8" s="1"/>
  <c r="F20" i="8" a="1"/>
  <c r="F20" i="8" s="1"/>
  <c r="F21" i="8" a="1"/>
  <c r="F21" i="8" s="1"/>
  <c r="F22" i="8" a="1"/>
  <c r="F22" i="8" s="1"/>
  <c r="F23" i="8" a="1"/>
  <c r="F23" i="8" s="1"/>
  <c r="F24" i="8" a="1"/>
  <c r="F24" i="8" s="1"/>
  <c r="F25" i="8" a="1"/>
  <c r="F25" i="8" s="1"/>
  <c r="F26" i="8" a="1"/>
  <c r="F26" i="8" s="1"/>
  <c r="F27" i="8" a="1"/>
  <c r="F27" i="8" s="1"/>
  <c r="F28" i="8" a="1"/>
  <c r="F28" i="8" s="1"/>
  <c r="F29" i="8" a="1"/>
  <c r="F29" i="8" s="1"/>
  <c r="F30" i="8" a="1"/>
  <c r="F30" i="8"/>
  <c r="F31" i="8" a="1"/>
  <c r="F31" i="8" s="1"/>
  <c r="F32" i="8" a="1"/>
  <c r="F32" i="8" s="1"/>
  <c r="F33" i="8" a="1"/>
  <c r="F33" i="8" s="1"/>
  <c r="F34" i="8" a="1"/>
  <c r="F34" i="8" s="1"/>
  <c r="F35" i="8" a="1"/>
  <c r="F35" i="8" s="1"/>
  <c r="F36" i="8" a="1"/>
  <c r="F36" i="8" s="1"/>
  <c r="F37" i="8" a="1"/>
  <c r="F37" i="8" s="1"/>
  <c r="F38" i="8" a="1"/>
  <c r="F38" i="8" s="1"/>
  <c r="F39" i="8" a="1"/>
  <c r="F39" i="8" s="1"/>
  <c r="F40" i="8" a="1"/>
  <c r="F40" i="8" s="1"/>
  <c r="F41" i="8" a="1"/>
  <c r="F41" i="8" s="1"/>
  <c r="F42" i="8" a="1"/>
  <c r="F42" i="8" s="1"/>
  <c r="F43" i="8" a="1"/>
  <c r="F43" i="8" s="1"/>
  <c r="F44" i="8" a="1"/>
  <c r="F44" i="8" s="1"/>
  <c r="F45" i="8" a="1"/>
  <c r="F45" i="8" s="1"/>
  <c r="F46" i="8" a="1"/>
  <c r="F46" i="8" s="1"/>
  <c r="F47" i="8" a="1"/>
  <c r="F47" i="8" s="1"/>
  <c r="F48" i="8" a="1"/>
  <c r="F48" i="8"/>
  <c r="F49" i="8" a="1"/>
  <c r="F49" i="8" s="1"/>
  <c r="F50" i="8" a="1"/>
  <c r="F50" i="8" s="1"/>
  <c r="F51" i="8" a="1"/>
  <c r="F51" i="8" s="1"/>
  <c r="F52" i="8" a="1"/>
  <c r="F52" i="8" s="1"/>
  <c r="F53" i="8" a="1"/>
  <c r="F53" i="8" s="1"/>
  <c r="F54" i="8" a="1"/>
  <c r="F54" i="8" s="1"/>
  <c r="F55" i="8" a="1"/>
  <c r="F55" i="8" s="1"/>
  <c r="F56" i="8" a="1"/>
  <c r="F56" i="8" s="1"/>
  <c r="F57" i="8" a="1"/>
  <c r="F57" i="8" s="1"/>
  <c r="F58" i="8" a="1"/>
  <c r="F58" i="8" s="1"/>
  <c r="F59" i="8" a="1"/>
  <c r="F59" i="8" s="1"/>
  <c r="F60" i="8" a="1"/>
  <c r="F60" i="8" s="1"/>
  <c r="F61" i="8" a="1"/>
  <c r="F61" i="8" s="1"/>
  <c r="F62" i="8" a="1"/>
  <c r="F62" i="8" s="1"/>
  <c r="F63" i="8" a="1"/>
  <c r="F63" i="8" s="1"/>
  <c r="F64" i="8" a="1"/>
  <c r="F64" i="8" s="1"/>
  <c r="F65" i="8" a="1"/>
  <c r="F65" i="8" s="1"/>
  <c r="F66" i="8" a="1"/>
  <c r="F66" i="8"/>
  <c r="F67" i="8" a="1"/>
  <c r="F67" i="8" s="1"/>
  <c r="F68" i="8" a="1"/>
  <c r="F68" i="8" s="1"/>
  <c r="F69" i="8" a="1"/>
  <c r="F69" i="8" s="1"/>
  <c r="F70" i="8" a="1"/>
  <c r="F70" i="8" s="1"/>
  <c r="F71" i="8" a="1"/>
  <c r="F71" i="8" s="1"/>
  <c r="F72" i="8" a="1"/>
  <c r="F72" i="8"/>
  <c r="F73" i="8" a="1"/>
  <c r="F73" i="8"/>
  <c r="F74" i="8" a="1"/>
  <c r="F74" i="8" s="1"/>
  <c r="F75" i="8" a="1"/>
  <c r="F75" i="8" s="1"/>
  <c r="F76" i="8" a="1"/>
  <c r="F76" i="8" s="1"/>
  <c r="F77" i="8" a="1"/>
  <c r="F77" i="8" s="1"/>
  <c r="F78" i="8" a="1"/>
  <c r="F78" i="8" s="1"/>
  <c r="F79" i="8" a="1"/>
  <c r="F79" i="8" s="1"/>
  <c r="F80" i="8" a="1"/>
  <c r="F80" i="8" s="1"/>
  <c r="F81" i="8" a="1"/>
  <c r="F81" i="8" s="1"/>
  <c r="F82" i="8" a="1"/>
  <c r="F82" i="8" s="1"/>
  <c r="F83" i="8" a="1"/>
  <c r="F83" i="8" s="1"/>
  <c r="F84" i="8" a="1"/>
  <c r="F84" i="8" s="1"/>
  <c r="F85" i="8" a="1"/>
  <c r="F85" i="8" s="1"/>
  <c r="F86" i="8" a="1"/>
  <c r="F86" i="8" s="1"/>
  <c r="F87" i="8" a="1"/>
  <c r="F87" i="8" s="1"/>
  <c r="F88" i="8" a="1"/>
  <c r="F88" i="8" s="1"/>
  <c r="F89" i="8" a="1"/>
  <c r="F89" i="8" s="1"/>
  <c r="F90" i="8" a="1"/>
  <c r="F90" i="8"/>
  <c r="F91" i="8" a="1"/>
  <c r="F91" i="8"/>
  <c r="F92" i="8" a="1"/>
  <c r="F92" i="8" s="1"/>
  <c r="F93" i="8" a="1"/>
  <c r="F93" i="8" s="1"/>
  <c r="F94" i="8" a="1"/>
  <c r="F94" i="8" s="1"/>
  <c r="F95" i="8" a="1"/>
  <c r="F95" i="8" s="1"/>
  <c r="F96" i="8" a="1"/>
  <c r="F96" i="8" s="1"/>
  <c r="F97" i="8" a="1"/>
  <c r="F97" i="8" s="1"/>
  <c r="L97" i="8" s="1"/>
  <c r="F98" i="8" a="1"/>
  <c r="F98" i="8" s="1"/>
  <c r="F99" i="8" a="1"/>
  <c r="F99" i="8" s="1"/>
  <c r="F100" i="8" a="1"/>
  <c r="F100" i="8" s="1"/>
  <c r="F101" i="8" a="1"/>
  <c r="F101" i="8" s="1"/>
  <c r="F102" i="8" a="1"/>
  <c r="F102" i="8" s="1"/>
  <c r="F103" i="8" a="1"/>
  <c r="F103" i="8" s="1"/>
  <c r="F104" i="8" a="1"/>
  <c r="F104" i="8" s="1"/>
  <c r="F105" i="8" a="1"/>
  <c r="F105" i="8" s="1"/>
  <c r="F106" i="8" a="1"/>
  <c r="F106" i="8" s="1"/>
  <c r="F107" i="8" a="1"/>
  <c r="F107" i="8" s="1"/>
  <c r="F108" i="8" a="1"/>
  <c r="F108" i="8"/>
  <c r="F109" i="8" a="1"/>
  <c r="F109" i="8" s="1"/>
  <c r="F110" i="8" a="1"/>
  <c r="F110" i="8" s="1"/>
  <c r="F111" i="8" a="1"/>
  <c r="F111" i="8" s="1"/>
  <c r="F112" i="8" a="1"/>
  <c r="F112" i="8" s="1"/>
  <c r="F113" i="8" a="1"/>
  <c r="F113" i="8" s="1"/>
  <c r="F114" i="8" a="1"/>
  <c r="F114" i="8" s="1"/>
  <c r="F115" i="8" a="1"/>
  <c r="F115" i="8" s="1"/>
  <c r="F116" i="8" a="1"/>
  <c r="F116" i="8" s="1"/>
  <c r="F117" i="8" a="1"/>
  <c r="F117" i="8" s="1"/>
  <c r="F118" i="8" a="1"/>
  <c r="F118" i="8" s="1"/>
  <c r="F119" i="8" a="1"/>
  <c r="F119" i="8" s="1"/>
  <c r="F120" i="8" a="1"/>
  <c r="F120" i="8" s="1"/>
  <c r="L120" i="8" s="1"/>
  <c r="F121" i="8" a="1"/>
  <c r="F121" i="8" s="1"/>
  <c r="F122" i="8" a="1"/>
  <c r="F122" i="8" s="1"/>
  <c r="F123" i="8" a="1"/>
  <c r="F123" i="8" s="1"/>
  <c r="F124" i="8" a="1"/>
  <c r="F124" i="8" s="1"/>
  <c r="F125" i="8" a="1"/>
  <c r="F125" i="8" s="1"/>
  <c r="F126" i="8" a="1"/>
  <c r="F126" i="8"/>
  <c r="F127" i="8" a="1"/>
  <c r="F127" i="8" s="1"/>
  <c r="F128" i="8" a="1"/>
  <c r="F128" i="8" s="1"/>
  <c r="F129" i="8" a="1"/>
  <c r="F129" i="8" s="1"/>
  <c r="F130" i="8" a="1"/>
  <c r="F130" i="8" s="1"/>
  <c r="F131" i="8" a="1"/>
  <c r="F131" i="8" s="1"/>
  <c r="F132" i="8" a="1"/>
  <c r="F132" i="8" s="1"/>
  <c r="F133" i="8" a="1"/>
  <c r="F133" i="8" s="1"/>
  <c r="F134" i="8" a="1"/>
  <c r="F134" i="8" s="1"/>
  <c r="F135" i="8" a="1"/>
  <c r="F135" i="8" s="1"/>
  <c r="F136" i="8" a="1"/>
  <c r="F136" i="8" s="1"/>
  <c r="F137" i="8" a="1"/>
  <c r="F137" i="8" s="1"/>
  <c r="F138" i="8" a="1"/>
  <c r="F138" i="8" s="1"/>
  <c r="F139" i="8" a="1"/>
  <c r="F139" i="8" s="1"/>
  <c r="F140" i="8" a="1"/>
  <c r="F140" i="8" s="1"/>
  <c r="F141" i="8" a="1"/>
  <c r="F141" i="8" s="1"/>
  <c r="F142" i="8" a="1"/>
  <c r="F142" i="8" s="1"/>
  <c r="F143" i="8" a="1"/>
  <c r="F143" i="8" s="1"/>
  <c r="F144" i="8" a="1"/>
  <c r="F144" i="8"/>
  <c r="F145" i="8" a="1"/>
  <c r="F145" i="8" s="1"/>
  <c r="F146" i="8" a="1"/>
  <c r="F146" i="8" s="1"/>
  <c r="F147" i="8" a="1"/>
  <c r="F147" i="8" s="1"/>
  <c r="F148" i="8" a="1"/>
  <c r="F148" i="8" s="1"/>
  <c r="F149" i="8" a="1"/>
  <c r="F149" i="8" s="1"/>
  <c r="F150" i="8" a="1"/>
  <c r="F150" i="8" s="1"/>
  <c r="F151" i="8" a="1"/>
  <c r="F151" i="8" s="1"/>
  <c r="F152" i="8" a="1"/>
  <c r="F152" i="8" s="1"/>
  <c r="F153" i="8" a="1"/>
  <c r="F153" i="8" s="1"/>
  <c r="F154" i="8" a="1"/>
  <c r="F154" i="8" s="1"/>
  <c r="F155" i="8" a="1"/>
  <c r="F155" i="8" s="1"/>
  <c r="F156" i="8" a="1"/>
  <c r="F156" i="8" s="1"/>
  <c r="F157" i="8" a="1"/>
  <c r="F157" i="8" s="1"/>
  <c r="F158" i="8" a="1"/>
  <c r="F158" i="8" s="1"/>
  <c r="F159" i="8" a="1"/>
  <c r="F159" i="8" s="1"/>
  <c r="F160" i="8" a="1"/>
  <c r="F160" i="8" s="1"/>
  <c r="F161" i="8" a="1"/>
  <c r="F161" i="8" s="1"/>
  <c r="F162" i="8" a="1"/>
  <c r="F162" i="8"/>
  <c r="F163" i="8" a="1"/>
  <c r="F163" i="8" s="1"/>
  <c r="F164" i="8" a="1"/>
  <c r="F164" i="8" s="1"/>
  <c r="F165" i="8" a="1"/>
  <c r="F165" i="8" s="1"/>
  <c r="F166" i="8" a="1"/>
  <c r="F166" i="8" s="1"/>
  <c r="F167" i="8" a="1"/>
  <c r="F167" i="8" s="1"/>
  <c r="F168" i="8" a="1"/>
  <c r="F168" i="8" s="1"/>
  <c r="F169" i="8" a="1"/>
  <c r="F169" i="8" s="1"/>
  <c r="F170" i="8" a="1"/>
  <c r="F170" i="8" s="1"/>
  <c r="F171" i="8" a="1"/>
  <c r="F171" i="8" s="1"/>
  <c r="F172" i="8" a="1"/>
  <c r="F172" i="8" s="1"/>
  <c r="F173" i="8" a="1"/>
  <c r="F173" i="8" s="1"/>
  <c r="F174" i="8" a="1"/>
  <c r="F174" i="8" s="1"/>
  <c r="F175" i="8" a="1"/>
  <c r="F175" i="8" s="1"/>
  <c r="F176" i="8" a="1"/>
  <c r="F176" i="8" s="1"/>
  <c r="F177" i="8" a="1"/>
  <c r="F177" i="8" s="1"/>
  <c r="F178" i="8" a="1"/>
  <c r="F178" i="8" s="1"/>
  <c r="F179" i="8" a="1"/>
  <c r="F179" i="8" s="1"/>
  <c r="F180" i="8" a="1"/>
  <c r="F180" i="8"/>
  <c r="F181" i="8" a="1"/>
  <c r="F181" i="8" s="1"/>
  <c r="F182" i="8" a="1"/>
  <c r="F182" i="8" s="1"/>
  <c r="F183" i="8" a="1"/>
  <c r="F183" i="8" s="1"/>
  <c r="F184" i="8" a="1"/>
  <c r="F184" i="8" s="1"/>
  <c r="F185" i="8" a="1"/>
  <c r="F185" i="8" s="1"/>
  <c r="F186" i="8" a="1"/>
  <c r="F186" i="8" s="1"/>
  <c r="F187" i="8" a="1"/>
  <c r="F187" i="8" s="1"/>
  <c r="F188" i="8" a="1"/>
  <c r="F188" i="8" s="1"/>
  <c r="F189" i="8" a="1"/>
  <c r="F189" i="8" s="1"/>
  <c r="F190" i="8" a="1"/>
  <c r="F190" i="8" s="1"/>
  <c r="F191" i="8" a="1"/>
  <c r="F191" i="8" s="1"/>
  <c r="F192" i="8" a="1"/>
  <c r="F192" i="8" s="1"/>
  <c r="F193" i="8" a="1"/>
  <c r="F193" i="8" s="1"/>
  <c r="F194" i="8" a="1"/>
  <c r="F194" i="8" s="1"/>
  <c r="F195" i="8" a="1"/>
  <c r="F195" i="8" s="1"/>
  <c r="F196" i="8" a="1"/>
  <c r="F196" i="8" s="1"/>
  <c r="F197" i="8" a="1"/>
  <c r="F197" i="8" s="1"/>
  <c r="F198" i="8" a="1"/>
  <c r="F198" i="8"/>
  <c r="F199" i="8" a="1"/>
  <c r="F199" i="8" s="1"/>
  <c r="L199" i="8" s="1"/>
  <c r="F200" i="8" a="1"/>
  <c r="F200" i="8" s="1"/>
  <c r="F201" i="8" a="1"/>
  <c r="F201" i="8" s="1"/>
  <c r="F202" i="8" a="1"/>
  <c r="F202" i="8" s="1"/>
  <c r="F203" i="8" a="1"/>
  <c r="F203" i="8" s="1"/>
  <c r="F204" i="8" a="1"/>
  <c r="F204" i="8" s="1"/>
  <c r="F205" i="8" a="1"/>
  <c r="F205" i="8" s="1"/>
  <c r="F206" i="8" a="1"/>
  <c r="F206" i="8" s="1"/>
  <c r="F207" i="8" a="1"/>
  <c r="F207" i="8" s="1"/>
  <c r="F208" i="8" a="1"/>
  <c r="F208" i="8" s="1"/>
  <c r="F209" i="8" a="1"/>
  <c r="F209" i="8" s="1"/>
  <c r="F210" i="8" a="1"/>
  <c r="F210" i="8" s="1"/>
  <c r="F211" i="8" a="1"/>
  <c r="F211" i="8" s="1"/>
  <c r="L211" i="8" s="1"/>
  <c r="F212" i="8" a="1"/>
  <c r="F212" i="8" s="1"/>
  <c r="F213" i="8" a="1"/>
  <c r="F213" i="8" s="1"/>
  <c r="F214" i="8" a="1"/>
  <c r="F214" i="8" s="1"/>
  <c r="F215" i="8" a="1"/>
  <c r="F215" i="8" s="1"/>
  <c r="F216" i="8" a="1"/>
  <c r="F216" i="8"/>
  <c r="F217" i="8" a="1"/>
  <c r="F217" i="8" s="1"/>
  <c r="F218" i="8" a="1"/>
  <c r="F218" i="8" s="1"/>
  <c r="F219" i="8" a="1"/>
  <c r="F219" i="8" s="1"/>
  <c r="F220" i="8" a="1"/>
  <c r="F220" i="8" s="1"/>
  <c r="F221" i="8" a="1"/>
  <c r="F221" i="8" s="1"/>
  <c r="F222" i="8" a="1"/>
  <c r="F222" i="8" s="1"/>
  <c r="F223" i="8" a="1"/>
  <c r="F223" i="8" s="1"/>
  <c r="F224" i="8" a="1"/>
  <c r="F224" i="8" s="1"/>
  <c r="F225" i="8" a="1"/>
  <c r="F225" i="8" s="1"/>
  <c r="F226" i="8" a="1"/>
  <c r="F226" i="8" s="1"/>
  <c r="F227" i="8" a="1"/>
  <c r="F227" i="8" s="1"/>
  <c r="F228" i="8" a="1"/>
  <c r="F228" i="8" s="1"/>
  <c r="F229" i="8" a="1"/>
  <c r="F229" i="8" s="1"/>
  <c r="F230" i="8" a="1"/>
  <c r="F230" i="8" s="1"/>
  <c r="F231" i="8" a="1"/>
  <c r="F231" i="8" s="1"/>
  <c r="F232" i="8" a="1"/>
  <c r="F232" i="8" s="1"/>
  <c r="F233" i="8" a="1"/>
  <c r="F233" i="8" s="1"/>
  <c r="F234" i="8" a="1"/>
  <c r="F234" i="8"/>
  <c r="F235" i="8" a="1"/>
  <c r="F235" i="8" s="1"/>
  <c r="F236" i="8" a="1"/>
  <c r="F236" i="8" s="1"/>
  <c r="F237" i="8" a="1"/>
  <c r="F237" i="8" s="1"/>
  <c r="F238" i="8" a="1"/>
  <c r="F238" i="8" s="1"/>
  <c r="F239" i="8" a="1"/>
  <c r="F239" i="8" s="1"/>
  <c r="F240" i="8" a="1"/>
  <c r="F240" i="8" s="1"/>
  <c r="F241" i="8" a="1"/>
  <c r="F241" i="8" s="1"/>
  <c r="F242" i="8" a="1"/>
  <c r="F242" i="8" s="1"/>
  <c r="F243" i="8" a="1"/>
  <c r="F243" i="8" s="1"/>
  <c r="F244" i="8" a="1"/>
  <c r="F244" i="8" s="1"/>
  <c r="F245" i="8" a="1"/>
  <c r="F245" i="8" s="1"/>
  <c r="F246" i="8" a="1"/>
  <c r="F246" i="8" s="1"/>
  <c r="F247" i="8" a="1"/>
  <c r="F247" i="8" s="1"/>
  <c r="F248" i="8" a="1"/>
  <c r="F248" i="8" s="1"/>
  <c r="F249" i="8" a="1"/>
  <c r="F249" i="8" s="1"/>
  <c r="F250" i="8" a="1"/>
  <c r="F250" i="8" s="1"/>
  <c r="F251" i="8" a="1"/>
  <c r="F251" i="8" s="1"/>
  <c r="F252" i="8" a="1"/>
  <c r="F252" i="8"/>
  <c r="F253" i="8" a="1"/>
  <c r="F253" i="8" s="1"/>
  <c r="F254" i="8" a="1"/>
  <c r="F254" i="8" s="1"/>
  <c r="F255" i="8" a="1"/>
  <c r="F255" i="8" s="1"/>
  <c r="F256" i="8" a="1"/>
  <c r="F256" i="8" s="1"/>
  <c r="F257" i="8" a="1"/>
  <c r="F257" i="8" s="1"/>
  <c r="F258" i="8" a="1"/>
  <c r="F258" i="8" s="1"/>
  <c r="F259" i="8" a="1"/>
  <c r="F259" i="8" s="1"/>
  <c r="F260" i="8" a="1"/>
  <c r="F260" i="8" s="1"/>
  <c r="F261" i="8" a="1"/>
  <c r="F261" i="8" s="1"/>
  <c r="F262" i="8" a="1"/>
  <c r="F262" i="8" s="1"/>
  <c r="F263" i="8" a="1"/>
  <c r="F263" i="8" s="1"/>
  <c r="F264" i="8" a="1"/>
  <c r="F264" i="8" s="1"/>
  <c r="F265" i="8" a="1"/>
  <c r="F265" i="8" s="1"/>
  <c r="F266" i="8" a="1"/>
  <c r="F266" i="8" s="1"/>
  <c r="F267" i="8" a="1"/>
  <c r="F267" i="8" s="1"/>
  <c r="F268" i="8" a="1"/>
  <c r="F268" i="8" s="1"/>
  <c r="F269" i="8" a="1"/>
  <c r="F269" i="8" s="1"/>
  <c r="F270" i="8" a="1"/>
  <c r="F270" i="8"/>
  <c r="F271" i="8" a="1"/>
  <c r="F271" i="8" s="1"/>
  <c r="F272" i="8" a="1"/>
  <c r="F272" i="8" s="1"/>
  <c r="F273" i="8" a="1"/>
  <c r="F273" i="8" s="1"/>
  <c r="F274" i="8" a="1"/>
  <c r="F274" i="8" s="1"/>
  <c r="F275" i="8" a="1"/>
  <c r="F275" i="8" s="1"/>
  <c r="F276" i="8" a="1"/>
  <c r="F276" i="8" s="1"/>
  <c r="F277" i="8" a="1"/>
  <c r="F277" i="8" s="1"/>
  <c r="F278" i="8" a="1"/>
  <c r="F278" i="8" s="1"/>
  <c r="F279" i="8" a="1"/>
  <c r="F279" i="8" s="1"/>
  <c r="F280" i="8" a="1"/>
  <c r="F280" i="8" s="1"/>
  <c r="F281" i="8" a="1"/>
  <c r="F281" i="8" s="1"/>
  <c r="F282" i="8" a="1"/>
  <c r="F282" i="8"/>
  <c r="F283" i="8" a="1"/>
  <c r="F283" i="8"/>
  <c r="F284" i="8" a="1"/>
  <c r="F284" i="8" s="1"/>
  <c r="F285" i="8" a="1"/>
  <c r="F285" i="8" s="1"/>
  <c r="F286" i="8" a="1"/>
  <c r="F286" i="8"/>
  <c r="F287" i="8" a="1"/>
  <c r="F287" i="8" s="1"/>
  <c r="F288" i="8" a="1"/>
  <c r="F288" i="8" s="1"/>
  <c r="L288" i="8" s="1"/>
  <c r="F289" i="8" a="1"/>
  <c r="F289" i="8" s="1"/>
  <c r="F290" i="8" a="1"/>
  <c r="F290" i="8" s="1"/>
  <c r="F291" i="8" a="1"/>
  <c r="F291" i="8" s="1"/>
  <c r="F292" i="8" a="1"/>
  <c r="F292" i="8" s="1"/>
  <c r="F293" i="8" a="1"/>
  <c r="F293" i="8" s="1"/>
  <c r="F294" i="8" a="1"/>
  <c r="F294" i="8"/>
  <c r="F295" i="8" a="1"/>
  <c r="F295" i="8" s="1"/>
  <c r="F296" i="8" a="1"/>
  <c r="F296" i="8" s="1"/>
  <c r="F297" i="8" a="1"/>
  <c r="F297" i="8" s="1"/>
  <c r="F298" i="8" a="1"/>
  <c r="F298" i="8" s="1"/>
  <c r="F299" i="8" a="1"/>
  <c r="F299" i="8" s="1"/>
  <c r="F300" i="8" a="1"/>
  <c r="F300" i="8" s="1"/>
  <c r="F301" i="8" a="1"/>
  <c r="F301" i="8" s="1"/>
  <c r="F302" i="8" a="1"/>
  <c r="F302" i="8" s="1"/>
  <c r="F303" i="8" a="1"/>
  <c r="F303" i="8" s="1"/>
  <c r="F304" i="8" a="1"/>
  <c r="F304" i="8" s="1"/>
  <c r="F305" i="8" a="1"/>
  <c r="F305" i="8" s="1"/>
  <c r="F306" i="8" a="1"/>
  <c r="F306" i="8" s="1"/>
  <c r="F307" i="8" a="1"/>
  <c r="F307" i="8"/>
  <c r="F308" i="8" a="1"/>
  <c r="F308" i="8" s="1"/>
  <c r="F309" i="8" a="1"/>
  <c r="F309" i="8" s="1"/>
  <c r="F310" i="8" a="1"/>
  <c r="F310" i="8"/>
  <c r="F311" i="8" a="1"/>
  <c r="F311" i="8" s="1"/>
  <c r="F312" i="8" a="1"/>
  <c r="F312" i="8" s="1"/>
  <c r="F313" i="8" a="1"/>
  <c r="F313" i="8"/>
  <c r="F314" i="8" a="1"/>
  <c r="F314" i="8" s="1"/>
  <c r="F315" i="8" a="1"/>
  <c r="F315" i="8" s="1"/>
  <c r="F316" i="8" a="1"/>
  <c r="F316" i="8" s="1"/>
  <c r="F317" i="8" a="1"/>
  <c r="F317" i="8" s="1"/>
  <c r="F318" i="8" a="1"/>
  <c r="F318" i="8"/>
  <c r="F319" i="8" a="1"/>
  <c r="F319" i="8" s="1"/>
  <c r="L319" i="8" s="1"/>
  <c r="F320" i="8" a="1"/>
  <c r="F320" i="8" s="1"/>
  <c r="F321" i="8" a="1"/>
  <c r="F321" i="8" s="1"/>
  <c r="F322" i="8" a="1"/>
  <c r="F322" i="8" s="1"/>
  <c r="F323" i="8" a="1"/>
  <c r="F323" i="8" s="1"/>
  <c r="F324" i="8" a="1"/>
  <c r="F324" i="8" s="1"/>
  <c r="F325" i="8" a="1"/>
  <c r="F325" i="8" s="1"/>
  <c r="F326" i="8" a="1"/>
  <c r="F326" i="8" s="1"/>
  <c r="F327" i="8" a="1"/>
  <c r="F327" i="8" s="1"/>
  <c r="F328" i="8" a="1"/>
  <c r="F328" i="8" s="1"/>
  <c r="F329" i="8" a="1"/>
  <c r="F329" i="8" s="1"/>
  <c r="F330" i="8" a="1"/>
  <c r="F330" i="8" s="1"/>
  <c r="F331" i="8" a="1"/>
  <c r="F331" i="8"/>
  <c r="F332" i="8" a="1"/>
  <c r="F332" i="8" s="1"/>
  <c r="F333" i="8" a="1"/>
  <c r="F333" i="8" s="1"/>
  <c r="F334" i="8" a="1"/>
  <c r="F334" i="8"/>
  <c r="F335" i="8" a="1"/>
  <c r="F335" i="8" s="1"/>
  <c r="F336" i="8" a="1"/>
  <c r="F336" i="8" s="1"/>
  <c r="F337" i="8" a="1"/>
  <c r="F337" i="8"/>
  <c r="F338" i="8" a="1"/>
  <c r="F338" i="8" s="1"/>
  <c r="F339" i="8" a="1"/>
  <c r="F339" i="8" s="1"/>
  <c r="F340" i="8" a="1"/>
  <c r="F340" i="8" s="1"/>
  <c r="L340" i="8" s="1"/>
  <c r="F341" i="8" a="1"/>
  <c r="F341" i="8" s="1"/>
  <c r="F342" i="8" a="1"/>
  <c r="F342" i="8"/>
  <c r="F343" i="8" a="1"/>
  <c r="F343" i="8" s="1"/>
  <c r="F344" i="8" a="1"/>
  <c r="F344" i="8" s="1"/>
  <c r="F345" i="8" a="1"/>
  <c r="F345" i="8" s="1"/>
  <c r="F346" i="8" a="1"/>
  <c r="F346" i="8" s="1"/>
  <c r="F347" i="8" a="1"/>
  <c r="F347" i="8" s="1"/>
  <c r="F348" i="8" a="1"/>
  <c r="F348" i="8" s="1"/>
  <c r="F349" i="8" a="1"/>
  <c r="F349" i="8" s="1"/>
  <c r="F350" i="8" a="1"/>
  <c r="F350" i="8" s="1"/>
  <c r="F351" i="8" a="1"/>
  <c r="F351" i="8" s="1"/>
  <c r="L351" i="8" s="1"/>
  <c r="F352" i="8" a="1"/>
  <c r="F352" i="8" s="1"/>
  <c r="F353" i="8" a="1"/>
  <c r="F353" i="8" s="1"/>
  <c r="F354" i="8" a="1"/>
  <c r="F354" i="8" s="1"/>
  <c r="F355" i="8" a="1"/>
  <c r="F355" i="8"/>
  <c r="F356" i="8" a="1"/>
  <c r="F356" i="8" s="1"/>
  <c r="F357" i="8" a="1"/>
  <c r="F357" i="8" s="1"/>
  <c r="F358" i="8" a="1"/>
  <c r="F358" i="8"/>
  <c r="F359" i="8" a="1"/>
  <c r="F359" i="8" s="1"/>
  <c r="F360" i="8" a="1"/>
  <c r="F360" i="8" s="1"/>
  <c r="F361" i="8" a="1"/>
  <c r="F361" i="8"/>
  <c r="F362" i="8" a="1"/>
  <c r="F362" i="8" s="1"/>
  <c r="F363" i="8" a="1"/>
  <c r="F363" i="8" s="1"/>
  <c r="F364" i="8" a="1"/>
  <c r="F364" i="8" s="1"/>
  <c r="F365" i="8" a="1"/>
  <c r="F365" i="8" s="1"/>
  <c r="F366" i="8" a="1"/>
  <c r="F366" i="8"/>
  <c r="F367" i="8" a="1"/>
  <c r="F367" i="8" s="1"/>
  <c r="F368" i="8" a="1"/>
  <c r="F368" i="8" s="1"/>
  <c r="F369" i="8" a="1"/>
  <c r="F369" i="8" s="1"/>
  <c r="F370" i="8" a="1"/>
  <c r="F370" i="8" s="1"/>
  <c r="F371" i="8" a="1"/>
  <c r="F371" i="8" s="1"/>
  <c r="F372" i="8" a="1"/>
  <c r="F372" i="8" s="1"/>
  <c r="F373" i="8" a="1"/>
  <c r="F373" i="8" s="1"/>
  <c r="F374" i="8" a="1"/>
  <c r="F374" i="8" s="1"/>
  <c r="F375" i="8" a="1"/>
  <c r="F375" i="8" s="1"/>
  <c r="F376" i="8" a="1"/>
  <c r="F376" i="8" s="1"/>
  <c r="F377" i="8" a="1"/>
  <c r="F377" i="8" s="1"/>
  <c r="F378" i="8" a="1"/>
  <c r="F378" i="8" s="1"/>
  <c r="F379" i="8" a="1"/>
  <c r="F379" i="8"/>
  <c r="F380" i="8" a="1"/>
  <c r="F380" i="8" s="1"/>
  <c r="F381" i="8" a="1"/>
  <c r="F381" i="8" s="1"/>
  <c r="F382" i="8" a="1"/>
  <c r="F382" i="8"/>
  <c r="F383" i="8" a="1"/>
  <c r="F383" i="8" s="1"/>
  <c r="F384" i="8" a="1"/>
  <c r="F384" i="8" s="1"/>
  <c r="F385" i="8" a="1"/>
  <c r="F385" i="8"/>
  <c r="F386" i="8" a="1"/>
  <c r="F386" i="8" s="1"/>
  <c r="F387" i="8" a="1"/>
  <c r="F387" i="8" s="1"/>
  <c r="F388" i="8" a="1"/>
  <c r="F388" i="8" s="1"/>
  <c r="F389" i="8" a="1"/>
  <c r="F389" i="8" s="1"/>
  <c r="F390" i="8" a="1"/>
  <c r="F390" i="8"/>
  <c r="F391" i="8" a="1"/>
  <c r="F391" i="8" s="1"/>
  <c r="L391" i="8" s="1"/>
  <c r="F392" i="8" a="1"/>
  <c r="F392" i="8" s="1"/>
  <c r="F393" i="8" a="1"/>
  <c r="F393" i="8" s="1"/>
  <c r="F394" i="8" a="1"/>
  <c r="F394" i="8" s="1"/>
  <c r="F395" i="8" a="1"/>
  <c r="F395" i="8" s="1"/>
  <c r="F396" i="8" a="1"/>
  <c r="F396" i="8" s="1"/>
  <c r="F397" i="8" a="1"/>
  <c r="F397" i="8" s="1"/>
  <c r="F398" i="8" a="1"/>
  <c r="F398" i="8" s="1"/>
  <c r="F399" i="8" a="1"/>
  <c r="F399" i="8" s="1"/>
  <c r="F400" i="8" a="1"/>
  <c r="F400" i="8" s="1"/>
  <c r="F401" i="8" a="1"/>
  <c r="F401" i="8" s="1"/>
  <c r="F402" i="8" a="1"/>
  <c r="F402" i="8" s="1"/>
  <c r="F403" i="8" a="1"/>
  <c r="F403" i="8"/>
  <c r="F404" i="8" a="1"/>
  <c r="F404" i="8" s="1"/>
  <c r="F405" i="8" a="1"/>
  <c r="F405" i="8" s="1"/>
  <c r="F406" i="8" a="1"/>
  <c r="F406" i="8"/>
  <c r="F407" i="8" a="1"/>
  <c r="F407" i="8" s="1"/>
  <c r="F408" i="8" a="1"/>
  <c r="F408" i="8" s="1"/>
  <c r="F409" i="8" a="1"/>
  <c r="F409" i="8"/>
  <c r="F410" i="8" a="1"/>
  <c r="F410" i="8" s="1"/>
  <c r="F411" i="8" a="1"/>
  <c r="F411" i="8" s="1"/>
  <c r="F412" i="8" a="1"/>
  <c r="F412" i="8" s="1"/>
  <c r="L412" i="8" s="1"/>
  <c r="F413" i="8" a="1"/>
  <c r="F413" i="8" s="1"/>
  <c r="F414" i="8" a="1"/>
  <c r="F414" i="8"/>
  <c r="F415" i="8" a="1"/>
  <c r="F415" i="8" s="1"/>
  <c r="F416" i="8" a="1"/>
  <c r="F416" i="8" s="1"/>
  <c r="F417" i="8" a="1"/>
  <c r="F417" i="8" s="1"/>
  <c r="F418" i="8" a="1"/>
  <c r="F418" i="8" s="1"/>
  <c r="F419" i="8" a="1"/>
  <c r="F419" i="8" s="1"/>
  <c r="F420" i="8" a="1"/>
  <c r="F420" i="8" s="1"/>
  <c r="F421" i="8" a="1"/>
  <c r="F421" i="8" s="1"/>
  <c r="F422" i="8" a="1"/>
  <c r="F422" i="8" s="1"/>
  <c r="L422" i="8" s="1"/>
  <c r="F423" i="8" a="1"/>
  <c r="F423" i="8" s="1"/>
  <c r="L423" i="8" s="1"/>
  <c r="F424" i="8" a="1"/>
  <c r="F424" i="8" s="1"/>
  <c r="F425" i="8" a="1"/>
  <c r="F425" i="8" s="1"/>
  <c r="F426" i="8" a="1"/>
  <c r="F426" i="8" s="1"/>
  <c r="F427" i="8" a="1"/>
  <c r="F427" i="8"/>
  <c r="F428" i="8" a="1"/>
  <c r="F428" i="8" s="1"/>
  <c r="F429" i="8" a="1"/>
  <c r="F429" i="8" s="1"/>
  <c r="F430" i="8" a="1"/>
  <c r="F430" i="8"/>
  <c r="F431" i="8" a="1"/>
  <c r="F431" i="8" s="1"/>
  <c r="F432" i="8" a="1"/>
  <c r="F432" i="8" s="1"/>
  <c r="F433" i="8" a="1"/>
  <c r="F433" i="8"/>
  <c r="F434" i="8" a="1"/>
  <c r="F434" i="8" s="1"/>
  <c r="F435" i="8" a="1"/>
  <c r="F435" i="8" s="1"/>
  <c r="F436" i="8" a="1"/>
  <c r="F436" i="8" s="1"/>
  <c r="F437" i="8" a="1"/>
  <c r="F437" i="8" s="1"/>
  <c r="F438" i="8" a="1"/>
  <c r="F438" i="8"/>
  <c r="F439" i="8" a="1"/>
  <c r="F439" i="8" s="1"/>
  <c r="F440" i="8" a="1"/>
  <c r="F440" i="8" s="1"/>
  <c r="F441" i="8" a="1"/>
  <c r="F441" i="8" s="1"/>
  <c r="F442" i="8" a="1"/>
  <c r="F442" i="8" s="1"/>
  <c r="F443" i="8" a="1"/>
  <c r="F443" i="8" s="1"/>
  <c r="F444" i="8" a="1"/>
  <c r="F444" i="8" s="1"/>
  <c r="F445" i="8" a="1"/>
  <c r="F445" i="8" s="1"/>
  <c r="F446" i="8" a="1"/>
  <c r="F446" i="8" s="1"/>
  <c r="L446" i="8" s="1"/>
  <c r="F447" i="8" a="1"/>
  <c r="F447" i="8" s="1"/>
  <c r="F448" i="8" a="1"/>
  <c r="F448" i="8" s="1"/>
  <c r="F449" i="8" a="1"/>
  <c r="F449" i="8" s="1"/>
  <c r="F450" i="8" a="1"/>
  <c r="F450" i="8" s="1"/>
  <c r="F451" i="8" a="1"/>
  <c r="F451" i="8"/>
  <c r="F452" i="8" a="1"/>
  <c r="F452" i="8" s="1"/>
  <c r="F453" i="8" a="1"/>
  <c r="F453" i="8" s="1"/>
  <c r="F454" i="8" a="1"/>
  <c r="F454" i="8"/>
  <c r="F455" i="8" a="1"/>
  <c r="F455" i="8" s="1"/>
  <c r="F456" i="8" a="1"/>
  <c r="F456" i="8" s="1"/>
  <c r="F457" i="8" a="1"/>
  <c r="F457" i="8"/>
  <c r="F458" i="8" a="1"/>
  <c r="F458" i="8" s="1"/>
  <c r="F459" i="8" a="1"/>
  <c r="F459" i="8" s="1"/>
  <c r="F460" i="8" a="1"/>
  <c r="F460" i="8" s="1"/>
  <c r="F461" i="8" a="1"/>
  <c r="F461" i="8" s="1"/>
  <c r="F462" i="8" a="1"/>
  <c r="F462" i="8"/>
  <c r="F463" i="8" a="1"/>
  <c r="F463" i="8" s="1"/>
  <c r="L463" i="8" s="1"/>
  <c r="F464" i="8" a="1"/>
  <c r="F464" i="8" s="1"/>
  <c r="F465" i="8" a="1"/>
  <c r="F465" i="8" s="1"/>
  <c r="F466" i="8" a="1"/>
  <c r="F466" i="8" s="1"/>
  <c r="F467" i="8" a="1"/>
  <c r="F467" i="8" s="1"/>
  <c r="F468" i="8" a="1"/>
  <c r="F468" i="8" s="1"/>
  <c r="F469" i="8" a="1"/>
  <c r="F469" i="8" s="1"/>
  <c r="F470" i="8" a="1"/>
  <c r="F470" i="8" s="1"/>
  <c r="L470" i="8" s="1"/>
  <c r="F471" i="8" a="1"/>
  <c r="F471" i="8" s="1"/>
  <c r="F472" i="8" a="1"/>
  <c r="F472" i="8" s="1"/>
  <c r="F473" i="8" a="1"/>
  <c r="F473" i="8" s="1"/>
  <c r="F474" i="8" a="1"/>
  <c r="F474" i="8" s="1"/>
  <c r="F475" i="8" a="1"/>
  <c r="F475" i="8"/>
  <c r="F476" i="8" a="1"/>
  <c r="F476" i="8" s="1"/>
  <c r="F477" i="8" a="1"/>
  <c r="F477" i="8" s="1"/>
  <c r="F478" i="8" a="1"/>
  <c r="F478" i="8"/>
  <c r="F479" i="8" a="1"/>
  <c r="F479" i="8" s="1"/>
  <c r="F480" i="8" a="1"/>
  <c r="F480" i="8" s="1"/>
  <c r="F481" i="8" a="1"/>
  <c r="F481" i="8" s="1"/>
  <c r="L481" i="8" s="1"/>
  <c r="F482" i="8" a="1"/>
  <c r="F482" i="8" s="1"/>
  <c r="F483" i="8" a="1"/>
  <c r="F483" i="8" s="1"/>
  <c r="F484" i="8" a="1"/>
  <c r="F484" i="8" s="1"/>
  <c r="L484" i="8" s="1"/>
  <c r="F485" i="8" a="1"/>
  <c r="F485" i="8" s="1"/>
  <c r="F486" i="8" a="1"/>
  <c r="F486" i="8"/>
  <c r="F487" i="8" a="1"/>
  <c r="F487" i="8" s="1"/>
  <c r="F488" i="8" a="1"/>
  <c r="F488" i="8" s="1"/>
  <c r="F489" i="8" a="1"/>
  <c r="F489" i="8" s="1"/>
  <c r="F490" i="8" a="1"/>
  <c r="F490" i="8" s="1"/>
  <c r="F491" i="8" a="1"/>
  <c r="F491" i="8" s="1"/>
  <c r="F492" i="8" a="1"/>
  <c r="F492" i="8" s="1"/>
  <c r="F493" i="8" a="1"/>
  <c r="F493" i="8" s="1"/>
  <c r="F494" i="8" a="1"/>
  <c r="F494" i="8" s="1"/>
  <c r="L494" i="8" s="1"/>
  <c r="F495" i="8" a="1"/>
  <c r="F495" i="8" s="1"/>
  <c r="L495" i="8" s="1"/>
  <c r="F496" i="8" a="1"/>
  <c r="F496" i="8" s="1"/>
  <c r="F497" i="8" a="1"/>
  <c r="F497" i="8" s="1"/>
  <c r="F498" i="8" a="1"/>
  <c r="F498" i="8" s="1"/>
  <c r="F499" i="8" a="1"/>
  <c r="F499" i="8"/>
  <c r="F500" i="8" a="1"/>
  <c r="F500" i="8" s="1"/>
  <c r="F501" i="8" a="1"/>
  <c r="F501" i="8" s="1"/>
  <c r="F502" i="8" a="1"/>
  <c r="F502" i="8"/>
  <c r="F503" i="8" a="1"/>
  <c r="F503" i="8" s="1"/>
  <c r="F504" i="8" a="1"/>
  <c r="F504" i="8" s="1"/>
  <c r="F505" i="8" a="1"/>
  <c r="F505" i="8" s="1"/>
  <c r="L505" i="8" s="1"/>
  <c r="F506" i="8" a="1"/>
  <c r="F506" i="8" s="1"/>
  <c r="F507" i="8" a="1"/>
  <c r="F507" i="8" s="1"/>
  <c r="F508" i="8" a="1"/>
  <c r="F508" i="8" s="1"/>
  <c r="F509" i="8" a="1"/>
  <c r="F509" i="8" s="1"/>
  <c r="F510" i="8" a="1"/>
  <c r="F510" i="8"/>
  <c r="F511" i="8" a="1"/>
  <c r="F511" i="8" s="1"/>
  <c r="F512" i="8" a="1"/>
  <c r="F512" i="8"/>
  <c r="F513" i="8" a="1"/>
  <c r="F513" i="8" s="1"/>
  <c r="F514" i="8" a="1"/>
  <c r="F514" i="8"/>
  <c r="F515" i="8" a="1"/>
  <c r="F515" i="8"/>
  <c r="F516" i="8" a="1"/>
  <c r="F516" i="8"/>
  <c r="F517" i="8" a="1"/>
  <c r="F517" i="8" s="1"/>
  <c r="F518" i="8" a="1"/>
  <c r="F518" i="8"/>
  <c r="L518" i="8" s="1"/>
  <c r="F519" i="8" a="1"/>
  <c r="F519" i="8" s="1"/>
  <c r="F520" i="8" a="1"/>
  <c r="F520" i="8"/>
  <c r="F521" i="8" a="1"/>
  <c r="F521" i="8"/>
  <c r="F522" i="8" a="1"/>
  <c r="F522" i="8"/>
  <c r="F523" i="8" a="1"/>
  <c r="F523" i="8" s="1"/>
  <c r="F524" i="8" a="1"/>
  <c r="F524" i="8"/>
  <c r="F525" i="8" a="1"/>
  <c r="F525" i="8" s="1"/>
  <c r="F526" i="8" a="1"/>
  <c r="F526" i="8"/>
  <c r="F527" i="8" a="1"/>
  <c r="F527" i="8"/>
  <c r="F528" i="8" a="1"/>
  <c r="F528" i="8"/>
  <c r="F529" i="8" a="1"/>
  <c r="F529" i="8" s="1"/>
  <c r="F530" i="8" a="1"/>
  <c r="F530" i="8"/>
  <c r="L530" i="8" s="1"/>
  <c r="F531" i="8" a="1"/>
  <c r="F531" i="8" s="1"/>
  <c r="F532" i="8" a="1"/>
  <c r="F532" i="8"/>
  <c r="F533" i="8" a="1"/>
  <c r="F533" i="8"/>
  <c r="F534" i="8" a="1"/>
  <c r="F534" i="8"/>
  <c r="F535" i="8" a="1"/>
  <c r="F535" i="8" s="1"/>
  <c r="L535" i="8" s="1"/>
  <c r="F536" i="8" a="1"/>
  <c r="F536" i="8"/>
  <c r="F537" i="8" a="1"/>
  <c r="F537" i="8" s="1"/>
  <c r="F538" i="8" a="1"/>
  <c r="F538" i="8"/>
  <c r="F539" i="8" a="1"/>
  <c r="F539" i="8"/>
  <c r="F540" i="8" a="1"/>
  <c r="F540" i="8"/>
  <c r="F541" i="8" a="1"/>
  <c r="F541" i="8" s="1"/>
  <c r="F542" i="8" a="1"/>
  <c r="F542" i="8"/>
  <c r="L542" i="8" s="1"/>
  <c r="F543" i="8" a="1"/>
  <c r="F543" i="8" s="1"/>
  <c r="F544" i="8" a="1"/>
  <c r="F544" i="8"/>
  <c r="F545" i="8" a="1"/>
  <c r="F545" i="8"/>
  <c r="F546" i="8" a="1"/>
  <c r="F546" i="8"/>
  <c r="F547" i="8" a="1"/>
  <c r="F547" i="8" s="1"/>
  <c r="F548" i="8" a="1"/>
  <c r="F548" i="8"/>
  <c r="F549" i="8" a="1"/>
  <c r="F549" i="8" s="1"/>
  <c r="F550" i="8" a="1"/>
  <c r="F550" i="8" s="1"/>
  <c r="L550" i="8" s="1"/>
  <c r="F551" i="8" a="1"/>
  <c r="F551" i="8"/>
  <c r="F552" i="8" a="1"/>
  <c r="F552" i="8"/>
  <c r="F553" i="8" a="1"/>
  <c r="F553" i="8" s="1"/>
  <c r="F554" i="8" a="1"/>
  <c r="F554" i="8"/>
  <c r="L554" i="8" s="1"/>
  <c r="F555" i="8" a="1"/>
  <c r="F555" i="8" s="1"/>
  <c r="F556" i="8" a="1"/>
  <c r="F556" i="8"/>
  <c r="F557" i="8" a="1"/>
  <c r="F557" i="8"/>
  <c r="F558" i="8" a="1"/>
  <c r="F558" i="8"/>
  <c r="F559" i="8" a="1"/>
  <c r="F559" i="8" s="1"/>
  <c r="F560" i="8" a="1"/>
  <c r="F560" i="8"/>
  <c r="F561" i="8" a="1"/>
  <c r="F561" i="8" s="1"/>
  <c r="F562" i="8" a="1"/>
  <c r="F562" i="8" s="1"/>
  <c r="L562" i="8" s="1"/>
  <c r="F563" i="8" a="1"/>
  <c r="F563" i="8"/>
  <c r="F564" i="8" a="1"/>
  <c r="F564" i="8" s="1"/>
  <c r="L564" i="8" s="1"/>
  <c r="F565" i="8" a="1"/>
  <c r="F565" i="8" s="1"/>
  <c r="F566" i="8" a="1"/>
  <c r="F566" i="8"/>
  <c r="L566" i="8" s="1"/>
  <c r="F567" i="8" a="1"/>
  <c r="F567" i="8" s="1"/>
  <c r="F568" i="8" a="1"/>
  <c r="F568" i="8"/>
  <c r="F569" i="8" a="1"/>
  <c r="F569" i="8"/>
  <c r="F570" i="8" a="1"/>
  <c r="F570" i="8"/>
  <c r="F571" i="8" a="1"/>
  <c r="F571" i="8" s="1"/>
  <c r="L571" i="8" s="1"/>
  <c r="F572" i="8" a="1"/>
  <c r="F572" i="8"/>
  <c r="F573" i="8" a="1"/>
  <c r="F573" i="8" s="1"/>
  <c r="F574" i="8" a="1"/>
  <c r="F574" i="8"/>
  <c r="F575" i="8" a="1"/>
  <c r="F575" i="8"/>
  <c r="F576" i="8" a="1"/>
  <c r="F576" i="8" s="1"/>
  <c r="L576" i="8" s="1"/>
  <c r="F577" i="8" a="1"/>
  <c r="F577" i="8" s="1"/>
  <c r="F578" i="8" a="1"/>
  <c r="F578" i="8"/>
  <c r="L578" i="8" s="1"/>
  <c r="F579" i="8" a="1"/>
  <c r="F579" i="8" s="1"/>
  <c r="F580" i="8" a="1"/>
  <c r="F580" i="8"/>
  <c r="F581" i="8" a="1"/>
  <c r="F581" i="8"/>
  <c r="F582" i="8" a="1"/>
  <c r="F582" i="8"/>
  <c r="F583" i="8" a="1"/>
  <c r="F583" i="8" s="1"/>
  <c r="F584" i="8" a="1"/>
  <c r="F584" i="8"/>
  <c r="F585" i="8" a="1"/>
  <c r="F585" i="8" s="1"/>
  <c r="F586" i="8" a="1"/>
  <c r="F586" i="8" s="1"/>
  <c r="L586" i="8" s="1"/>
  <c r="F587" i="8" a="1"/>
  <c r="F587" i="8"/>
  <c r="F588" i="8" a="1"/>
  <c r="F588" i="8"/>
  <c r="F589" i="8" a="1"/>
  <c r="F589" i="8" s="1"/>
  <c r="F590" i="8" a="1"/>
  <c r="F590" i="8"/>
  <c r="L590" i="8" s="1"/>
  <c r="F591" i="8" a="1"/>
  <c r="F591" i="8" s="1"/>
  <c r="F592" i="8" a="1"/>
  <c r="F592" i="8"/>
  <c r="F593" i="8" a="1"/>
  <c r="F593" i="8"/>
  <c r="F594" i="8" a="1"/>
  <c r="F594" i="8"/>
  <c r="F595" i="8" a="1"/>
  <c r="F595" i="8" s="1"/>
  <c r="F596" i="8" a="1"/>
  <c r="F596" i="8"/>
  <c r="F597" i="8" a="1"/>
  <c r="F597" i="8" s="1"/>
  <c r="F598" i="8" a="1"/>
  <c r="F598" i="8" s="1"/>
  <c r="L598" i="8" s="1"/>
  <c r="F599" i="8" a="1"/>
  <c r="F599" i="8"/>
  <c r="F600" i="8" a="1"/>
  <c r="F600" i="8" s="1"/>
  <c r="L600" i="8" s="1"/>
  <c r="F601" i="8" a="1"/>
  <c r="F601" i="8" s="1"/>
  <c r="F602" i="8" a="1"/>
  <c r="F602" i="8"/>
  <c r="L602" i="8" s="1"/>
  <c r="F603" i="8" a="1"/>
  <c r="F603" i="8" s="1"/>
  <c r="F604" i="8" a="1"/>
  <c r="F604" i="8" s="1"/>
  <c r="L604" i="8" s="1"/>
  <c r="F605" i="8" a="1"/>
  <c r="F605" i="8"/>
  <c r="F606" i="8" a="1"/>
  <c r="F606" i="8"/>
  <c r="F607" i="8" a="1"/>
  <c r="F607" i="8" s="1"/>
  <c r="L607" i="8" s="1"/>
  <c r="F608" i="8" a="1"/>
  <c r="F608" i="8"/>
  <c r="F609" i="8" a="1"/>
  <c r="F609" i="8" s="1"/>
  <c r="F610" i="8" a="1"/>
  <c r="F610" i="8" s="1"/>
  <c r="L610" i="8" s="1"/>
  <c r="F611" i="8" a="1"/>
  <c r="F611" i="8"/>
  <c r="F612" i="8" a="1"/>
  <c r="F612" i="8" s="1"/>
  <c r="L612" i="8" s="1"/>
  <c r="F613" i="8" a="1"/>
  <c r="F613" i="8" s="1"/>
  <c r="F614" i="8" a="1"/>
  <c r="F614" i="8"/>
  <c r="L614" i="8" s="1"/>
  <c r="F615" i="8" a="1"/>
  <c r="F615" i="8" s="1"/>
  <c r="F616" i="8" a="1"/>
  <c r="F616" i="8" s="1"/>
  <c r="L616" i="8" s="1"/>
  <c r="F617" i="8" a="1"/>
  <c r="F617" i="8"/>
  <c r="F618" i="8" a="1"/>
  <c r="F618" i="8" s="1"/>
  <c r="L618" i="8" s="1"/>
  <c r="F619" i="8" a="1"/>
  <c r="F619" i="8" s="1"/>
  <c r="F620" i="8" a="1"/>
  <c r="F620" i="8"/>
  <c r="F621" i="8" a="1"/>
  <c r="F621" i="8" s="1"/>
  <c r="F622" i="8" a="1"/>
  <c r="F622" i="8" s="1"/>
  <c r="L622" i="8" s="1"/>
  <c r="F623" i="8" a="1"/>
  <c r="F623" i="8"/>
  <c r="F624" i="8" a="1"/>
  <c r="F624" i="8" s="1"/>
  <c r="L624" i="8" s="1"/>
  <c r="F625" i="8" a="1"/>
  <c r="F625" i="8" s="1"/>
  <c r="F626" i="8" a="1"/>
  <c r="F626" i="8"/>
  <c r="L626" i="8" s="1"/>
  <c r="F627" i="8" a="1"/>
  <c r="F627" i="8" s="1"/>
  <c r="F628" i="8" a="1"/>
  <c r="F628" i="8"/>
  <c r="F629" i="8" a="1"/>
  <c r="F629" i="8"/>
  <c r="F630" i="8" a="1"/>
  <c r="F630" i="8" s="1"/>
  <c r="L630" i="8" s="1"/>
  <c r="F631" i="8" a="1"/>
  <c r="F631" i="8" s="1"/>
  <c r="F632" i="8" a="1"/>
  <c r="F632" i="8"/>
  <c r="F633" i="8" a="1"/>
  <c r="F633" i="8" s="1"/>
  <c r="F634" i="8" a="1"/>
  <c r="F634" i="8" s="1"/>
  <c r="L634" i="8" s="1"/>
  <c r="F635" i="8" a="1"/>
  <c r="F635" i="8"/>
  <c r="F636" i="8" a="1"/>
  <c r="F636" i="8" s="1"/>
  <c r="L636" i="8" s="1"/>
  <c r="F637" i="8" a="1"/>
  <c r="F637" i="8" s="1"/>
  <c r="F638" i="8" a="1"/>
  <c r="F638" i="8"/>
  <c r="L638" i="8" s="1"/>
  <c r="F639" i="8" a="1"/>
  <c r="F639" i="8" s="1"/>
  <c r="F640" i="8" a="1"/>
  <c r="F640" i="8" s="1"/>
  <c r="L640" i="8" s="1"/>
  <c r="F641" i="8" a="1"/>
  <c r="F641" i="8"/>
  <c r="F642" i="8" a="1"/>
  <c r="F642" i="8" s="1"/>
  <c r="L642" i="8" s="1"/>
  <c r="F643" i="8" a="1"/>
  <c r="F643" i="8" s="1"/>
  <c r="L643" i="8" s="1"/>
  <c r="F644" i="8" a="1"/>
  <c r="F644" i="8"/>
  <c r="F645" i="8" a="1"/>
  <c r="F645" i="8" s="1"/>
  <c r="F646" i="8" a="1"/>
  <c r="F646" i="8" s="1"/>
  <c r="L646" i="8" s="1"/>
  <c r="F647" i="8" a="1"/>
  <c r="F647" i="8"/>
  <c r="F648" i="8" a="1"/>
  <c r="F648" i="8" s="1"/>
  <c r="L648" i="8" s="1"/>
  <c r="F649" i="8" a="1"/>
  <c r="F649" i="8" s="1"/>
  <c r="F650" i="8" a="1"/>
  <c r="F650" i="8"/>
  <c r="L650" i="8" s="1"/>
  <c r="F651" i="8" a="1"/>
  <c r="F651" i="8" s="1"/>
  <c r="F652" i="8" a="1"/>
  <c r="F652" i="8" s="1"/>
  <c r="L652" i="8" s="1"/>
  <c r="F653" i="8" a="1"/>
  <c r="F653" i="8"/>
  <c r="F654" i="8" a="1"/>
  <c r="F654" i="8" s="1"/>
  <c r="L654" i="8" s="1"/>
  <c r="F655" i="8" a="1"/>
  <c r="F655" i="8" s="1"/>
  <c r="F656" i="8" a="1"/>
  <c r="F656" i="8"/>
  <c r="F657" i="8" a="1"/>
  <c r="F657" i="8" s="1"/>
  <c r="F658" i="8" a="1"/>
  <c r="F658" i="8" s="1"/>
  <c r="L658" i="8" s="1"/>
  <c r="F659" i="8" a="1"/>
  <c r="F659" i="8"/>
  <c r="F660" i="8" a="1"/>
  <c r="F660" i="8" s="1"/>
  <c r="L660" i="8" s="1"/>
  <c r="F661" i="8" a="1"/>
  <c r="F661" i="8" s="1"/>
  <c r="F662" i="8" a="1"/>
  <c r="F662" i="8"/>
  <c r="L662" i="8" s="1"/>
  <c r="F663" i="8" a="1"/>
  <c r="F663" i="8" s="1"/>
  <c r="F664" i="8" a="1"/>
  <c r="F664" i="8"/>
  <c r="F665" i="8" a="1"/>
  <c r="F665" i="8" s="1"/>
  <c r="L665" i="8" s="1"/>
  <c r="F666" i="8" a="1"/>
  <c r="F666" i="8" s="1"/>
  <c r="L666" i="8" s="1"/>
  <c r="F667" i="8" a="1"/>
  <c r="F667" i="8" s="1"/>
  <c r="F668" i="8" a="1"/>
  <c r="F668" i="8"/>
  <c r="F669" i="8" a="1"/>
  <c r="F669" i="8" s="1"/>
  <c r="F670" i="8" a="1"/>
  <c r="F670" i="8" s="1"/>
  <c r="L670" i="8" s="1"/>
  <c r="F671" i="8" a="1"/>
  <c r="F671" i="8"/>
  <c r="F672" i="8" a="1"/>
  <c r="F672" i="8" s="1"/>
  <c r="L672" i="8" s="1"/>
  <c r="F673" i="8" a="1"/>
  <c r="F673" i="8" s="1"/>
  <c r="F674" i="8" a="1"/>
  <c r="F674" i="8"/>
  <c r="L674" i="8" s="1"/>
  <c r="F675" i="8" a="1"/>
  <c r="F675" i="8" s="1"/>
  <c r="F676" i="8" a="1"/>
  <c r="F676" i="8" s="1"/>
  <c r="L676" i="8" s="1"/>
  <c r="F677" i="8" a="1"/>
  <c r="F677" i="8" s="1"/>
  <c r="L677" i="8" s="1"/>
  <c r="F678" i="8" a="1"/>
  <c r="F678" i="8" s="1"/>
  <c r="L678" i="8" s="1"/>
  <c r="F679" i="8" a="1"/>
  <c r="F679" i="8" s="1"/>
  <c r="L679" i="8" s="1"/>
  <c r="F680" i="8" a="1"/>
  <c r="F680" i="8"/>
  <c r="F681" i="8" a="1"/>
  <c r="F681" i="8" s="1"/>
  <c r="F682" i="8" a="1"/>
  <c r="F682" i="8" s="1"/>
  <c r="L682" i="8" s="1"/>
  <c r="F683" i="8" a="1"/>
  <c r="F683" i="8" s="1"/>
  <c r="L683" i="8" s="1"/>
  <c r="F684" i="8" a="1"/>
  <c r="F684" i="8" s="1"/>
  <c r="L684" i="8" s="1"/>
  <c r="F685" i="8" a="1"/>
  <c r="F685" i="8" s="1"/>
  <c r="F686" i="8" a="1"/>
  <c r="F686" i="8"/>
  <c r="L686" i="8" s="1"/>
  <c r="F687" i="8" a="1"/>
  <c r="F687" i="8" s="1"/>
  <c r="F688" i="8" a="1"/>
  <c r="F688" i="8" s="1"/>
  <c r="L688" i="8" s="1"/>
  <c r="F689" i="8" a="1"/>
  <c r="F689" i="8" s="1"/>
  <c r="L689" i="8" s="1"/>
  <c r="F690" i="8" a="1"/>
  <c r="F690" i="8" s="1"/>
  <c r="L690" i="8" s="1"/>
  <c r="F691" i="8" a="1"/>
  <c r="F691" i="8" s="1"/>
  <c r="F692" i="8" a="1"/>
  <c r="F692" i="8"/>
  <c r="F693" i="8" a="1"/>
  <c r="F693" i="8" s="1"/>
  <c r="F694" i="8" a="1"/>
  <c r="F694" i="8" s="1"/>
  <c r="L694" i="8" s="1"/>
  <c r="F695" i="8" a="1"/>
  <c r="F695" i="8" s="1"/>
  <c r="L695" i="8" s="1"/>
  <c r="F696" i="8" a="1"/>
  <c r="F696" i="8" s="1"/>
  <c r="L696" i="8" s="1"/>
  <c r="F697" i="8" a="1"/>
  <c r="F697" i="8" s="1"/>
  <c r="F698" i="8" a="1"/>
  <c r="F698" i="8"/>
  <c r="L698" i="8" s="1"/>
  <c r="F699" i="8" a="1"/>
  <c r="F699" i="8" s="1"/>
  <c r="F700" i="8" a="1"/>
  <c r="F700" i="8"/>
  <c r="F701" i="8" a="1"/>
  <c r="F701" i="8" s="1"/>
  <c r="L701" i="8" s="1"/>
  <c r="F702" i="8" a="1"/>
  <c r="F702" i="8" s="1"/>
  <c r="L702" i="8" s="1"/>
  <c r="F703" i="8" a="1"/>
  <c r="F703" i="8" s="1"/>
  <c r="F704" i="8" a="1"/>
  <c r="F704" i="8"/>
  <c r="F705" i="8" a="1"/>
  <c r="F705" i="8" s="1"/>
  <c r="F706" i="8" a="1"/>
  <c r="F706" i="8" s="1"/>
  <c r="L706" i="8" s="1"/>
  <c r="F707" i="8" a="1"/>
  <c r="F707" i="8"/>
  <c r="F708" i="8" a="1"/>
  <c r="F708" i="8" s="1"/>
  <c r="L708" i="8" s="1"/>
  <c r="F709" i="8" a="1"/>
  <c r="F709" i="8" s="1"/>
  <c r="F710" i="8" a="1"/>
  <c r="F710" i="8"/>
  <c r="L710" i="8" s="1"/>
  <c r="F711" i="8" a="1"/>
  <c r="F711" i="8" s="1"/>
  <c r="F712" i="8" a="1"/>
  <c r="F712" i="8" s="1"/>
  <c r="L712" i="8" s="1"/>
  <c r="F713" i="8" a="1"/>
  <c r="F713" i="8" s="1"/>
  <c r="L713" i="8" s="1"/>
  <c r="F714" i="8" a="1"/>
  <c r="F714" i="8" s="1"/>
  <c r="L714" i="8" s="1"/>
  <c r="F715" i="8" a="1"/>
  <c r="F715" i="8" s="1"/>
  <c r="L715" i="8" s="1"/>
  <c r="F716" i="8" a="1"/>
  <c r="F716" i="8"/>
  <c r="F717" i="8" a="1"/>
  <c r="F717" i="8" s="1"/>
  <c r="F718" i="8" a="1"/>
  <c r="F718" i="8" s="1"/>
  <c r="L718" i="8" s="1"/>
  <c r="F719" i="8" a="1"/>
  <c r="F719" i="8" s="1"/>
  <c r="L719" i="8" s="1"/>
  <c r="F720" i="8" a="1"/>
  <c r="F720" i="8" s="1"/>
  <c r="L720" i="8" s="1"/>
  <c r="F721" i="8" a="1"/>
  <c r="F721" i="8" s="1"/>
  <c r="F722" i="8" a="1"/>
  <c r="F722" i="8"/>
  <c r="L722" i="8" s="1"/>
  <c r="F723" i="8" a="1"/>
  <c r="F723" i="8" s="1"/>
  <c r="F724" i="8" a="1"/>
  <c r="F724" i="8" s="1"/>
  <c r="L724" i="8" s="1"/>
  <c r="F725" i="8" a="1"/>
  <c r="F725" i="8" s="1"/>
  <c r="L725" i="8" s="1"/>
  <c r="F726" i="8" a="1"/>
  <c r="F726" i="8" s="1"/>
  <c r="L726" i="8" s="1"/>
  <c r="F727" i="8" a="1"/>
  <c r="F727" i="8" s="1"/>
  <c r="L727" i="8" s="1"/>
  <c r="F728" i="8" a="1"/>
  <c r="F728" i="8"/>
  <c r="F729" i="8" a="1"/>
  <c r="F729" i="8" s="1"/>
  <c r="F730" i="8" a="1"/>
  <c r="F730" i="8" s="1"/>
  <c r="L730" i="8" s="1"/>
  <c r="F731" i="8" a="1"/>
  <c r="F731" i="8" s="1"/>
  <c r="L731" i="8" s="1"/>
  <c r="F732" i="8" a="1"/>
  <c r="F732" i="8" s="1"/>
  <c r="L732" i="8" s="1"/>
  <c r="F733" i="8" a="1"/>
  <c r="F733" i="8" s="1"/>
  <c r="F734" i="8" a="1"/>
  <c r="F734" i="8"/>
  <c r="L734" i="8" s="1"/>
  <c r="F735" i="8" a="1"/>
  <c r="F735" i="8" s="1"/>
  <c r="F736" i="8" a="1"/>
  <c r="F736" i="8"/>
  <c r="L736" i="8" s="1"/>
  <c r="F737" i="8" a="1"/>
  <c r="F737" i="8" s="1"/>
  <c r="L737" i="8" s="1"/>
  <c r="F738" i="8" a="1"/>
  <c r="F738" i="8" s="1"/>
  <c r="L738" i="8" s="1"/>
  <c r="F739" i="8" a="1"/>
  <c r="F739" i="8" s="1"/>
  <c r="F740" i="8" a="1"/>
  <c r="F740" i="8"/>
  <c r="L740" i="8" s="1"/>
  <c r="F741" i="8" a="1"/>
  <c r="F741" i="8" s="1"/>
  <c r="F742" i="8" a="1"/>
  <c r="F742" i="8" s="1"/>
  <c r="L742" i="8" s="1"/>
  <c r="F743" i="8" a="1"/>
  <c r="F743" i="8" s="1"/>
  <c r="L743" i="8" s="1"/>
  <c r="F744" i="8" a="1"/>
  <c r="F744" i="8" s="1"/>
  <c r="L744" i="8" s="1"/>
  <c r="F745" i="8" a="1"/>
  <c r="F745" i="8" s="1"/>
  <c r="F746" i="8" a="1"/>
  <c r="F746" i="8"/>
  <c r="L746" i="8" s="1"/>
  <c r="F747" i="8" a="1"/>
  <c r="F747" i="8" s="1"/>
  <c r="F748" i="8" a="1"/>
  <c r="F748" i="8" s="1"/>
  <c r="L748" i="8" s="1"/>
  <c r="F749" i="8" a="1"/>
  <c r="F749" i="8" s="1"/>
  <c r="L749" i="8" s="1"/>
  <c r="F750" i="8" a="1"/>
  <c r="F750" i="8" s="1"/>
  <c r="L750" i="8" s="1"/>
  <c r="F751" i="8" a="1"/>
  <c r="F751" i="8" s="1"/>
  <c r="L751" i="8" s="1"/>
  <c r="F752" i="8" a="1"/>
  <c r="F752" i="8"/>
  <c r="F753" i="8" a="1"/>
  <c r="F753" i="8" s="1"/>
  <c r="F754" i="8" a="1"/>
  <c r="F754" i="8" s="1"/>
  <c r="L754" i="8" s="1"/>
  <c r="F755" i="8" a="1"/>
  <c r="F755" i="8" s="1"/>
  <c r="L755" i="8" s="1"/>
  <c r="F756" i="8" a="1"/>
  <c r="F756" i="8" s="1"/>
  <c r="L756" i="8" s="1"/>
  <c r="F757" i="8" a="1"/>
  <c r="F757" i="8" s="1"/>
  <c r="F758" i="8" a="1"/>
  <c r="F758" i="8"/>
  <c r="L758" i="8" s="1"/>
  <c r="F759" i="8" a="1"/>
  <c r="F759" i="8" s="1"/>
  <c r="F760" i="8" a="1"/>
  <c r="F760" i="8" s="1"/>
  <c r="L760" i="8" s="1"/>
  <c r="F761" i="8" a="1"/>
  <c r="F761" i="8" s="1"/>
  <c r="L761" i="8" s="1"/>
  <c r="F762" i="8" a="1"/>
  <c r="F762" i="8" s="1"/>
  <c r="L762" i="8" s="1"/>
  <c r="F763" i="8" a="1"/>
  <c r="F763" i="8" s="1"/>
  <c r="L763" i="8" s="1"/>
  <c r="F764" i="8" a="1"/>
  <c r="F764" i="8"/>
  <c r="F765" i="8" a="1"/>
  <c r="F765" i="8" s="1"/>
  <c r="F766" i="8" a="1"/>
  <c r="F766" i="8" s="1"/>
  <c r="L766" i="8" s="1"/>
  <c r="F767" i="8" a="1"/>
  <c r="F767" i="8" s="1"/>
  <c r="L767" i="8" s="1"/>
  <c r="F768" i="8" a="1"/>
  <c r="F768" i="8" s="1"/>
  <c r="L768" i="8" s="1"/>
  <c r="F769" i="8" a="1"/>
  <c r="F769" i="8" s="1"/>
  <c r="F770" i="8" a="1"/>
  <c r="F770" i="8"/>
  <c r="L770" i="8" s="1"/>
  <c r="F771" i="8" a="1"/>
  <c r="F771" i="8" s="1"/>
  <c r="F772" i="8" a="1"/>
  <c r="F772" i="8" s="1"/>
  <c r="L772" i="8" s="1"/>
  <c r="F773" i="8" a="1"/>
  <c r="F773" i="8" s="1"/>
  <c r="L773" i="8" s="1"/>
  <c r="F774" i="8" a="1"/>
  <c r="F774" i="8" s="1"/>
  <c r="L774" i="8" s="1"/>
  <c r="F775" i="8" a="1"/>
  <c r="F775" i="8" s="1"/>
  <c r="F776" i="8" a="1"/>
  <c r="F776" i="8"/>
  <c r="F777" i="8" a="1"/>
  <c r="F777" i="8" s="1"/>
  <c r="F778" i="8" a="1"/>
  <c r="F778" i="8" s="1"/>
  <c r="L778" i="8" s="1"/>
  <c r="F779" i="8" a="1"/>
  <c r="F779" i="8" s="1"/>
  <c r="L779" i="8" s="1"/>
  <c r="F780" i="8" a="1"/>
  <c r="F780" i="8" s="1"/>
  <c r="L780" i="8" s="1"/>
  <c r="F781" i="8" a="1"/>
  <c r="F781" i="8" s="1"/>
  <c r="F782" i="8" a="1"/>
  <c r="F782" i="8"/>
  <c r="L782" i="8" s="1"/>
  <c r="F783" i="8" a="1"/>
  <c r="F783" i="8" s="1"/>
  <c r="F784" i="8" a="1"/>
  <c r="F784" i="8" s="1"/>
  <c r="L784" i="8" s="1"/>
  <c r="F785" i="8" a="1"/>
  <c r="F785" i="8" s="1"/>
  <c r="L785" i="8" s="1"/>
  <c r="F786" i="8" a="1"/>
  <c r="F786" i="8" s="1"/>
  <c r="L786" i="8" s="1"/>
  <c r="F787" i="8" a="1"/>
  <c r="F787" i="8" s="1"/>
  <c r="L787" i="8" s="1"/>
  <c r="F788" i="8" a="1"/>
  <c r="F788" i="8"/>
  <c r="F789" i="8" a="1"/>
  <c r="F789" i="8" s="1"/>
  <c r="F790" i="8" a="1"/>
  <c r="F790" i="8" s="1"/>
  <c r="L790" i="8" s="1"/>
  <c r="F791" i="8" a="1"/>
  <c r="F791" i="8" s="1"/>
  <c r="L791" i="8" s="1"/>
  <c r="F792" i="8" a="1"/>
  <c r="F792" i="8" s="1"/>
  <c r="L792" i="8" s="1"/>
  <c r="F793" i="8" a="1"/>
  <c r="F793" i="8" s="1"/>
  <c r="F794" i="8" a="1"/>
  <c r="F794" i="8"/>
  <c r="L794" i="8" s="1"/>
  <c r="F795" i="8" a="1"/>
  <c r="F795" i="8" s="1"/>
  <c r="F796" i="8" a="1"/>
  <c r="F796" i="8" s="1"/>
  <c r="L796" i="8" s="1"/>
  <c r="F797" i="8" a="1"/>
  <c r="F797" i="8" s="1"/>
  <c r="L797" i="8" s="1"/>
  <c r="F798" i="8" a="1"/>
  <c r="F798" i="8" s="1"/>
  <c r="L798" i="8" s="1"/>
  <c r="F799" i="8" a="1"/>
  <c r="F799" i="8" s="1"/>
  <c r="L799" i="8" s="1"/>
  <c r="F800" i="8" a="1"/>
  <c r="F800" i="8"/>
  <c r="F801" i="8" a="1"/>
  <c r="F801" i="8" s="1"/>
  <c r="L801" i="8" s="1"/>
  <c r="F802" i="8" a="1"/>
  <c r="F802" i="8" s="1"/>
  <c r="L802" i="8" s="1"/>
  <c r="F803" i="8" a="1"/>
  <c r="F803" i="8" s="1"/>
  <c r="L803" i="8" s="1"/>
  <c r="F804" i="8" a="1"/>
  <c r="F804" i="8" s="1"/>
  <c r="L804" i="8" s="1"/>
  <c r="F805" i="8" a="1"/>
  <c r="F805" i="8" s="1"/>
  <c r="F806" i="8" a="1"/>
  <c r="F806" i="8"/>
  <c r="L806" i="8" s="1"/>
  <c r="F807" i="8" a="1"/>
  <c r="F807" i="8" s="1"/>
  <c r="F808" i="8" a="1"/>
  <c r="F808" i="8" s="1"/>
  <c r="L808" i="8" s="1"/>
  <c r="F809" i="8" a="1"/>
  <c r="F809" i="8" s="1"/>
  <c r="L809" i="8" s="1"/>
  <c r="F810" i="8" a="1"/>
  <c r="F810" i="8" s="1"/>
  <c r="L810" i="8" s="1"/>
  <c r="F811" i="8" a="1"/>
  <c r="F811" i="8" s="1"/>
  <c r="L811" i="8" s="1"/>
  <c r="F812" i="8" a="1"/>
  <c r="F812" i="8"/>
  <c r="F813" i="8" a="1"/>
  <c r="F813" i="8" s="1"/>
  <c r="F814" i="8" a="1"/>
  <c r="F814" i="8" s="1"/>
  <c r="L814" i="8" s="1"/>
  <c r="F815" i="8" a="1"/>
  <c r="F815" i="8" s="1"/>
  <c r="L815" i="8" s="1"/>
  <c r="F816" i="8" a="1"/>
  <c r="F816" i="8" s="1"/>
  <c r="L816" i="8" s="1"/>
  <c r="F817" i="8" a="1"/>
  <c r="F817" i="8" s="1"/>
  <c r="F818" i="8" a="1"/>
  <c r="F818" i="8"/>
  <c r="L818" i="8" s="1"/>
  <c r="F819" i="8" a="1"/>
  <c r="F819" i="8" s="1"/>
  <c r="F820" i="8" a="1"/>
  <c r="F820" i="8" s="1"/>
  <c r="L820" i="8" s="1"/>
  <c r="F821" i="8" a="1"/>
  <c r="F821" i="8" s="1"/>
  <c r="L821" i="8" s="1"/>
  <c r="F822" i="8" a="1"/>
  <c r="F822" i="8" s="1"/>
  <c r="L822" i="8" s="1"/>
  <c r="F823" i="8" a="1"/>
  <c r="F823" i="8" s="1"/>
  <c r="L823" i="8" s="1"/>
  <c r="F824" i="8" a="1"/>
  <c r="F824" i="8"/>
  <c r="F825" i="8" a="1"/>
  <c r="F825" i="8" s="1"/>
  <c r="L825" i="8" s="1"/>
  <c r="F826" i="8" a="1"/>
  <c r="F826" i="8" s="1"/>
  <c r="L826" i="8" s="1"/>
  <c r="F827" i="8" a="1"/>
  <c r="F827" i="8" s="1"/>
  <c r="L827" i="8" s="1"/>
  <c r="F828" i="8" a="1"/>
  <c r="F828" i="8" s="1"/>
  <c r="L828" i="8" s="1"/>
  <c r="F829" i="8" a="1"/>
  <c r="F829" i="8" s="1"/>
  <c r="F830" i="8" a="1"/>
  <c r="F830" i="8"/>
  <c r="L830" i="8" s="1"/>
  <c r="F831" i="8" a="1"/>
  <c r="F831" i="8" s="1"/>
  <c r="F832" i="8" a="1"/>
  <c r="F832" i="8" s="1"/>
  <c r="L832" i="8" s="1"/>
  <c r="F833" i="8" a="1"/>
  <c r="F833" i="8" s="1"/>
  <c r="L833" i="8" s="1"/>
  <c r="F834" i="8" a="1"/>
  <c r="F834" i="8" s="1"/>
  <c r="L834" i="8" s="1"/>
  <c r="F835" i="8" a="1"/>
  <c r="F835" i="8" s="1"/>
  <c r="L835" i="8" s="1"/>
  <c r="F836" i="8" a="1"/>
  <c r="F836" i="8"/>
  <c r="F837" i="8" a="1"/>
  <c r="F837" i="8" s="1"/>
  <c r="F838" i="8" a="1"/>
  <c r="F838" i="8" s="1"/>
  <c r="L838" i="8" s="1"/>
  <c r="F839" i="8" a="1"/>
  <c r="F839" i="8" s="1"/>
  <c r="L839" i="8" s="1"/>
  <c r="F840" i="8" a="1"/>
  <c r="F840" i="8" s="1"/>
  <c r="L840" i="8" s="1"/>
  <c r="F841" i="8" a="1"/>
  <c r="F841" i="8" s="1"/>
  <c r="F842" i="8" a="1"/>
  <c r="F842" i="8"/>
  <c r="L842" i="8" s="1"/>
  <c r="F843" i="8" a="1"/>
  <c r="F843" i="8" s="1"/>
  <c r="F844" i="8" a="1"/>
  <c r="F844" i="8" s="1"/>
  <c r="L844" i="8" s="1"/>
  <c r="F845" i="8" a="1"/>
  <c r="F845" i="8" s="1"/>
  <c r="L845" i="8" s="1"/>
  <c r="F846" i="8" a="1"/>
  <c r="F846" i="8" s="1"/>
  <c r="L846" i="8" s="1"/>
  <c r="F847" i="8" a="1"/>
  <c r="F847" i="8" s="1"/>
  <c r="L847" i="8" s="1"/>
  <c r="F848" i="8" a="1"/>
  <c r="F848" i="8"/>
  <c r="F849" i="8" a="1"/>
  <c r="F849" i="8" s="1"/>
  <c r="L849" i="8" s="1"/>
  <c r="F850" i="8" a="1"/>
  <c r="F850" i="8" s="1"/>
  <c r="L850" i="8" s="1"/>
  <c r="F851" i="8" a="1"/>
  <c r="F851" i="8" s="1"/>
  <c r="L851" i="8" s="1"/>
  <c r="F852" i="8" a="1"/>
  <c r="F852" i="8" s="1"/>
  <c r="L852" i="8" s="1"/>
  <c r="F853" i="8" a="1"/>
  <c r="F853" i="8" s="1"/>
  <c r="F854" i="8" a="1"/>
  <c r="F854" i="8"/>
  <c r="L854" i="8" s="1"/>
  <c r="F855" i="8" a="1"/>
  <c r="F855" i="8" s="1"/>
  <c r="L855" i="8" s="1"/>
  <c r="F856" i="8" a="1"/>
  <c r="F856" i="8" s="1"/>
  <c r="L856" i="8" s="1"/>
  <c r="F857" i="8" a="1"/>
  <c r="F857" i="8" s="1"/>
  <c r="L857" i="8" s="1"/>
  <c r="F858" i="8" a="1"/>
  <c r="F858" i="8" s="1"/>
  <c r="L858" i="8" s="1"/>
  <c r="F859" i="8" a="1"/>
  <c r="F859" i="8" s="1"/>
  <c r="L859" i="8" s="1"/>
  <c r="F860" i="8" a="1"/>
  <c r="F860" i="8"/>
  <c r="F861" i="8" a="1"/>
  <c r="F861" i="8" s="1"/>
  <c r="F862" i="8" a="1"/>
  <c r="F862" i="8" s="1"/>
  <c r="L862" i="8" s="1"/>
  <c r="F863" i="8" a="1"/>
  <c r="F863" i="8" s="1"/>
  <c r="L863" i="8" s="1"/>
  <c r="F864" i="8" a="1"/>
  <c r="F864" i="8" s="1"/>
  <c r="L864" i="8" s="1"/>
  <c r="F865" i="8" a="1"/>
  <c r="F865" i="8" s="1"/>
  <c r="F866" i="8" a="1"/>
  <c r="F866" i="8"/>
  <c r="L866" i="8" s="1"/>
  <c r="F867" i="8" a="1"/>
  <c r="F867" i="8" s="1"/>
  <c r="F868" i="8" a="1"/>
  <c r="F868" i="8" s="1"/>
  <c r="L868" i="8" s="1"/>
  <c r="F869" i="8" a="1"/>
  <c r="F869" i="8" s="1"/>
  <c r="L869" i="8" s="1"/>
  <c r="F870" i="8" a="1"/>
  <c r="F870" i="8" s="1"/>
  <c r="L870" i="8" s="1"/>
  <c r="F871" i="8" a="1"/>
  <c r="F871" i="8" s="1"/>
  <c r="L871" i="8" s="1"/>
  <c r="F872" i="8" a="1"/>
  <c r="F872" i="8"/>
  <c r="F873" i="8" a="1"/>
  <c r="F873" i="8" s="1"/>
  <c r="L873" i="8" s="1"/>
  <c r="F874" i="8" a="1"/>
  <c r="F874" i="8" s="1"/>
  <c r="L874" i="8" s="1"/>
  <c r="F875" i="8" a="1"/>
  <c r="F875" i="8" s="1"/>
  <c r="L875" i="8" s="1"/>
  <c r="F876" i="8" a="1"/>
  <c r="F876" i="8" s="1"/>
  <c r="L876" i="8" s="1"/>
  <c r="F877" i="8" a="1"/>
  <c r="F877" i="8" s="1"/>
  <c r="L877" i="8" s="1"/>
  <c r="F878" i="8" a="1"/>
  <c r="F878" i="8"/>
  <c r="L878" i="8" s="1"/>
  <c r="F879" i="8" a="1"/>
  <c r="F879" i="8" s="1"/>
  <c r="F880" i="8" a="1"/>
  <c r="F880" i="8" s="1"/>
  <c r="L880" i="8" s="1"/>
  <c r="F881" i="8" a="1"/>
  <c r="F881" i="8" s="1"/>
  <c r="L881" i="8" s="1"/>
  <c r="F882" i="8" a="1"/>
  <c r="F882" i="8" s="1"/>
  <c r="L882" i="8" s="1"/>
  <c r="F883" i="8" a="1"/>
  <c r="F883" i="8" s="1"/>
  <c r="L883" i="8" s="1"/>
  <c r="F884" i="8" a="1"/>
  <c r="F884" i="8"/>
  <c r="F885" i="8" a="1"/>
  <c r="F885" i="8" s="1"/>
  <c r="F886" i="8" a="1"/>
  <c r="F886" i="8" s="1"/>
  <c r="L886" i="8" s="1"/>
  <c r="F887" i="8" a="1"/>
  <c r="F887" i="8" s="1"/>
  <c r="L887" i="8" s="1"/>
  <c r="F888" i="8" a="1"/>
  <c r="F888" i="8" s="1"/>
  <c r="L888" i="8" s="1"/>
  <c r="O888" i="8"/>
  <c r="N888" i="8"/>
  <c r="M888" i="8"/>
  <c r="C888" i="8"/>
  <c r="O887" i="8"/>
  <c r="N887" i="8"/>
  <c r="M887" i="8"/>
  <c r="C887" i="8"/>
  <c r="O886" i="8"/>
  <c r="N886" i="8"/>
  <c r="M886" i="8"/>
  <c r="C886" i="8"/>
  <c r="O885" i="8"/>
  <c r="N885" i="8"/>
  <c r="M885" i="8"/>
  <c r="L885" i="8"/>
  <c r="C885" i="8"/>
  <c r="O884" i="8"/>
  <c r="N884" i="8"/>
  <c r="M884" i="8"/>
  <c r="L884" i="8"/>
  <c r="C884" i="8"/>
  <c r="O883" i="8"/>
  <c r="N883" i="8"/>
  <c r="M883" i="8"/>
  <c r="C883" i="8"/>
  <c r="O882" i="8"/>
  <c r="N882" i="8"/>
  <c r="M882" i="8"/>
  <c r="C882" i="8"/>
  <c r="O881" i="8"/>
  <c r="N881" i="8"/>
  <c r="M881" i="8"/>
  <c r="C881" i="8"/>
  <c r="O880" i="8"/>
  <c r="N880" i="8"/>
  <c r="M880" i="8"/>
  <c r="C880" i="8"/>
  <c r="O879" i="8"/>
  <c r="N879" i="8"/>
  <c r="M879" i="8"/>
  <c r="L879" i="8"/>
  <c r="C879" i="8"/>
  <c r="O878" i="8"/>
  <c r="N878" i="8"/>
  <c r="M878" i="8"/>
  <c r="C878" i="8"/>
  <c r="O877" i="8"/>
  <c r="N877" i="8"/>
  <c r="M877" i="8"/>
  <c r="C877" i="8"/>
  <c r="O876" i="8"/>
  <c r="N876" i="8"/>
  <c r="M876" i="8"/>
  <c r="C876" i="8"/>
  <c r="O875" i="8"/>
  <c r="N875" i="8"/>
  <c r="M875" i="8"/>
  <c r="C875" i="8"/>
  <c r="O874" i="8"/>
  <c r="N874" i="8"/>
  <c r="M874" i="8"/>
  <c r="C874" i="8"/>
  <c r="O873" i="8"/>
  <c r="N873" i="8"/>
  <c r="M873" i="8"/>
  <c r="C873" i="8"/>
  <c r="O872" i="8"/>
  <c r="N872" i="8"/>
  <c r="M872" i="8"/>
  <c r="L872" i="8"/>
  <c r="C872" i="8"/>
  <c r="O871" i="8"/>
  <c r="N871" i="8"/>
  <c r="M871" i="8"/>
  <c r="C871" i="8"/>
  <c r="O870" i="8"/>
  <c r="N870" i="8"/>
  <c r="M870" i="8"/>
  <c r="C870" i="8"/>
  <c r="O869" i="8"/>
  <c r="N869" i="8"/>
  <c r="M869" i="8"/>
  <c r="C869" i="8"/>
  <c r="O868" i="8"/>
  <c r="N868" i="8"/>
  <c r="M868" i="8"/>
  <c r="C868" i="8"/>
  <c r="O867" i="8"/>
  <c r="N867" i="8"/>
  <c r="M867" i="8"/>
  <c r="L867" i="8"/>
  <c r="C867" i="8"/>
  <c r="O866" i="8"/>
  <c r="N866" i="8"/>
  <c r="M866" i="8"/>
  <c r="C866" i="8"/>
  <c r="O865" i="8"/>
  <c r="N865" i="8"/>
  <c r="M865" i="8"/>
  <c r="L865" i="8"/>
  <c r="C865" i="8"/>
  <c r="O864" i="8"/>
  <c r="N864" i="8"/>
  <c r="M864" i="8"/>
  <c r="C864" i="8"/>
  <c r="O863" i="8"/>
  <c r="N863" i="8"/>
  <c r="M863" i="8"/>
  <c r="C863" i="8"/>
  <c r="O862" i="8"/>
  <c r="N862" i="8"/>
  <c r="M862" i="8"/>
  <c r="C862" i="8"/>
  <c r="O861" i="8"/>
  <c r="N861" i="8"/>
  <c r="M861" i="8"/>
  <c r="L861" i="8"/>
  <c r="C861" i="8"/>
  <c r="O860" i="8"/>
  <c r="N860" i="8"/>
  <c r="M860" i="8"/>
  <c r="L860" i="8"/>
  <c r="C860" i="8"/>
  <c r="O859" i="8"/>
  <c r="N859" i="8"/>
  <c r="M859" i="8"/>
  <c r="C859" i="8"/>
  <c r="O858" i="8"/>
  <c r="N858" i="8"/>
  <c r="M858" i="8"/>
  <c r="C858" i="8"/>
  <c r="O857" i="8"/>
  <c r="N857" i="8"/>
  <c r="M857" i="8"/>
  <c r="C857" i="8"/>
  <c r="O856" i="8"/>
  <c r="N856" i="8"/>
  <c r="M856" i="8"/>
  <c r="C856" i="8"/>
  <c r="O855" i="8"/>
  <c r="N855" i="8"/>
  <c r="M855" i="8"/>
  <c r="C855" i="8"/>
  <c r="O854" i="8"/>
  <c r="N854" i="8"/>
  <c r="M854" i="8"/>
  <c r="C854" i="8"/>
  <c r="O853" i="8"/>
  <c r="N853" i="8"/>
  <c r="M853" i="8"/>
  <c r="L853" i="8"/>
  <c r="C853" i="8"/>
  <c r="O852" i="8"/>
  <c r="N852" i="8"/>
  <c r="M852" i="8"/>
  <c r="C852" i="8"/>
  <c r="O851" i="8"/>
  <c r="N851" i="8"/>
  <c r="M851" i="8"/>
  <c r="C851" i="8"/>
  <c r="O850" i="8"/>
  <c r="N850" i="8"/>
  <c r="M850" i="8"/>
  <c r="C850" i="8"/>
  <c r="O849" i="8"/>
  <c r="N849" i="8"/>
  <c r="M849" i="8"/>
  <c r="C849" i="8"/>
  <c r="O848" i="8"/>
  <c r="N848" i="8"/>
  <c r="M848" i="8"/>
  <c r="L848" i="8"/>
  <c r="C848" i="8"/>
  <c r="O847" i="8"/>
  <c r="N847" i="8"/>
  <c r="M847" i="8"/>
  <c r="C847" i="8"/>
  <c r="O846" i="8"/>
  <c r="N846" i="8"/>
  <c r="M846" i="8"/>
  <c r="C846" i="8"/>
  <c r="O845" i="8"/>
  <c r="N845" i="8"/>
  <c r="M845" i="8"/>
  <c r="C845" i="8"/>
  <c r="O844" i="8"/>
  <c r="N844" i="8"/>
  <c r="M844" i="8"/>
  <c r="C844" i="8"/>
  <c r="O843" i="8"/>
  <c r="N843" i="8"/>
  <c r="M843" i="8"/>
  <c r="L843" i="8"/>
  <c r="C843" i="8"/>
  <c r="O842" i="8"/>
  <c r="N842" i="8"/>
  <c r="M842" i="8"/>
  <c r="C842" i="8"/>
  <c r="O841" i="8"/>
  <c r="N841" i="8"/>
  <c r="M841" i="8"/>
  <c r="L841" i="8"/>
  <c r="C841" i="8"/>
  <c r="O840" i="8"/>
  <c r="N840" i="8"/>
  <c r="M840" i="8"/>
  <c r="C840" i="8"/>
  <c r="O839" i="8"/>
  <c r="N839" i="8"/>
  <c r="M839" i="8"/>
  <c r="C839" i="8"/>
  <c r="O838" i="8"/>
  <c r="N838" i="8"/>
  <c r="M838" i="8"/>
  <c r="C838" i="8"/>
  <c r="O837" i="8"/>
  <c r="N837" i="8"/>
  <c r="M837" i="8"/>
  <c r="L837" i="8"/>
  <c r="C837" i="8"/>
  <c r="O836" i="8"/>
  <c r="N836" i="8"/>
  <c r="M836" i="8"/>
  <c r="L836" i="8"/>
  <c r="C836" i="8"/>
  <c r="O835" i="8"/>
  <c r="N835" i="8"/>
  <c r="M835" i="8"/>
  <c r="C835" i="8"/>
  <c r="O834" i="8"/>
  <c r="N834" i="8"/>
  <c r="M834" i="8"/>
  <c r="C834" i="8"/>
  <c r="O833" i="8"/>
  <c r="N833" i="8"/>
  <c r="M833" i="8"/>
  <c r="C833" i="8"/>
  <c r="O832" i="8"/>
  <c r="N832" i="8"/>
  <c r="M832" i="8"/>
  <c r="C832" i="8"/>
  <c r="O831" i="8"/>
  <c r="N831" i="8"/>
  <c r="M831" i="8"/>
  <c r="L831" i="8"/>
  <c r="C831" i="8"/>
  <c r="O830" i="8"/>
  <c r="N830" i="8"/>
  <c r="M830" i="8"/>
  <c r="C830" i="8"/>
  <c r="O829" i="8"/>
  <c r="N829" i="8"/>
  <c r="M829" i="8"/>
  <c r="L829" i="8"/>
  <c r="C829" i="8"/>
  <c r="O828" i="8"/>
  <c r="N828" i="8"/>
  <c r="M828" i="8"/>
  <c r="C828" i="8"/>
  <c r="O827" i="8"/>
  <c r="N827" i="8"/>
  <c r="M827" i="8"/>
  <c r="C827" i="8"/>
  <c r="O826" i="8"/>
  <c r="N826" i="8"/>
  <c r="M826" i="8"/>
  <c r="C826" i="8"/>
  <c r="O825" i="8"/>
  <c r="N825" i="8"/>
  <c r="M825" i="8"/>
  <c r="C825" i="8"/>
  <c r="O824" i="8"/>
  <c r="N824" i="8"/>
  <c r="M824" i="8"/>
  <c r="L824" i="8"/>
  <c r="C824" i="8"/>
  <c r="O823" i="8"/>
  <c r="N823" i="8"/>
  <c r="M823" i="8"/>
  <c r="C823" i="8"/>
  <c r="O822" i="8"/>
  <c r="N822" i="8"/>
  <c r="M822" i="8"/>
  <c r="C822" i="8"/>
  <c r="O821" i="8"/>
  <c r="N821" i="8"/>
  <c r="M821" i="8"/>
  <c r="C821" i="8"/>
  <c r="O820" i="8"/>
  <c r="N820" i="8"/>
  <c r="M820" i="8"/>
  <c r="C820" i="8"/>
  <c r="O819" i="8"/>
  <c r="N819" i="8"/>
  <c r="M819" i="8"/>
  <c r="L819" i="8"/>
  <c r="C819" i="8"/>
  <c r="O818" i="8"/>
  <c r="N818" i="8"/>
  <c r="M818" i="8"/>
  <c r="C818" i="8"/>
  <c r="O817" i="8"/>
  <c r="N817" i="8"/>
  <c r="M817" i="8"/>
  <c r="L817" i="8"/>
  <c r="C817" i="8"/>
  <c r="O816" i="8"/>
  <c r="N816" i="8"/>
  <c r="M816" i="8"/>
  <c r="C816" i="8"/>
  <c r="O815" i="8"/>
  <c r="N815" i="8"/>
  <c r="M815" i="8"/>
  <c r="C815" i="8"/>
  <c r="O814" i="8"/>
  <c r="N814" i="8"/>
  <c r="M814" i="8"/>
  <c r="C814" i="8"/>
  <c r="O813" i="8"/>
  <c r="N813" i="8"/>
  <c r="M813" i="8"/>
  <c r="L813" i="8"/>
  <c r="C813" i="8"/>
  <c r="O812" i="8"/>
  <c r="N812" i="8"/>
  <c r="M812" i="8"/>
  <c r="L812" i="8"/>
  <c r="C812" i="8"/>
  <c r="O811" i="8"/>
  <c r="N811" i="8"/>
  <c r="M811" i="8"/>
  <c r="C811" i="8"/>
  <c r="O810" i="8"/>
  <c r="N810" i="8"/>
  <c r="M810" i="8"/>
  <c r="C810" i="8"/>
  <c r="O809" i="8"/>
  <c r="N809" i="8"/>
  <c r="M809" i="8"/>
  <c r="C809" i="8"/>
  <c r="O808" i="8"/>
  <c r="N808" i="8"/>
  <c r="M808" i="8"/>
  <c r="C808" i="8"/>
  <c r="O807" i="8"/>
  <c r="N807" i="8"/>
  <c r="M807" i="8"/>
  <c r="L807" i="8"/>
  <c r="C807" i="8"/>
  <c r="O806" i="8"/>
  <c r="N806" i="8"/>
  <c r="M806" i="8"/>
  <c r="C806" i="8"/>
  <c r="O805" i="8"/>
  <c r="N805" i="8"/>
  <c r="M805" i="8"/>
  <c r="L805" i="8"/>
  <c r="C805" i="8"/>
  <c r="O804" i="8"/>
  <c r="N804" i="8"/>
  <c r="M804" i="8"/>
  <c r="C804" i="8"/>
  <c r="O803" i="8"/>
  <c r="N803" i="8"/>
  <c r="M803" i="8"/>
  <c r="C803" i="8"/>
  <c r="O802" i="8"/>
  <c r="N802" i="8"/>
  <c r="M802" i="8"/>
  <c r="C802" i="8"/>
  <c r="O801" i="8"/>
  <c r="N801" i="8"/>
  <c r="M801" i="8"/>
  <c r="C801" i="8"/>
  <c r="O800" i="8"/>
  <c r="N800" i="8"/>
  <c r="M800" i="8"/>
  <c r="L800" i="8"/>
  <c r="C800" i="8"/>
  <c r="O799" i="8"/>
  <c r="N799" i="8"/>
  <c r="M799" i="8"/>
  <c r="C799" i="8"/>
  <c r="O798" i="8"/>
  <c r="N798" i="8"/>
  <c r="M798" i="8"/>
  <c r="C798" i="8"/>
  <c r="O797" i="8"/>
  <c r="N797" i="8"/>
  <c r="M797" i="8"/>
  <c r="C797" i="8"/>
  <c r="O796" i="8"/>
  <c r="N796" i="8"/>
  <c r="M796" i="8"/>
  <c r="C796" i="8"/>
  <c r="O795" i="8"/>
  <c r="N795" i="8"/>
  <c r="M795" i="8"/>
  <c r="L795" i="8"/>
  <c r="C795" i="8"/>
  <c r="O794" i="8"/>
  <c r="N794" i="8"/>
  <c r="M794" i="8"/>
  <c r="C794" i="8"/>
  <c r="O793" i="8"/>
  <c r="N793" i="8"/>
  <c r="M793" i="8"/>
  <c r="L793" i="8"/>
  <c r="C793" i="8"/>
  <c r="O792" i="8"/>
  <c r="N792" i="8"/>
  <c r="M792" i="8"/>
  <c r="C792" i="8"/>
  <c r="O791" i="8"/>
  <c r="N791" i="8"/>
  <c r="M791" i="8"/>
  <c r="C791" i="8"/>
  <c r="O790" i="8"/>
  <c r="N790" i="8"/>
  <c r="M790" i="8"/>
  <c r="C790" i="8"/>
  <c r="O789" i="8"/>
  <c r="N789" i="8"/>
  <c r="M789" i="8"/>
  <c r="L789" i="8"/>
  <c r="C789" i="8"/>
  <c r="O788" i="8"/>
  <c r="N788" i="8"/>
  <c r="M788" i="8"/>
  <c r="L788" i="8"/>
  <c r="C788" i="8"/>
  <c r="O787" i="8"/>
  <c r="N787" i="8"/>
  <c r="M787" i="8"/>
  <c r="C787" i="8"/>
  <c r="O786" i="8"/>
  <c r="N786" i="8"/>
  <c r="M786" i="8"/>
  <c r="C786" i="8"/>
  <c r="O785" i="8"/>
  <c r="N785" i="8"/>
  <c r="M785" i="8"/>
  <c r="C785" i="8"/>
  <c r="O784" i="8"/>
  <c r="N784" i="8"/>
  <c r="M784" i="8"/>
  <c r="C784" i="8"/>
  <c r="O783" i="8"/>
  <c r="N783" i="8"/>
  <c r="M783" i="8"/>
  <c r="L783" i="8"/>
  <c r="C783" i="8"/>
  <c r="O782" i="8"/>
  <c r="N782" i="8"/>
  <c r="M782" i="8"/>
  <c r="C782" i="8"/>
  <c r="O781" i="8"/>
  <c r="N781" i="8"/>
  <c r="M781" i="8"/>
  <c r="L781" i="8"/>
  <c r="C781" i="8"/>
  <c r="O780" i="8"/>
  <c r="N780" i="8"/>
  <c r="M780" i="8"/>
  <c r="C780" i="8"/>
  <c r="O779" i="8"/>
  <c r="N779" i="8"/>
  <c r="M779" i="8"/>
  <c r="C779" i="8"/>
  <c r="O778" i="8"/>
  <c r="N778" i="8"/>
  <c r="M778" i="8"/>
  <c r="C778" i="8"/>
  <c r="O777" i="8"/>
  <c r="N777" i="8"/>
  <c r="M777" i="8"/>
  <c r="L777" i="8"/>
  <c r="C777" i="8"/>
  <c r="O776" i="8"/>
  <c r="N776" i="8"/>
  <c r="M776" i="8"/>
  <c r="L776" i="8"/>
  <c r="C776" i="8"/>
  <c r="O775" i="8"/>
  <c r="N775" i="8"/>
  <c r="M775" i="8"/>
  <c r="L775" i="8"/>
  <c r="C775" i="8"/>
  <c r="O774" i="8"/>
  <c r="N774" i="8"/>
  <c r="M774" i="8"/>
  <c r="C774" i="8"/>
  <c r="O773" i="8"/>
  <c r="N773" i="8"/>
  <c r="M773" i="8"/>
  <c r="C773" i="8"/>
  <c r="O772" i="8"/>
  <c r="N772" i="8"/>
  <c r="M772" i="8"/>
  <c r="C772" i="8"/>
  <c r="O771" i="8"/>
  <c r="N771" i="8"/>
  <c r="M771" i="8"/>
  <c r="L771" i="8"/>
  <c r="C771" i="8"/>
  <c r="O770" i="8"/>
  <c r="N770" i="8"/>
  <c r="M770" i="8"/>
  <c r="C770" i="8"/>
  <c r="O769" i="8"/>
  <c r="N769" i="8"/>
  <c r="M769" i="8"/>
  <c r="L769" i="8"/>
  <c r="C769" i="8"/>
  <c r="O768" i="8"/>
  <c r="N768" i="8"/>
  <c r="M768" i="8"/>
  <c r="C768" i="8"/>
  <c r="O767" i="8"/>
  <c r="N767" i="8"/>
  <c r="M767" i="8"/>
  <c r="C767" i="8"/>
  <c r="O766" i="8"/>
  <c r="N766" i="8"/>
  <c r="M766" i="8"/>
  <c r="C766" i="8"/>
  <c r="O765" i="8"/>
  <c r="N765" i="8"/>
  <c r="M765" i="8"/>
  <c r="L765" i="8"/>
  <c r="C765" i="8"/>
  <c r="O764" i="8"/>
  <c r="N764" i="8"/>
  <c r="M764" i="8"/>
  <c r="L764" i="8"/>
  <c r="C764" i="8"/>
  <c r="O763" i="8"/>
  <c r="N763" i="8"/>
  <c r="M763" i="8"/>
  <c r="C763" i="8"/>
  <c r="O762" i="8"/>
  <c r="N762" i="8"/>
  <c r="M762" i="8"/>
  <c r="C762" i="8"/>
  <c r="O761" i="8"/>
  <c r="N761" i="8"/>
  <c r="M761" i="8"/>
  <c r="C761" i="8"/>
  <c r="O760" i="8"/>
  <c r="N760" i="8"/>
  <c r="M760" i="8"/>
  <c r="C760" i="8"/>
  <c r="O759" i="8"/>
  <c r="N759" i="8"/>
  <c r="M759" i="8"/>
  <c r="L759" i="8"/>
  <c r="C759" i="8"/>
  <c r="O758" i="8"/>
  <c r="N758" i="8"/>
  <c r="M758" i="8"/>
  <c r="C758" i="8"/>
  <c r="O757" i="8"/>
  <c r="N757" i="8"/>
  <c r="M757" i="8"/>
  <c r="L757" i="8"/>
  <c r="C757" i="8"/>
  <c r="O756" i="8"/>
  <c r="N756" i="8"/>
  <c r="M756" i="8"/>
  <c r="C756" i="8"/>
  <c r="O755" i="8"/>
  <c r="N755" i="8"/>
  <c r="M755" i="8"/>
  <c r="C755" i="8"/>
  <c r="O754" i="8"/>
  <c r="N754" i="8"/>
  <c r="M754" i="8"/>
  <c r="C754" i="8"/>
  <c r="O753" i="8"/>
  <c r="N753" i="8"/>
  <c r="M753" i="8"/>
  <c r="L753" i="8"/>
  <c r="C753" i="8"/>
  <c r="O752" i="8"/>
  <c r="N752" i="8"/>
  <c r="M752" i="8"/>
  <c r="L752" i="8"/>
  <c r="C752" i="8"/>
  <c r="O751" i="8"/>
  <c r="N751" i="8"/>
  <c r="M751" i="8"/>
  <c r="C751" i="8"/>
  <c r="O750" i="8"/>
  <c r="N750" i="8"/>
  <c r="M750" i="8"/>
  <c r="C750" i="8"/>
  <c r="O749" i="8"/>
  <c r="N749" i="8"/>
  <c r="M749" i="8"/>
  <c r="C749" i="8"/>
  <c r="O748" i="8"/>
  <c r="N748" i="8"/>
  <c r="M748" i="8"/>
  <c r="C748" i="8"/>
  <c r="O747" i="8"/>
  <c r="N747" i="8"/>
  <c r="M747" i="8"/>
  <c r="L747" i="8"/>
  <c r="C747" i="8"/>
  <c r="O746" i="8"/>
  <c r="N746" i="8"/>
  <c r="M746" i="8"/>
  <c r="C746" i="8"/>
  <c r="O745" i="8"/>
  <c r="N745" i="8"/>
  <c r="M745" i="8"/>
  <c r="L745" i="8"/>
  <c r="C745" i="8"/>
  <c r="O744" i="8"/>
  <c r="N744" i="8"/>
  <c r="M744" i="8"/>
  <c r="C744" i="8"/>
  <c r="O743" i="8"/>
  <c r="N743" i="8"/>
  <c r="M743" i="8"/>
  <c r="C743" i="8"/>
  <c r="O742" i="8"/>
  <c r="N742" i="8"/>
  <c r="M742" i="8"/>
  <c r="C742" i="8"/>
  <c r="O741" i="8"/>
  <c r="N741" i="8"/>
  <c r="M741" i="8"/>
  <c r="L741" i="8"/>
  <c r="C741" i="8"/>
  <c r="O740" i="8"/>
  <c r="N740" i="8"/>
  <c r="M740" i="8"/>
  <c r="C740" i="8"/>
  <c r="O739" i="8"/>
  <c r="N739" i="8"/>
  <c r="M739" i="8"/>
  <c r="L739" i="8"/>
  <c r="C739" i="8"/>
  <c r="O738" i="8"/>
  <c r="N738" i="8"/>
  <c r="M738" i="8"/>
  <c r="C738" i="8"/>
  <c r="O737" i="8"/>
  <c r="N737" i="8"/>
  <c r="M737" i="8"/>
  <c r="C737" i="8"/>
  <c r="O736" i="8"/>
  <c r="N736" i="8"/>
  <c r="M736" i="8"/>
  <c r="C736" i="8"/>
  <c r="O735" i="8"/>
  <c r="N735" i="8"/>
  <c r="M735" i="8"/>
  <c r="L735" i="8"/>
  <c r="C735" i="8"/>
  <c r="O734" i="8"/>
  <c r="N734" i="8"/>
  <c r="M734" i="8"/>
  <c r="C734" i="8"/>
  <c r="O733" i="8"/>
  <c r="N733" i="8"/>
  <c r="M733" i="8"/>
  <c r="L733" i="8"/>
  <c r="C733" i="8"/>
  <c r="O732" i="8"/>
  <c r="N732" i="8"/>
  <c r="M732" i="8"/>
  <c r="C732" i="8"/>
  <c r="O731" i="8"/>
  <c r="N731" i="8"/>
  <c r="M731" i="8"/>
  <c r="C731" i="8"/>
  <c r="O730" i="8"/>
  <c r="N730" i="8"/>
  <c r="M730" i="8"/>
  <c r="C730" i="8"/>
  <c r="O729" i="8"/>
  <c r="N729" i="8"/>
  <c r="M729" i="8"/>
  <c r="L729" i="8"/>
  <c r="C729" i="8"/>
  <c r="O728" i="8"/>
  <c r="N728" i="8"/>
  <c r="M728" i="8"/>
  <c r="L728" i="8"/>
  <c r="C728" i="8"/>
  <c r="O727" i="8"/>
  <c r="N727" i="8"/>
  <c r="M727" i="8"/>
  <c r="C727" i="8"/>
  <c r="O726" i="8"/>
  <c r="N726" i="8"/>
  <c r="M726" i="8"/>
  <c r="C726" i="8"/>
  <c r="O725" i="8"/>
  <c r="N725" i="8"/>
  <c r="M725" i="8"/>
  <c r="C725" i="8"/>
  <c r="O724" i="8"/>
  <c r="N724" i="8"/>
  <c r="M724" i="8"/>
  <c r="C724" i="8"/>
  <c r="O723" i="8"/>
  <c r="N723" i="8"/>
  <c r="M723" i="8"/>
  <c r="L723" i="8"/>
  <c r="C723" i="8"/>
  <c r="O722" i="8"/>
  <c r="N722" i="8"/>
  <c r="M722" i="8"/>
  <c r="C722" i="8"/>
  <c r="O721" i="8"/>
  <c r="N721" i="8"/>
  <c r="M721" i="8"/>
  <c r="L721" i="8"/>
  <c r="C721" i="8"/>
  <c r="O720" i="8"/>
  <c r="N720" i="8"/>
  <c r="M720" i="8"/>
  <c r="C720" i="8"/>
  <c r="O719" i="8"/>
  <c r="N719" i="8"/>
  <c r="M719" i="8"/>
  <c r="C719" i="8"/>
  <c r="O718" i="8"/>
  <c r="N718" i="8"/>
  <c r="M718" i="8"/>
  <c r="C718" i="8"/>
  <c r="O717" i="8"/>
  <c r="N717" i="8"/>
  <c r="M717" i="8"/>
  <c r="L717" i="8"/>
  <c r="C717" i="8"/>
  <c r="O716" i="8"/>
  <c r="N716" i="8"/>
  <c r="M716" i="8"/>
  <c r="L716" i="8"/>
  <c r="C716" i="8"/>
  <c r="O715" i="8"/>
  <c r="N715" i="8"/>
  <c r="M715" i="8"/>
  <c r="C715" i="8"/>
  <c r="O714" i="8"/>
  <c r="N714" i="8"/>
  <c r="M714" i="8"/>
  <c r="C714" i="8"/>
  <c r="O713" i="8"/>
  <c r="N713" i="8"/>
  <c r="M713" i="8"/>
  <c r="C713" i="8"/>
  <c r="O712" i="8"/>
  <c r="N712" i="8"/>
  <c r="M712" i="8"/>
  <c r="C712" i="8"/>
  <c r="O711" i="8"/>
  <c r="N711" i="8"/>
  <c r="M711" i="8"/>
  <c r="L711" i="8"/>
  <c r="C711" i="8"/>
  <c r="O710" i="8"/>
  <c r="N710" i="8"/>
  <c r="M710" i="8"/>
  <c r="C710" i="8"/>
  <c r="O709" i="8"/>
  <c r="N709" i="8"/>
  <c r="M709" i="8"/>
  <c r="L709" i="8"/>
  <c r="C709" i="8"/>
  <c r="O708" i="8"/>
  <c r="N708" i="8"/>
  <c r="M708" i="8"/>
  <c r="C708" i="8"/>
  <c r="O707" i="8"/>
  <c r="N707" i="8"/>
  <c r="M707" i="8"/>
  <c r="L707" i="8"/>
  <c r="C707" i="8"/>
  <c r="O706" i="8"/>
  <c r="N706" i="8"/>
  <c r="M706" i="8"/>
  <c r="C706" i="8"/>
  <c r="O705" i="8"/>
  <c r="N705" i="8"/>
  <c r="M705" i="8"/>
  <c r="L705" i="8"/>
  <c r="C705" i="8"/>
  <c r="O704" i="8"/>
  <c r="N704" i="8"/>
  <c r="M704" i="8"/>
  <c r="L704" i="8"/>
  <c r="C704" i="8"/>
  <c r="O703" i="8"/>
  <c r="N703" i="8"/>
  <c r="M703" i="8"/>
  <c r="L703" i="8"/>
  <c r="C703" i="8"/>
  <c r="O702" i="8"/>
  <c r="N702" i="8"/>
  <c r="M702" i="8"/>
  <c r="C702" i="8"/>
  <c r="O701" i="8"/>
  <c r="N701" i="8"/>
  <c r="M701" i="8"/>
  <c r="C701" i="8"/>
  <c r="O700" i="8"/>
  <c r="N700" i="8"/>
  <c r="M700" i="8"/>
  <c r="L700" i="8"/>
  <c r="C700" i="8"/>
  <c r="O699" i="8"/>
  <c r="N699" i="8"/>
  <c r="M699" i="8"/>
  <c r="L699" i="8"/>
  <c r="C699" i="8"/>
  <c r="O698" i="8"/>
  <c r="N698" i="8"/>
  <c r="M698" i="8"/>
  <c r="C698" i="8"/>
  <c r="O697" i="8"/>
  <c r="N697" i="8"/>
  <c r="M697" i="8"/>
  <c r="L697" i="8"/>
  <c r="C697" i="8"/>
  <c r="O696" i="8"/>
  <c r="N696" i="8"/>
  <c r="M696" i="8"/>
  <c r="C696" i="8"/>
  <c r="O695" i="8"/>
  <c r="N695" i="8"/>
  <c r="M695" i="8"/>
  <c r="C695" i="8"/>
  <c r="O694" i="8"/>
  <c r="N694" i="8"/>
  <c r="M694" i="8"/>
  <c r="C694" i="8"/>
  <c r="O693" i="8"/>
  <c r="N693" i="8"/>
  <c r="M693" i="8"/>
  <c r="L693" i="8"/>
  <c r="C693" i="8"/>
  <c r="O692" i="8"/>
  <c r="N692" i="8"/>
  <c r="M692" i="8"/>
  <c r="L692" i="8"/>
  <c r="C692" i="8"/>
  <c r="O691" i="8"/>
  <c r="N691" i="8"/>
  <c r="M691" i="8"/>
  <c r="L691" i="8"/>
  <c r="C691" i="8"/>
  <c r="O690" i="8"/>
  <c r="N690" i="8"/>
  <c r="M690" i="8"/>
  <c r="C690" i="8"/>
  <c r="O689" i="8"/>
  <c r="N689" i="8"/>
  <c r="M689" i="8"/>
  <c r="C689" i="8"/>
  <c r="O688" i="8"/>
  <c r="N688" i="8"/>
  <c r="M688" i="8"/>
  <c r="C688" i="8"/>
  <c r="O687" i="8"/>
  <c r="N687" i="8"/>
  <c r="M687" i="8"/>
  <c r="L687" i="8"/>
  <c r="C687" i="8"/>
  <c r="O686" i="8"/>
  <c r="N686" i="8"/>
  <c r="M686" i="8"/>
  <c r="C686" i="8"/>
  <c r="O685" i="8"/>
  <c r="N685" i="8"/>
  <c r="M685" i="8"/>
  <c r="L685" i="8"/>
  <c r="C685" i="8"/>
  <c r="O684" i="8"/>
  <c r="N684" i="8"/>
  <c r="M684" i="8"/>
  <c r="C684" i="8"/>
  <c r="O683" i="8"/>
  <c r="N683" i="8"/>
  <c r="M683" i="8"/>
  <c r="C683" i="8"/>
  <c r="O682" i="8"/>
  <c r="N682" i="8"/>
  <c r="M682" i="8"/>
  <c r="C682" i="8"/>
  <c r="O681" i="8"/>
  <c r="N681" i="8"/>
  <c r="M681" i="8"/>
  <c r="L681" i="8"/>
  <c r="C681" i="8"/>
  <c r="O680" i="8"/>
  <c r="N680" i="8"/>
  <c r="M680" i="8"/>
  <c r="L680" i="8"/>
  <c r="C680" i="8"/>
  <c r="O679" i="8"/>
  <c r="N679" i="8"/>
  <c r="M679" i="8"/>
  <c r="C679" i="8"/>
  <c r="O678" i="8"/>
  <c r="N678" i="8"/>
  <c r="M678" i="8"/>
  <c r="C678" i="8"/>
  <c r="O677" i="8"/>
  <c r="N677" i="8"/>
  <c r="M677" i="8"/>
  <c r="C677" i="8"/>
  <c r="O676" i="8"/>
  <c r="N676" i="8"/>
  <c r="M676" i="8"/>
  <c r="C676" i="8"/>
  <c r="O675" i="8"/>
  <c r="N675" i="8"/>
  <c r="M675" i="8"/>
  <c r="L675" i="8"/>
  <c r="C675" i="8"/>
  <c r="O674" i="8"/>
  <c r="N674" i="8"/>
  <c r="M674" i="8"/>
  <c r="C674" i="8"/>
  <c r="O673" i="8"/>
  <c r="N673" i="8"/>
  <c r="M673" i="8"/>
  <c r="L673" i="8"/>
  <c r="C673" i="8"/>
  <c r="O672" i="8"/>
  <c r="N672" i="8"/>
  <c r="M672" i="8"/>
  <c r="C672" i="8"/>
  <c r="O671" i="8"/>
  <c r="N671" i="8"/>
  <c r="M671" i="8"/>
  <c r="L671" i="8"/>
  <c r="C671" i="8"/>
  <c r="O670" i="8"/>
  <c r="N670" i="8"/>
  <c r="M670" i="8"/>
  <c r="C670" i="8"/>
  <c r="O669" i="8"/>
  <c r="N669" i="8"/>
  <c r="M669" i="8"/>
  <c r="L669" i="8"/>
  <c r="C669" i="8"/>
  <c r="O668" i="8"/>
  <c r="N668" i="8"/>
  <c r="M668" i="8"/>
  <c r="L668" i="8"/>
  <c r="C668" i="8"/>
  <c r="O667" i="8"/>
  <c r="N667" i="8"/>
  <c r="M667" i="8"/>
  <c r="L667" i="8"/>
  <c r="C667" i="8"/>
  <c r="O666" i="8"/>
  <c r="N666" i="8"/>
  <c r="M666" i="8"/>
  <c r="C666" i="8"/>
  <c r="O665" i="8"/>
  <c r="N665" i="8"/>
  <c r="M665" i="8"/>
  <c r="C665" i="8"/>
  <c r="O664" i="8"/>
  <c r="N664" i="8"/>
  <c r="M664" i="8"/>
  <c r="L664" i="8"/>
  <c r="C664" i="8"/>
  <c r="O663" i="8"/>
  <c r="N663" i="8"/>
  <c r="M663" i="8"/>
  <c r="L663" i="8"/>
  <c r="C663" i="8"/>
  <c r="O662" i="8"/>
  <c r="N662" i="8"/>
  <c r="M662" i="8"/>
  <c r="C662" i="8"/>
  <c r="O661" i="8"/>
  <c r="N661" i="8"/>
  <c r="M661" i="8"/>
  <c r="L661" i="8"/>
  <c r="C661" i="8"/>
  <c r="O660" i="8"/>
  <c r="N660" i="8"/>
  <c r="M660" i="8"/>
  <c r="C660" i="8"/>
  <c r="O659" i="8"/>
  <c r="N659" i="8"/>
  <c r="M659" i="8"/>
  <c r="L659" i="8"/>
  <c r="C659" i="8"/>
  <c r="O658" i="8"/>
  <c r="N658" i="8"/>
  <c r="M658" i="8"/>
  <c r="C658" i="8"/>
  <c r="O657" i="8"/>
  <c r="N657" i="8"/>
  <c r="M657" i="8"/>
  <c r="L657" i="8"/>
  <c r="C657" i="8"/>
  <c r="O656" i="8"/>
  <c r="N656" i="8"/>
  <c r="M656" i="8"/>
  <c r="L656" i="8"/>
  <c r="C656" i="8"/>
  <c r="O655" i="8"/>
  <c r="N655" i="8"/>
  <c r="M655" i="8"/>
  <c r="L655" i="8"/>
  <c r="C655" i="8"/>
  <c r="O654" i="8"/>
  <c r="N654" i="8"/>
  <c r="M654" i="8"/>
  <c r="C654" i="8"/>
  <c r="O653" i="8"/>
  <c r="N653" i="8"/>
  <c r="M653" i="8"/>
  <c r="L653" i="8"/>
  <c r="C653" i="8"/>
  <c r="O652" i="8"/>
  <c r="N652" i="8"/>
  <c r="M652" i="8"/>
  <c r="C652" i="8"/>
  <c r="O651" i="8"/>
  <c r="N651" i="8"/>
  <c r="M651" i="8"/>
  <c r="L651" i="8"/>
  <c r="C651" i="8"/>
  <c r="O650" i="8"/>
  <c r="N650" i="8"/>
  <c r="M650" i="8"/>
  <c r="C650" i="8"/>
  <c r="O649" i="8"/>
  <c r="N649" i="8"/>
  <c r="M649" i="8"/>
  <c r="L649" i="8"/>
  <c r="C649" i="8"/>
  <c r="O648" i="8"/>
  <c r="N648" i="8"/>
  <c r="M648" i="8"/>
  <c r="C648" i="8"/>
  <c r="O647" i="8"/>
  <c r="N647" i="8"/>
  <c r="M647" i="8"/>
  <c r="L647" i="8"/>
  <c r="C647" i="8"/>
  <c r="O646" i="8"/>
  <c r="N646" i="8"/>
  <c r="M646" i="8"/>
  <c r="C646" i="8"/>
  <c r="O645" i="8"/>
  <c r="N645" i="8"/>
  <c r="M645" i="8"/>
  <c r="L645" i="8"/>
  <c r="C645" i="8"/>
  <c r="O644" i="8"/>
  <c r="N644" i="8"/>
  <c r="M644" i="8"/>
  <c r="L644" i="8"/>
  <c r="C644" i="8"/>
  <c r="O643" i="8"/>
  <c r="N643" i="8"/>
  <c r="M643" i="8"/>
  <c r="C643" i="8"/>
  <c r="O642" i="8"/>
  <c r="N642" i="8"/>
  <c r="M642" i="8"/>
  <c r="C642" i="8"/>
  <c r="O641" i="8"/>
  <c r="N641" i="8"/>
  <c r="M641" i="8"/>
  <c r="L641" i="8"/>
  <c r="C641" i="8"/>
  <c r="O640" i="8"/>
  <c r="N640" i="8"/>
  <c r="M640" i="8"/>
  <c r="C640" i="8"/>
  <c r="O639" i="8"/>
  <c r="N639" i="8"/>
  <c r="M639" i="8"/>
  <c r="L639" i="8"/>
  <c r="C639" i="8"/>
  <c r="O638" i="8"/>
  <c r="N638" i="8"/>
  <c r="M638" i="8"/>
  <c r="C638" i="8"/>
  <c r="O637" i="8"/>
  <c r="N637" i="8"/>
  <c r="M637" i="8"/>
  <c r="L637" i="8"/>
  <c r="C637" i="8"/>
  <c r="O636" i="8"/>
  <c r="N636" i="8"/>
  <c r="M636" i="8"/>
  <c r="C636" i="8"/>
  <c r="O635" i="8"/>
  <c r="N635" i="8"/>
  <c r="M635" i="8"/>
  <c r="L635" i="8"/>
  <c r="C635" i="8"/>
  <c r="O634" i="8"/>
  <c r="N634" i="8"/>
  <c r="M634" i="8"/>
  <c r="C634" i="8"/>
  <c r="O633" i="8"/>
  <c r="N633" i="8"/>
  <c r="M633" i="8"/>
  <c r="L633" i="8"/>
  <c r="C633" i="8"/>
  <c r="O632" i="8"/>
  <c r="N632" i="8"/>
  <c r="M632" i="8"/>
  <c r="L632" i="8"/>
  <c r="C632" i="8"/>
  <c r="O631" i="8"/>
  <c r="N631" i="8"/>
  <c r="M631" i="8"/>
  <c r="L631" i="8"/>
  <c r="C631" i="8"/>
  <c r="O630" i="8"/>
  <c r="N630" i="8"/>
  <c r="M630" i="8"/>
  <c r="C630" i="8"/>
  <c r="O629" i="8"/>
  <c r="N629" i="8"/>
  <c r="M629" i="8"/>
  <c r="L629" i="8"/>
  <c r="C629" i="8"/>
  <c r="O628" i="8"/>
  <c r="N628" i="8"/>
  <c r="M628" i="8"/>
  <c r="L628" i="8"/>
  <c r="C628" i="8"/>
  <c r="O627" i="8"/>
  <c r="N627" i="8"/>
  <c r="M627" i="8"/>
  <c r="L627" i="8"/>
  <c r="C627" i="8"/>
  <c r="O626" i="8"/>
  <c r="N626" i="8"/>
  <c r="M626" i="8"/>
  <c r="C626" i="8"/>
  <c r="O625" i="8"/>
  <c r="N625" i="8"/>
  <c r="M625" i="8"/>
  <c r="L625" i="8"/>
  <c r="C625" i="8"/>
  <c r="O624" i="8"/>
  <c r="N624" i="8"/>
  <c r="M624" i="8"/>
  <c r="C624" i="8"/>
  <c r="O623" i="8"/>
  <c r="N623" i="8"/>
  <c r="M623" i="8"/>
  <c r="L623" i="8"/>
  <c r="C623" i="8"/>
  <c r="O622" i="8"/>
  <c r="N622" i="8"/>
  <c r="M622" i="8"/>
  <c r="C622" i="8"/>
  <c r="O621" i="8"/>
  <c r="N621" i="8"/>
  <c r="M621" i="8"/>
  <c r="L621" i="8"/>
  <c r="C621" i="8"/>
  <c r="O620" i="8"/>
  <c r="N620" i="8"/>
  <c r="M620" i="8"/>
  <c r="L620" i="8"/>
  <c r="C620" i="8"/>
  <c r="O619" i="8"/>
  <c r="N619" i="8"/>
  <c r="M619" i="8"/>
  <c r="L619" i="8"/>
  <c r="C619" i="8"/>
  <c r="O618" i="8"/>
  <c r="N618" i="8"/>
  <c r="M618" i="8"/>
  <c r="C618" i="8"/>
  <c r="O617" i="8"/>
  <c r="N617" i="8"/>
  <c r="M617" i="8"/>
  <c r="L617" i="8"/>
  <c r="C617" i="8"/>
  <c r="O616" i="8"/>
  <c r="N616" i="8"/>
  <c r="M616" i="8"/>
  <c r="C616" i="8"/>
  <c r="O615" i="8"/>
  <c r="N615" i="8"/>
  <c r="M615" i="8"/>
  <c r="L615" i="8"/>
  <c r="C615" i="8"/>
  <c r="O614" i="8"/>
  <c r="N614" i="8"/>
  <c r="M614" i="8"/>
  <c r="C614" i="8"/>
  <c r="O613" i="8"/>
  <c r="N613" i="8"/>
  <c r="M613" i="8"/>
  <c r="L613" i="8"/>
  <c r="C613" i="8"/>
  <c r="O612" i="8"/>
  <c r="N612" i="8"/>
  <c r="M612" i="8"/>
  <c r="C612" i="8"/>
  <c r="O611" i="8"/>
  <c r="N611" i="8"/>
  <c r="M611" i="8"/>
  <c r="L611" i="8"/>
  <c r="C611" i="8"/>
  <c r="O610" i="8"/>
  <c r="N610" i="8"/>
  <c r="M610" i="8"/>
  <c r="C610" i="8"/>
  <c r="O609" i="8"/>
  <c r="N609" i="8"/>
  <c r="M609" i="8"/>
  <c r="L609" i="8"/>
  <c r="C609" i="8"/>
  <c r="O608" i="8"/>
  <c r="N608" i="8"/>
  <c r="M608" i="8"/>
  <c r="L608" i="8"/>
  <c r="C608" i="8"/>
  <c r="O607" i="8"/>
  <c r="N607" i="8"/>
  <c r="M607" i="8"/>
  <c r="C607" i="8"/>
  <c r="O606" i="8"/>
  <c r="N606" i="8"/>
  <c r="M606" i="8"/>
  <c r="L606" i="8"/>
  <c r="C606" i="8"/>
  <c r="O605" i="8"/>
  <c r="N605" i="8"/>
  <c r="M605" i="8"/>
  <c r="L605" i="8"/>
  <c r="C605" i="8"/>
  <c r="O604" i="8"/>
  <c r="N604" i="8"/>
  <c r="M604" i="8"/>
  <c r="C604" i="8"/>
  <c r="O603" i="8"/>
  <c r="N603" i="8"/>
  <c r="M603" i="8"/>
  <c r="L603" i="8"/>
  <c r="C603" i="8"/>
  <c r="O602" i="8"/>
  <c r="N602" i="8"/>
  <c r="M602" i="8"/>
  <c r="C602" i="8"/>
  <c r="O601" i="8"/>
  <c r="N601" i="8"/>
  <c r="M601" i="8"/>
  <c r="L601" i="8"/>
  <c r="C601" i="8"/>
  <c r="O600" i="8"/>
  <c r="N600" i="8"/>
  <c r="M600" i="8"/>
  <c r="C600" i="8"/>
  <c r="O599" i="8"/>
  <c r="N599" i="8"/>
  <c r="M599" i="8"/>
  <c r="L599" i="8"/>
  <c r="C599" i="8"/>
  <c r="O598" i="8"/>
  <c r="N598" i="8"/>
  <c r="M598" i="8"/>
  <c r="C598" i="8"/>
  <c r="O597" i="8"/>
  <c r="N597" i="8"/>
  <c r="M597" i="8"/>
  <c r="L597" i="8"/>
  <c r="C597" i="8"/>
  <c r="O596" i="8"/>
  <c r="N596" i="8"/>
  <c r="M596" i="8"/>
  <c r="L596" i="8"/>
  <c r="C596" i="8"/>
  <c r="O595" i="8"/>
  <c r="N595" i="8"/>
  <c r="M595" i="8"/>
  <c r="L595" i="8"/>
  <c r="C595" i="8"/>
  <c r="O594" i="8"/>
  <c r="N594" i="8"/>
  <c r="M594" i="8"/>
  <c r="L594" i="8"/>
  <c r="C594" i="8"/>
  <c r="O593" i="8"/>
  <c r="N593" i="8"/>
  <c r="M593" i="8"/>
  <c r="L593" i="8"/>
  <c r="C593" i="8"/>
  <c r="O592" i="8"/>
  <c r="N592" i="8"/>
  <c r="M592" i="8"/>
  <c r="L592" i="8"/>
  <c r="C592" i="8"/>
  <c r="O591" i="8"/>
  <c r="N591" i="8"/>
  <c r="M591" i="8"/>
  <c r="L591" i="8"/>
  <c r="C591" i="8"/>
  <c r="O590" i="8"/>
  <c r="N590" i="8"/>
  <c r="M590" i="8"/>
  <c r="C590" i="8"/>
  <c r="O589" i="8"/>
  <c r="N589" i="8"/>
  <c r="M589" i="8"/>
  <c r="L589" i="8"/>
  <c r="C589" i="8"/>
  <c r="O588" i="8"/>
  <c r="N588" i="8"/>
  <c r="M588" i="8"/>
  <c r="L588" i="8"/>
  <c r="C588" i="8"/>
  <c r="O587" i="8"/>
  <c r="N587" i="8"/>
  <c r="M587" i="8"/>
  <c r="L587" i="8"/>
  <c r="C587" i="8"/>
  <c r="O586" i="8"/>
  <c r="N586" i="8"/>
  <c r="M586" i="8"/>
  <c r="C586" i="8"/>
  <c r="O585" i="8"/>
  <c r="N585" i="8"/>
  <c r="M585" i="8"/>
  <c r="L585" i="8"/>
  <c r="C585" i="8"/>
  <c r="O584" i="8"/>
  <c r="N584" i="8"/>
  <c r="M584" i="8"/>
  <c r="L584" i="8"/>
  <c r="C584" i="8"/>
  <c r="O583" i="8"/>
  <c r="N583" i="8"/>
  <c r="M583" i="8"/>
  <c r="L583" i="8"/>
  <c r="C583" i="8"/>
  <c r="O582" i="8"/>
  <c r="N582" i="8"/>
  <c r="M582" i="8"/>
  <c r="L582" i="8"/>
  <c r="C582" i="8"/>
  <c r="O581" i="8"/>
  <c r="N581" i="8"/>
  <c r="M581" i="8"/>
  <c r="L581" i="8"/>
  <c r="C581" i="8"/>
  <c r="O580" i="8"/>
  <c r="N580" i="8"/>
  <c r="M580" i="8"/>
  <c r="L580" i="8"/>
  <c r="C580" i="8"/>
  <c r="O579" i="8"/>
  <c r="N579" i="8"/>
  <c r="M579" i="8"/>
  <c r="L579" i="8"/>
  <c r="C579" i="8"/>
  <c r="O578" i="8"/>
  <c r="N578" i="8"/>
  <c r="M578" i="8"/>
  <c r="C578" i="8"/>
  <c r="O577" i="8"/>
  <c r="N577" i="8"/>
  <c r="M577" i="8"/>
  <c r="L577" i="8"/>
  <c r="C577" i="8"/>
  <c r="O576" i="8"/>
  <c r="N576" i="8"/>
  <c r="M576" i="8"/>
  <c r="C576" i="8"/>
  <c r="O575" i="8"/>
  <c r="N575" i="8"/>
  <c r="M575" i="8"/>
  <c r="L575" i="8"/>
  <c r="C575" i="8"/>
  <c r="O574" i="8"/>
  <c r="N574" i="8"/>
  <c r="M574" i="8"/>
  <c r="L574" i="8"/>
  <c r="C574" i="8"/>
  <c r="O573" i="8"/>
  <c r="N573" i="8"/>
  <c r="M573" i="8"/>
  <c r="L573" i="8"/>
  <c r="C573" i="8"/>
  <c r="O572" i="8"/>
  <c r="N572" i="8"/>
  <c r="M572" i="8"/>
  <c r="L572" i="8"/>
  <c r="C572" i="8"/>
  <c r="O571" i="8"/>
  <c r="N571" i="8"/>
  <c r="M571" i="8"/>
  <c r="C571" i="8"/>
  <c r="O570" i="8"/>
  <c r="N570" i="8"/>
  <c r="M570" i="8"/>
  <c r="L570" i="8"/>
  <c r="C570" i="8"/>
  <c r="O569" i="8"/>
  <c r="N569" i="8"/>
  <c r="M569" i="8"/>
  <c r="L569" i="8"/>
  <c r="C569" i="8"/>
  <c r="O568" i="8"/>
  <c r="N568" i="8"/>
  <c r="M568" i="8"/>
  <c r="L568" i="8"/>
  <c r="C568" i="8"/>
  <c r="O567" i="8"/>
  <c r="N567" i="8"/>
  <c r="M567" i="8"/>
  <c r="L567" i="8"/>
  <c r="C567" i="8"/>
  <c r="O566" i="8"/>
  <c r="N566" i="8"/>
  <c r="M566" i="8"/>
  <c r="C566" i="8"/>
  <c r="O565" i="8"/>
  <c r="N565" i="8"/>
  <c r="M565" i="8"/>
  <c r="L565" i="8"/>
  <c r="C565" i="8"/>
  <c r="O564" i="8"/>
  <c r="N564" i="8"/>
  <c r="M564" i="8"/>
  <c r="C564" i="8"/>
  <c r="O563" i="8"/>
  <c r="N563" i="8"/>
  <c r="M563" i="8"/>
  <c r="L563" i="8"/>
  <c r="C563" i="8"/>
  <c r="O562" i="8"/>
  <c r="N562" i="8"/>
  <c r="M562" i="8"/>
  <c r="C562" i="8"/>
  <c r="O561" i="8"/>
  <c r="N561" i="8"/>
  <c r="M561" i="8"/>
  <c r="L561" i="8"/>
  <c r="C561" i="8"/>
  <c r="O560" i="8"/>
  <c r="N560" i="8"/>
  <c r="M560" i="8"/>
  <c r="L560" i="8"/>
  <c r="C560" i="8"/>
  <c r="O559" i="8"/>
  <c r="N559" i="8"/>
  <c r="M559" i="8"/>
  <c r="L559" i="8"/>
  <c r="C559" i="8"/>
  <c r="O558" i="8"/>
  <c r="N558" i="8"/>
  <c r="M558" i="8"/>
  <c r="L558" i="8"/>
  <c r="C558" i="8"/>
  <c r="O557" i="8"/>
  <c r="N557" i="8"/>
  <c r="M557" i="8"/>
  <c r="L557" i="8"/>
  <c r="C557" i="8"/>
  <c r="O556" i="8"/>
  <c r="N556" i="8"/>
  <c r="M556" i="8"/>
  <c r="L556" i="8"/>
  <c r="C556" i="8"/>
  <c r="O555" i="8"/>
  <c r="N555" i="8"/>
  <c r="M555" i="8"/>
  <c r="L555" i="8"/>
  <c r="C555" i="8"/>
  <c r="O554" i="8"/>
  <c r="N554" i="8"/>
  <c r="M554" i="8"/>
  <c r="C554" i="8"/>
  <c r="O553" i="8"/>
  <c r="N553" i="8"/>
  <c r="M553" i="8"/>
  <c r="L553" i="8"/>
  <c r="C553" i="8"/>
  <c r="O552" i="8"/>
  <c r="N552" i="8"/>
  <c r="M552" i="8"/>
  <c r="L552" i="8"/>
  <c r="C552" i="8"/>
  <c r="O551" i="8"/>
  <c r="N551" i="8"/>
  <c r="M551" i="8"/>
  <c r="L551" i="8"/>
  <c r="C551" i="8"/>
  <c r="O550" i="8"/>
  <c r="N550" i="8"/>
  <c r="M550" i="8"/>
  <c r="C550" i="8"/>
  <c r="O549" i="8"/>
  <c r="N549" i="8"/>
  <c r="M549" i="8"/>
  <c r="L549" i="8"/>
  <c r="C549" i="8"/>
  <c r="O548" i="8"/>
  <c r="N548" i="8"/>
  <c r="M548" i="8"/>
  <c r="L548" i="8"/>
  <c r="C548" i="8"/>
  <c r="O547" i="8"/>
  <c r="N547" i="8"/>
  <c r="M547" i="8"/>
  <c r="L547" i="8"/>
  <c r="C547" i="8"/>
  <c r="O546" i="8"/>
  <c r="N546" i="8"/>
  <c r="M546" i="8"/>
  <c r="L546" i="8"/>
  <c r="C546" i="8"/>
  <c r="O545" i="8"/>
  <c r="N545" i="8"/>
  <c r="M545" i="8"/>
  <c r="L545" i="8"/>
  <c r="C545" i="8"/>
  <c r="O544" i="8"/>
  <c r="N544" i="8"/>
  <c r="M544" i="8"/>
  <c r="L544" i="8"/>
  <c r="C544" i="8"/>
  <c r="O543" i="8"/>
  <c r="N543" i="8"/>
  <c r="M543" i="8"/>
  <c r="L543" i="8"/>
  <c r="C543" i="8"/>
  <c r="O542" i="8"/>
  <c r="N542" i="8"/>
  <c r="M542" i="8"/>
  <c r="C542" i="8"/>
  <c r="O541" i="8"/>
  <c r="N541" i="8"/>
  <c r="M541" i="8"/>
  <c r="L541" i="8"/>
  <c r="C541" i="8"/>
  <c r="O540" i="8"/>
  <c r="N540" i="8"/>
  <c r="M540" i="8"/>
  <c r="L540" i="8"/>
  <c r="C540" i="8"/>
  <c r="O539" i="8"/>
  <c r="N539" i="8"/>
  <c r="M539" i="8"/>
  <c r="L539" i="8"/>
  <c r="C539" i="8"/>
  <c r="O538" i="8"/>
  <c r="N538" i="8"/>
  <c r="M538" i="8"/>
  <c r="L538" i="8"/>
  <c r="C538" i="8"/>
  <c r="O537" i="8"/>
  <c r="N537" i="8"/>
  <c r="M537" i="8"/>
  <c r="L537" i="8"/>
  <c r="C537" i="8"/>
  <c r="O536" i="8"/>
  <c r="N536" i="8"/>
  <c r="M536" i="8"/>
  <c r="L536" i="8"/>
  <c r="C536" i="8"/>
  <c r="O535" i="8"/>
  <c r="N535" i="8"/>
  <c r="M535" i="8"/>
  <c r="C535" i="8"/>
  <c r="O534" i="8"/>
  <c r="N534" i="8"/>
  <c r="M534" i="8"/>
  <c r="L534" i="8"/>
  <c r="C534" i="8"/>
  <c r="O533" i="8"/>
  <c r="N533" i="8"/>
  <c r="M533" i="8"/>
  <c r="L533" i="8"/>
  <c r="C533" i="8"/>
  <c r="O532" i="8"/>
  <c r="N532" i="8"/>
  <c r="M532" i="8"/>
  <c r="L532" i="8"/>
  <c r="C532" i="8"/>
  <c r="O531" i="8"/>
  <c r="N531" i="8"/>
  <c r="M531" i="8"/>
  <c r="L531" i="8"/>
  <c r="C531" i="8"/>
  <c r="O530" i="8"/>
  <c r="N530" i="8"/>
  <c r="M530" i="8"/>
  <c r="C530" i="8"/>
  <c r="O529" i="8"/>
  <c r="N529" i="8"/>
  <c r="M529" i="8"/>
  <c r="L529" i="8"/>
  <c r="C529" i="8"/>
  <c r="O528" i="8"/>
  <c r="N528" i="8"/>
  <c r="M528" i="8"/>
  <c r="L528" i="8"/>
  <c r="C528" i="8"/>
  <c r="O527" i="8"/>
  <c r="N527" i="8"/>
  <c r="M527" i="8"/>
  <c r="L527" i="8"/>
  <c r="C527" i="8"/>
  <c r="O526" i="8"/>
  <c r="N526" i="8"/>
  <c r="M526" i="8"/>
  <c r="L526" i="8"/>
  <c r="C526" i="8"/>
  <c r="O525" i="8"/>
  <c r="N525" i="8"/>
  <c r="M525" i="8"/>
  <c r="L525" i="8"/>
  <c r="C525" i="8"/>
  <c r="O524" i="8"/>
  <c r="N524" i="8"/>
  <c r="M524" i="8"/>
  <c r="L524" i="8"/>
  <c r="C524" i="8"/>
  <c r="O523" i="8"/>
  <c r="N523" i="8"/>
  <c r="M523" i="8"/>
  <c r="L523" i="8"/>
  <c r="C523" i="8"/>
  <c r="O522" i="8"/>
  <c r="N522" i="8"/>
  <c r="M522" i="8"/>
  <c r="L522" i="8"/>
  <c r="C522" i="8"/>
  <c r="O521" i="8"/>
  <c r="N521" i="8"/>
  <c r="M521" i="8"/>
  <c r="L521" i="8"/>
  <c r="C521" i="8"/>
  <c r="O520" i="8"/>
  <c r="N520" i="8"/>
  <c r="M520" i="8"/>
  <c r="L520" i="8"/>
  <c r="C520" i="8"/>
  <c r="O519" i="8"/>
  <c r="N519" i="8"/>
  <c r="M519" i="8"/>
  <c r="L519" i="8"/>
  <c r="C519" i="8"/>
  <c r="O518" i="8"/>
  <c r="N518" i="8"/>
  <c r="M518" i="8"/>
  <c r="C518" i="8"/>
  <c r="O517" i="8"/>
  <c r="N517" i="8"/>
  <c r="M517" i="8"/>
  <c r="L517" i="8"/>
  <c r="C517" i="8"/>
  <c r="O516" i="8"/>
  <c r="N516" i="8"/>
  <c r="M516" i="8"/>
  <c r="L516" i="8"/>
  <c r="C516" i="8"/>
  <c r="O515" i="8"/>
  <c r="N515" i="8"/>
  <c r="M515" i="8"/>
  <c r="L515" i="8"/>
  <c r="C515" i="8"/>
  <c r="O514" i="8"/>
  <c r="N514" i="8"/>
  <c r="M514" i="8"/>
  <c r="L514" i="8"/>
  <c r="C514" i="8"/>
  <c r="O513" i="8"/>
  <c r="N513" i="8"/>
  <c r="M513" i="8"/>
  <c r="L513" i="8"/>
  <c r="C513" i="8"/>
  <c r="O512" i="8"/>
  <c r="N512" i="8"/>
  <c r="M512" i="8"/>
  <c r="L512" i="8"/>
  <c r="C512" i="8"/>
  <c r="O511" i="8"/>
  <c r="N511" i="8"/>
  <c r="M511" i="8"/>
  <c r="L511" i="8"/>
  <c r="C511" i="8"/>
  <c r="O510" i="8"/>
  <c r="N510" i="8"/>
  <c r="M510" i="8"/>
  <c r="L510" i="8"/>
  <c r="C510" i="8"/>
  <c r="O509" i="8"/>
  <c r="N509" i="8"/>
  <c r="M509" i="8"/>
  <c r="L509" i="8"/>
  <c r="C509" i="8"/>
  <c r="O508" i="8"/>
  <c r="N508" i="8"/>
  <c r="M508" i="8"/>
  <c r="L508" i="8"/>
  <c r="C508" i="8"/>
  <c r="O507" i="8"/>
  <c r="N507" i="8"/>
  <c r="M507" i="8"/>
  <c r="L507" i="8"/>
  <c r="C507" i="8"/>
  <c r="O506" i="8"/>
  <c r="N506" i="8"/>
  <c r="M506" i="8"/>
  <c r="L506" i="8"/>
  <c r="C506" i="8"/>
  <c r="O505" i="8"/>
  <c r="N505" i="8"/>
  <c r="M505" i="8"/>
  <c r="C505" i="8"/>
  <c r="O504" i="8"/>
  <c r="N504" i="8"/>
  <c r="M504" i="8"/>
  <c r="L504" i="8"/>
  <c r="C504" i="8"/>
  <c r="O503" i="8"/>
  <c r="N503" i="8"/>
  <c r="M503" i="8"/>
  <c r="L503" i="8"/>
  <c r="C503" i="8"/>
  <c r="O502" i="8"/>
  <c r="N502" i="8"/>
  <c r="M502" i="8"/>
  <c r="L502" i="8"/>
  <c r="C502" i="8"/>
  <c r="O501" i="8"/>
  <c r="N501" i="8"/>
  <c r="M501" i="8"/>
  <c r="L501" i="8"/>
  <c r="C501" i="8"/>
  <c r="O500" i="8"/>
  <c r="N500" i="8"/>
  <c r="M500" i="8"/>
  <c r="L500" i="8"/>
  <c r="C500" i="8"/>
  <c r="O499" i="8"/>
  <c r="N499" i="8"/>
  <c r="M499" i="8"/>
  <c r="L499" i="8"/>
  <c r="C499" i="8"/>
  <c r="O498" i="8"/>
  <c r="N498" i="8"/>
  <c r="M498" i="8"/>
  <c r="L498" i="8"/>
  <c r="C498" i="8"/>
  <c r="O497" i="8"/>
  <c r="N497" i="8"/>
  <c r="M497" i="8"/>
  <c r="L497" i="8"/>
  <c r="C497" i="8"/>
  <c r="O496" i="8"/>
  <c r="N496" i="8"/>
  <c r="M496" i="8"/>
  <c r="L496" i="8"/>
  <c r="C496" i="8"/>
  <c r="O495" i="8"/>
  <c r="N495" i="8"/>
  <c r="M495" i="8"/>
  <c r="C495" i="8"/>
  <c r="O494" i="8"/>
  <c r="N494" i="8"/>
  <c r="M494" i="8"/>
  <c r="C494" i="8"/>
  <c r="O493" i="8"/>
  <c r="N493" i="8"/>
  <c r="M493" i="8"/>
  <c r="L493" i="8"/>
  <c r="C493" i="8"/>
  <c r="O492" i="8"/>
  <c r="N492" i="8"/>
  <c r="M492" i="8"/>
  <c r="L492" i="8"/>
  <c r="C492" i="8"/>
  <c r="O491" i="8"/>
  <c r="N491" i="8"/>
  <c r="M491" i="8"/>
  <c r="L491" i="8"/>
  <c r="C491" i="8"/>
  <c r="O490" i="8"/>
  <c r="N490" i="8"/>
  <c r="M490" i="8"/>
  <c r="L490" i="8"/>
  <c r="C490" i="8"/>
  <c r="O489" i="8"/>
  <c r="N489" i="8"/>
  <c r="M489" i="8"/>
  <c r="L489" i="8"/>
  <c r="C489" i="8"/>
  <c r="O488" i="8"/>
  <c r="N488" i="8"/>
  <c r="M488" i="8"/>
  <c r="L488" i="8"/>
  <c r="C488" i="8"/>
  <c r="O487" i="8"/>
  <c r="N487" i="8"/>
  <c r="M487" i="8"/>
  <c r="L487" i="8"/>
  <c r="C487" i="8"/>
  <c r="O486" i="8"/>
  <c r="N486" i="8"/>
  <c r="M486" i="8"/>
  <c r="L486" i="8"/>
  <c r="C486" i="8"/>
  <c r="O485" i="8"/>
  <c r="N485" i="8"/>
  <c r="M485" i="8"/>
  <c r="L485" i="8"/>
  <c r="C485" i="8"/>
  <c r="O484" i="8"/>
  <c r="N484" i="8"/>
  <c r="M484" i="8"/>
  <c r="C484" i="8"/>
  <c r="O483" i="8"/>
  <c r="N483" i="8"/>
  <c r="M483" i="8"/>
  <c r="L483" i="8"/>
  <c r="C483" i="8"/>
  <c r="O482" i="8"/>
  <c r="N482" i="8"/>
  <c r="M482" i="8"/>
  <c r="L482" i="8"/>
  <c r="C482" i="8"/>
  <c r="O481" i="8"/>
  <c r="N481" i="8"/>
  <c r="M481" i="8"/>
  <c r="C481" i="8"/>
  <c r="O480" i="8"/>
  <c r="N480" i="8"/>
  <c r="M480" i="8"/>
  <c r="L480" i="8"/>
  <c r="C480" i="8"/>
  <c r="O479" i="8"/>
  <c r="N479" i="8"/>
  <c r="M479" i="8"/>
  <c r="L479" i="8"/>
  <c r="C479" i="8"/>
  <c r="O478" i="8"/>
  <c r="N478" i="8"/>
  <c r="M478" i="8"/>
  <c r="L478" i="8"/>
  <c r="C478" i="8"/>
  <c r="O477" i="8"/>
  <c r="N477" i="8"/>
  <c r="M477" i="8"/>
  <c r="L477" i="8"/>
  <c r="C477" i="8"/>
  <c r="O476" i="8"/>
  <c r="N476" i="8"/>
  <c r="M476" i="8"/>
  <c r="L476" i="8"/>
  <c r="C476" i="8"/>
  <c r="O475" i="8"/>
  <c r="N475" i="8"/>
  <c r="M475" i="8"/>
  <c r="L475" i="8"/>
  <c r="C475" i="8"/>
  <c r="O474" i="8"/>
  <c r="N474" i="8"/>
  <c r="M474" i="8"/>
  <c r="L474" i="8"/>
  <c r="C474" i="8"/>
  <c r="O473" i="8"/>
  <c r="N473" i="8"/>
  <c r="M473" i="8"/>
  <c r="L473" i="8"/>
  <c r="C473" i="8"/>
  <c r="O472" i="8"/>
  <c r="N472" i="8"/>
  <c r="M472" i="8"/>
  <c r="L472" i="8"/>
  <c r="C472" i="8"/>
  <c r="O471" i="8"/>
  <c r="N471" i="8"/>
  <c r="M471" i="8"/>
  <c r="L471" i="8"/>
  <c r="C471" i="8"/>
  <c r="O470" i="8"/>
  <c r="N470" i="8"/>
  <c r="M470" i="8"/>
  <c r="C470" i="8"/>
  <c r="O469" i="8"/>
  <c r="N469" i="8"/>
  <c r="M469" i="8"/>
  <c r="L469" i="8"/>
  <c r="C469" i="8"/>
  <c r="O468" i="8"/>
  <c r="N468" i="8"/>
  <c r="M468" i="8"/>
  <c r="L468" i="8"/>
  <c r="C468" i="8"/>
  <c r="O467" i="8"/>
  <c r="N467" i="8"/>
  <c r="M467" i="8"/>
  <c r="L467" i="8"/>
  <c r="C467" i="8"/>
  <c r="O466" i="8"/>
  <c r="N466" i="8"/>
  <c r="M466" i="8"/>
  <c r="L466" i="8"/>
  <c r="C466" i="8"/>
  <c r="O465" i="8"/>
  <c r="N465" i="8"/>
  <c r="M465" i="8"/>
  <c r="L465" i="8"/>
  <c r="C465" i="8"/>
  <c r="O464" i="8"/>
  <c r="N464" i="8"/>
  <c r="M464" i="8"/>
  <c r="L464" i="8"/>
  <c r="C464" i="8"/>
  <c r="O463" i="8"/>
  <c r="N463" i="8"/>
  <c r="M463" i="8"/>
  <c r="C463" i="8"/>
  <c r="O462" i="8"/>
  <c r="N462" i="8"/>
  <c r="M462" i="8"/>
  <c r="L462" i="8"/>
  <c r="C462" i="8"/>
  <c r="O461" i="8"/>
  <c r="N461" i="8"/>
  <c r="M461" i="8"/>
  <c r="L461" i="8"/>
  <c r="C461" i="8"/>
  <c r="O460" i="8"/>
  <c r="N460" i="8"/>
  <c r="M460" i="8"/>
  <c r="L460" i="8"/>
  <c r="C460" i="8"/>
  <c r="O459" i="8"/>
  <c r="N459" i="8"/>
  <c r="M459" i="8"/>
  <c r="L459" i="8"/>
  <c r="C459" i="8"/>
  <c r="O458" i="8"/>
  <c r="N458" i="8"/>
  <c r="M458" i="8"/>
  <c r="L458" i="8"/>
  <c r="C458" i="8"/>
  <c r="O457" i="8"/>
  <c r="N457" i="8"/>
  <c r="M457" i="8"/>
  <c r="L457" i="8"/>
  <c r="C457" i="8"/>
  <c r="O456" i="8"/>
  <c r="N456" i="8"/>
  <c r="M456" i="8"/>
  <c r="L456" i="8"/>
  <c r="C456" i="8"/>
  <c r="O455" i="8"/>
  <c r="N455" i="8"/>
  <c r="M455" i="8"/>
  <c r="L455" i="8"/>
  <c r="C455" i="8"/>
  <c r="O454" i="8"/>
  <c r="N454" i="8"/>
  <c r="M454" i="8"/>
  <c r="L454" i="8"/>
  <c r="C454" i="8"/>
  <c r="O453" i="8"/>
  <c r="N453" i="8"/>
  <c r="M453" i="8"/>
  <c r="L453" i="8"/>
  <c r="C453" i="8"/>
  <c r="O452" i="8"/>
  <c r="N452" i="8"/>
  <c r="M452" i="8"/>
  <c r="L452" i="8"/>
  <c r="C452" i="8"/>
  <c r="O451" i="8"/>
  <c r="N451" i="8"/>
  <c r="M451" i="8"/>
  <c r="L451" i="8"/>
  <c r="C451" i="8"/>
  <c r="O450" i="8"/>
  <c r="N450" i="8"/>
  <c r="M450" i="8"/>
  <c r="L450" i="8"/>
  <c r="C450" i="8"/>
  <c r="O449" i="8"/>
  <c r="N449" i="8"/>
  <c r="M449" i="8"/>
  <c r="L449" i="8"/>
  <c r="C449" i="8"/>
  <c r="O448" i="8"/>
  <c r="N448" i="8"/>
  <c r="M448" i="8"/>
  <c r="L448" i="8"/>
  <c r="C448" i="8"/>
  <c r="O447" i="8"/>
  <c r="N447" i="8"/>
  <c r="M447" i="8"/>
  <c r="L447" i="8"/>
  <c r="C447" i="8"/>
  <c r="O446" i="8"/>
  <c r="N446" i="8"/>
  <c r="M446" i="8"/>
  <c r="C446" i="8"/>
  <c r="O445" i="8"/>
  <c r="N445" i="8"/>
  <c r="M445" i="8"/>
  <c r="L445" i="8"/>
  <c r="C445" i="8"/>
  <c r="O444" i="8"/>
  <c r="N444" i="8"/>
  <c r="M444" i="8"/>
  <c r="L444" i="8"/>
  <c r="C444" i="8"/>
  <c r="O443" i="8"/>
  <c r="N443" i="8"/>
  <c r="M443" i="8"/>
  <c r="L443" i="8"/>
  <c r="C443" i="8"/>
  <c r="O442" i="8"/>
  <c r="N442" i="8"/>
  <c r="M442" i="8"/>
  <c r="L442" i="8"/>
  <c r="C442" i="8"/>
  <c r="O441" i="8"/>
  <c r="N441" i="8"/>
  <c r="M441" i="8"/>
  <c r="L441" i="8"/>
  <c r="C441" i="8"/>
  <c r="O440" i="8"/>
  <c r="N440" i="8"/>
  <c r="M440" i="8"/>
  <c r="L440" i="8"/>
  <c r="C440" i="8"/>
  <c r="O439" i="8"/>
  <c r="N439" i="8"/>
  <c r="M439" i="8"/>
  <c r="L439" i="8"/>
  <c r="C439" i="8"/>
  <c r="O438" i="8"/>
  <c r="N438" i="8"/>
  <c r="M438" i="8"/>
  <c r="L438" i="8"/>
  <c r="C438" i="8"/>
  <c r="O437" i="8"/>
  <c r="N437" i="8"/>
  <c r="M437" i="8"/>
  <c r="L437" i="8"/>
  <c r="C437" i="8"/>
  <c r="O436" i="8"/>
  <c r="N436" i="8"/>
  <c r="M436" i="8"/>
  <c r="L436" i="8"/>
  <c r="C436" i="8"/>
  <c r="O435" i="8"/>
  <c r="N435" i="8"/>
  <c r="M435" i="8"/>
  <c r="L435" i="8"/>
  <c r="C435" i="8"/>
  <c r="O434" i="8"/>
  <c r="N434" i="8"/>
  <c r="M434" i="8"/>
  <c r="L434" i="8"/>
  <c r="C434" i="8"/>
  <c r="O433" i="8"/>
  <c r="N433" i="8"/>
  <c r="M433" i="8"/>
  <c r="L433" i="8"/>
  <c r="C433" i="8"/>
  <c r="O432" i="8"/>
  <c r="N432" i="8"/>
  <c r="M432" i="8"/>
  <c r="L432" i="8"/>
  <c r="C432" i="8"/>
  <c r="O431" i="8"/>
  <c r="N431" i="8"/>
  <c r="M431" i="8"/>
  <c r="L431" i="8"/>
  <c r="C431" i="8"/>
  <c r="O430" i="8"/>
  <c r="N430" i="8"/>
  <c r="M430" i="8"/>
  <c r="L430" i="8"/>
  <c r="C430" i="8"/>
  <c r="O429" i="8"/>
  <c r="N429" i="8"/>
  <c r="M429" i="8"/>
  <c r="L429" i="8"/>
  <c r="C429" i="8"/>
  <c r="O428" i="8"/>
  <c r="N428" i="8"/>
  <c r="M428" i="8"/>
  <c r="L428" i="8"/>
  <c r="C428" i="8"/>
  <c r="O427" i="8"/>
  <c r="N427" i="8"/>
  <c r="M427" i="8"/>
  <c r="L427" i="8"/>
  <c r="C427" i="8"/>
  <c r="O426" i="8"/>
  <c r="N426" i="8"/>
  <c r="M426" i="8"/>
  <c r="L426" i="8"/>
  <c r="C426" i="8"/>
  <c r="O425" i="8"/>
  <c r="N425" i="8"/>
  <c r="M425" i="8"/>
  <c r="L425" i="8"/>
  <c r="C425" i="8"/>
  <c r="O424" i="8"/>
  <c r="N424" i="8"/>
  <c r="M424" i="8"/>
  <c r="L424" i="8"/>
  <c r="C424" i="8"/>
  <c r="O423" i="8"/>
  <c r="N423" i="8"/>
  <c r="M423" i="8"/>
  <c r="C423" i="8"/>
  <c r="O422" i="8"/>
  <c r="N422" i="8"/>
  <c r="M422" i="8"/>
  <c r="C422" i="8"/>
  <c r="O421" i="8"/>
  <c r="N421" i="8"/>
  <c r="M421" i="8"/>
  <c r="L421" i="8"/>
  <c r="C421" i="8"/>
  <c r="O420" i="8"/>
  <c r="N420" i="8"/>
  <c r="M420" i="8"/>
  <c r="L420" i="8"/>
  <c r="C420" i="8"/>
  <c r="O419" i="8"/>
  <c r="N419" i="8"/>
  <c r="M419" i="8"/>
  <c r="L419" i="8"/>
  <c r="C419" i="8"/>
  <c r="O418" i="8"/>
  <c r="N418" i="8"/>
  <c r="M418" i="8"/>
  <c r="L418" i="8"/>
  <c r="C418" i="8"/>
  <c r="O417" i="8"/>
  <c r="N417" i="8"/>
  <c r="M417" i="8"/>
  <c r="L417" i="8"/>
  <c r="C417" i="8"/>
  <c r="O416" i="8"/>
  <c r="N416" i="8"/>
  <c r="M416" i="8"/>
  <c r="L416" i="8"/>
  <c r="C416" i="8"/>
  <c r="O415" i="8"/>
  <c r="N415" i="8"/>
  <c r="M415" i="8"/>
  <c r="L415" i="8"/>
  <c r="C415" i="8"/>
  <c r="O414" i="8"/>
  <c r="N414" i="8"/>
  <c r="M414" i="8"/>
  <c r="L414" i="8"/>
  <c r="C414" i="8"/>
  <c r="O413" i="8"/>
  <c r="N413" i="8"/>
  <c r="M413" i="8"/>
  <c r="L413" i="8"/>
  <c r="C413" i="8"/>
  <c r="O412" i="8"/>
  <c r="N412" i="8"/>
  <c r="M412" i="8"/>
  <c r="C412" i="8"/>
  <c r="O411" i="8"/>
  <c r="N411" i="8"/>
  <c r="M411" i="8"/>
  <c r="L411" i="8"/>
  <c r="C411" i="8"/>
  <c r="O410" i="8"/>
  <c r="N410" i="8"/>
  <c r="M410" i="8"/>
  <c r="L410" i="8"/>
  <c r="C410" i="8"/>
  <c r="O409" i="8"/>
  <c r="N409" i="8"/>
  <c r="M409" i="8"/>
  <c r="L409" i="8"/>
  <c r="C409" i="8"/>
  <c r="O408" i="8"/>
  <c r="N408" i="8"/>
  <c r="M408" i="8"/>
  <c r="L408" i="8"/>
  <c r="C408" i="8"/>
  <c r="O407" i="8"/>
  <c r="N407" i="8"/>
  <c r="M407" i="8"/>
  <c r="L407" i="8"/>
  <c r="C407" i="8"/>
  <c r="O406" i="8"/>
  <c r="N406" i="8"/>
  <c r="M406" i="8"/>
  <c r="L406" i="8"/>
  <c r="C406" i="8"/>
  <c r="O405" i="8"/>
  <c r="N405" i="8"/>
  <c r="M405" i="8"/>
  <c r="L405" i="8"/>
  <c r="C405" i="8"/>
  <c r="O404" i="8"/>
  <c r="N404" i="8"/>
  <c r="M404" i="8"/>
  <c r="L404" i="8"/>
  <c r="C404" i="8"/>
  <c r="O403" i="8"/>
  <c r="N403" i="8"/>
  <c r="M403" i="8"/>
  <c r="L403" i="8"/>
  <c r="C403" i="8"/>
  <c r="O402" i="8"/>
  <c r="N402" i="8"/>
  <c r="M402" i="8"/>
  <c r="L402" i="8"/>
  <c r="C402" i="8"/>
  <c r="O401" i="8"/>
  <c r="N401" i="8"/>
  <c r="M401" i="8"/>
  <c r="L401" i="8"/>
  <c r="C401" i="8"/>
  <c r="O400" i="8"/>
  <c r="N400" i="8"/>
  <c r="M400" i="8"/>
  <c r="L400" i="8"/>
  <c r="C400" i="8"/>
  <c r="O399" i="8"/>
  <c r="N399" i="8"/>
  <c r="M399" i="8"/>
  <c r="L399" i="8"/>
  <c r="C399" i="8"/>
  <c r="O398" i="8"/>
  <c r="N398" i="8"/>
  <c r="M398" i="8"/>
  <c r="L398" i="8"/>
  <c r="C398" i="8"/>
  <c r="O397" i="8"/>
  <c r="N397" i="8"/>
  <c r="M397" i="8"/>
  <c r="L397" i="8"/>
  <c r="C397" i="8"/>
  <c r="O396" i="8"/>
  <c r="N396" i="8"/>
  <c r="M396" i="8"/>
  <c r="L396" i="8"/>
  <c r="C396" i="8"/>
  <c r="O395" i="8"/>
  <c r="N395" i="8"/>
  <c r="M395" i="8"/>
  <c r="L395" i="8"/>
  <c r="C395" i="8"/>
  <c r="O394" i="8"/>
  <c r="N394" i="8"/>
  <c r="M394" i="8"/>
  <c r="L394" i="8"/>
  <c r="C394" i="8"/>
  <c r="O393" i="8"/>
  <c r="N393" i="8"/>
  <c r="M393" i="8"/>
  <c r="L393" i="8"/>
  <c r="C393" i="8"/>
  <c r="O392" i="8"/>
  <c r="N392" i="8"/>
  <c r="M392" i="8"/>
  <c r="L392" i="8"/>
  <c r="C392" i="8"/>
  <c r="O391" i="8"/>
  <c r="N391" i="8"/>
  <c r="M391" i="8"/>
  <c r="C391" i="8"/>
  <c r="O390" i="8"/>
  <c r="N390" i="8"/>
  <c r="M390" i="8"/>
  <c r="L390" i="8"/>
  <c r="C390" i="8"/>
  <c r="O389" i="8"/>
  <c r="N389" i="8"/>
  <c r="M389" i="8"/>
  <c r="L389" i="8"/>
  <c r="C389" i="8"/>
  <c r="O388" i="8"/>
  <c r="N388" i="8"/>
  <c r="M388" i="8"/>
  <c r="L388" i="8"/>
  <c r="C388" i="8"/>
  <c r="O387" i="8"/>
  <c r="N387" i="8"/>
  <c r="M387" i="8"/>
  <c r="L387" i="8"/>
  <c r="C387" i="8"/>
  <c r="O386" i="8"/>
  <c r="N386" i="8"/>
  <c r="M386" i="8"/>
  <c r="L386" i="8"/>
  <c r="C386" i="8"/>
  <c r="O385" i="8"/>
  <c r="N385" i="8"/>
  <c r="M385" i="8"/>
  <c r="L385" i="8"/>
  <c r="C385" i="8"/>
  <c r="O384" i="8"/>
  <c r="N384" i="8"/>
  <c r="M384" i="8"/>
  <c r="L384" i="8"/>
  <c r="C384" i="8"/>
  <c r="O383" i="8"/>
  <c r="N383" i="8"/>
  <c r="M383" i="8"/>
  <c r="L383" i="8"/>
  <c r="C383" i="8"/>
  <c r="O382" i="8"/>
  <c r="N382" i="8"/>
  <c r="M382" i="8"/>
  <c r="L382" i="8"/>
  <c r="C382" i="8"/>
  <c r="O381" i="8"/>
  <c r="N381" i="8"/>
  <c r="M381" i="8"/>
  <c r="L381" i="8"/>
  <c r="C381" i="8"/>
  <c r="O380" i="8"/>
  <c r="N380" i="8"/>
  <c r="M380" i="8"/>
  <c r="L380" i="8"/>
  <c r="C380" i="8"/>
  <c r="O379" i="8"/>
  <c r="N379" i="8"/>
  <c r="M379" i="8"/>
  <c r="L379" i="8"/>
  <c r="C379" i="8"/>
  <c r="O378" i="8"/>
  <c r="N378" i="8"/>
  <c r="M378" i="8"/>
  <c r="L378" i="8"/>
  <c r="C378" i="8"/>
  <c r="O377" i="8"/>
  <c r="N377" i="8"/>
  <c r="M377" i="8"/>
  <c r="L377" i="8"/>
  <c r="C377" i="8"/>
  <c r="O376" i="8"/>
  <c r="N376" i="8"/>
  <c r="M376" i="8"/>
  <c r="L376" i="8"/>
  <c r="C376" i="8"/>
  <c r="O375" i="8"/>
  <c r="N375" i="8"/>
  <c r="M375" i="8"/>
  <c r="L375" i="8"/>
  <c r="C375" i="8"/>
  <c r="O374" i="8"/>
  <c r="N374" i="8"/>
  <c r="M374" i="8"/>
  <c r="L374" i="8"/>
  <c r="C374" i="8"/>
  <c r="O373" i="8"/>
  <c r="N373" i="8"/>
  <c r="M373" i="8"/>
  <c r="L373" i="8"/>
  <c r="C373" i="8"/>
  <c r="O372" i="8"/>
  <c r="N372" i="8"/>
  <c r="M372" i="8"/>
  <c r="L372" i="8"/>
  <c r="C372" i="8"/>
  <c r="O371" i="8"/>
  <c r="N371" i="8"/>
  <c r="M371" i="8"/>
  <c r="L371" i="8"/>
  <c r="C371" i="8"/>
  <c r="O370" i="8"/>
  <c r="N370" i="8"/>
  <c r="M370" i="8"/>
  <c r="L370" i="8"/>
  <c r="C370" i="8"/>
  <c r="O369" i="8"/>
  <c r="N369" i="8"/>
  <c r="M369" i="8"/>
  <c r="L369" i="8"/>
  <c r="C369" i="8"/>
  <c r="O368" i="8"/>
  <c r="N368" i="8"/>
  <c r="M368" i="8"/>
  <c r="L368" i="8"/>
  <c r="C368" i="8"/>
  <c r="O367" i="8"/>
  <c r="N367" i="8"/>
  <c r="M367" i="8"/>
  <c r="L367" i="8"/>
  <c r="C367" i="8"/>
  <c r="O366" i="8"/>
  <c r="N366" i="8"/>
  <c r="M366" i="8"/>
  <c r="L366" i="8"/>
  <c r="C366" i="8"/>
  <c r="O365" i="8"/>
  <c r="N365" i="8"/>
  <c r="M365" i="8"/>
  <c r="L365" i="8"/>
  <c r="C365" i="8"/>
  <c r="O364" i="8"/>
  <c r="N364" i="8"/>
  <c r="M364" i="8"/>
  <c r="L364" i="8"/>
  <c r="C364" i="8"/>
  <c r="O363" i="8"/>
  <c r="N363" i="8"/>
  <c r="M363" i="8"/>
  <c r="L363" i="8"/>
  <c r="C363" i="8"/>
  <c r="O362" i="8"/>
  <c r="N362" i="8"/>
  <c r="M362" i="8"/>
  <c r="L362" i="8"/>
  <c r="C362" i="8"/>
  <c r="O361" i="8"/>
  <c r="N361" i="8"/>
  <c r="M361" i="8"/>
  <c r="L361" i="8"/>
  <c r="C361" i="8"/>
  <c r="O360" i="8"/>
  <c r="N360" i="8"/>
  <c r="M360" i="8"/>
  <c r="L360" i="8"/>
  <c r="C360" i="8"/>
  <c r="O359" i="8"/>
  <c r="N359" i="8"/>
  <c r="M359" i="8"/>
  <c r="L359" i="8"/>
  <c r="C359" i="8"/>
  <c r="O358" i="8"/>
  <c r="N358" i="8"/>
  <c r="M358" i="8"/>
  <c r="L358" i="8"/>
  <c r="C358" i="8"/>
  <c r="O357" i="8"/>
  <c r="N357" i="8"/>
  <c r="M357" i="8"/>
  <c r="L357" i="8"/>
  <c r="C357" i="8"/>
  <c r="O356" i="8"/>
  <c r="N356" i="8"/>
  <c r="M356" i="8"/>
  <c r="L356" i="8"/>
  <c r="C356" i="8"/>
  <c r="O355" i="8"/>
  <c r="N355" i="8"/>
  <c r="M355" i="8"/>
  <c r="L355" i="8"/>
  <c r="C355" i="8"/>
  <c r="O354" i="8"/>
  <c r="N354" i="8"/>
  <c r="M354" i="8"/>
  <c r="L354" i="8"/>
  <c r="C354" i="8"/>
  <c r="O353" i="8"/>
  <c r="N353" i="8"/>
  <c r="M353" i="8"/>
  <c r="L353" i="8"/>
  <c r="C353" i="8"/>
  <c r="O352" i="8"/>
  <c r="N352" i="8"/>
  <c r="M352" i="8"/>
  <c r="L352" i="8"/>
  <c r="C352" i="8"/>
  <c r="O351" i="8"/>
  <c r="N351" i="8"/>
  <c r="M351" i="8"/>
  <c r="C351" i="8"/>
  <c r="O350" i="8"/>
  <c r="N350" i="8"/>
  <c r="M350" i="8"/>
  <c r="L350" i="8"/>
  <c r="C350" i="8"/>
  <c r="O349" i="8"/>
  <c r="N349" i="8"/>
  <c r="M349" i="8"/>
  <c r="L349" i="8"/>
  <c r="C349" i="8"/>
  <c r="O348" i="8"/>
  <c r="N348" i="8"/>
  <c r="M348" i="8"/>
  <c r="L348" i="8"/>
  <c r="C348" i="8"/>
  <c r="O347" i="8"/>
  <c r="N347" i="8"/>
  <c r="M347" i="8"/>
  <c r="L347" i="8"/>
  <c r="C347" i="8"/>
  <c r="O346" i="8"/>
  <c r="N346" i="8"/>
  <c r="M346" i="8"/>
  <c r="L346" i="8"/>
  <c r="C346" i="8"/>
  <c r="O345" i="8"/>
  <c r="N345" i="8"/>
  <c r="M345" i="8"/>
  <c r="L345" i="8"/>
  <c r="C345" i="8"/>
  <c r="O344" i="8"/>
  <c r="N344" i="8"/>
  <c r="M344" i="8"/>
  <c r="L344" i="8"/>
  <c r="C344" i="8"/>
  <c r="O343" i="8"/>
  <c r="N343" i="8"/>
  <c r="M343" i="8"/>
  <c r="L343" i="8"/>
  <c r="C343" i="8"/>
  <c r="O342" i="8"/>
  <c r="N342" i="8"/>
  <c r="M342" i="8"/>
  <c r="L342" i="8"/>
  <c r="C342" i="8"/>
  <c r="O341" i="8"/>
  <c r="N341" i="8"/>
  <c r="M341" i="8"/>
  <c r="L341" i="8"/>
  <c r="C341" i="8"/>
  <c r="O340" i="8"/>
  <c r="N340" i="8"/>
  <c r="M340" i="8"/>
  <c r="C340" i="8"/>
  <c r="O339" i="8"/>
  <c r="N339" i="8"/>
  <c r="M339" i="8"/>
  <c r="L339" i="8"/>
  <c r="C339" i="8"/>
  <c r="O338" i="8"/>
  <c r="N338" i="8"/>
  <c r="M338" i="8"/>
  <c r="L338" i="8"/>
  <c r="C338" i="8"/>
  <c r="O337" i="8"/>
  <c r="N337" i="8"/>
  <c r="M337" i="8"/>
  <c r="L337" i="8"/>
  <c r="C337" i="8"/>
  <c r="O336" i="8"/>
  <c r="N336" i="8"/>
  <c r="M336" i="8"/>
  <c r="L336" i="8"/>
  <c r="C336" i="8"/>
  <c r="O335" i="8"/>
  <c r="N335" i="8"/>
  <c r="M335" i="8"/>
  <c r="L335" i="8"/>
  <c r="C335" i="8"/>
  <c r="O334" i="8"/>
  <c r="N334" i="8"/>
  <c r="M334" i="8"/>
  <c r="L334" i="8"/>
  <c r="C334" i="8"/>
  <c r="O333" i="8"/>
  <c r="N333" i="8"/>
  <c r="M333" i="8"/>
  <c r="L333" i="8"/>
  <c r="C333" i="8"/>
  <c r="O332" i="8"/>
  <c r="N332" i="8"/>
  <c r="M332" i="8"/>
  <c r="L332" i="8"/>
  <c r="C332" i="8"/>
  <c r="O331" i="8"/>
  <c r="N331" i="8"/>
  <c r="M331" i="8"/>
  <c r="L331" i="8"/>
  <c r="C331" i="8"/>
  <c r="O330" i="8"/>
  <c r="N330" i="8"/>
  <c r="M330" i="8"/>
  <c r="L330" i="8"/>
  <c r="C330" i="8"/>
  <c r="O329" i="8"/>
  <c r="N329" i="8"/>
  <c r="M329" i="8"/>
  <c r="L329" i="8"/>
  <c r="C329" i="8"/>
  <c r="O328" i="8"/>
  <c r="N328" i="8"/>
  <c r="M328" i="8"/>
  <c r="L328" i="8"/>
  <c r="C328" i="8"/>
  <c r="O327" i="8"/>
  <c r="N327" i="8"/>
  <c r="M327" i="8"/>
  <c r="L327" i="8"/>
  <c r="C327" i="8"/>
  <c r="O326" i="8"/>
  <c r="N326" i="8"/>
  <c r="M326" i="8"/>
  <c r="L326" i="8"/>
  <c r="C326" i="8"/>
  <c r="O325" i="8"/>
  <c r="N325" i="8"/>
  <c r="M325" i="8"/>
  <c r="L325" i="8"/>
  <c r="C325" i="8"/>
  <c r="O324" i="8"/>
  <c r="N324" i="8"/>
  <c r="M324" i="8"/>
  <c r="L324" i="8"/>
  <c r="C324" i="8"/>
  <c r="O323" i="8"/>
  <c r="N323" i="8"/>
  <c r="M323" i="8"/>
  <c r="L323" i="8"/>
  <c r="C323" i="8"/>
  <c r="O322" i="8"/>
  <c r="N322" i="8"/>
  <c r="M322" i="8"/>
  <c r="L322" i="8"/>
  <c r="C322" i="8"/>
  <c r="O321" i="8"/>
  <c r="N321" i="8"/>
  <c r="M321" i="8"/>
  <c r="L321" i="8"/>
  <c r="C321" i="8"/>
  <c r="O320" i="8"/>
  <c r="N320" i="8"/>
  <c r="M320" i="8"/>
  <c r="L320" i="8"/>
  <c r="C320" i="8"/>
  <c r="O319" i="8"/>
  <c r="N319" i="8"/>
  <c r="M319" i="8"/>
  <c r="C319" i="8"/>
  <c r="O318" i="8"/>
  <c r="N318" i="8"/>
  <c r="M318" i="8"/>
  <c r="L318" i="8"/>
  <c r="C318" i="8"/>
  <c r="O317" i="8"/>
  <c r="N317" i="8"/>
  <c r="M317" i="8"/>
  <c r="L317" i="8"/>
  <c r="C317" i="8"/>
  <c r="O316" i="8"/>
  <c r="N316" i="8"/>
  <c r="M316" i="8"/>
  <c r="L316" i="8"/>
  <c r="C316" i="8"/>
  <c r="O315" i="8"/>
  <c r="N315" i="8"/>
  <c r="M315" i="8"/>
  <c r="L315" i="8"/>
  <c r="C315" i="8"/>
  <c r="O314" i="8"/>
  <c r="N314" i="8"/>
  <c r="M314" i="8"/>
  <c r="L314" i="8"/>
  <c r="C314" i="8"/>
  <c r="O313" i="8"/>
  <c r="N313" i="8"/>
  <c r="M313" i="8"/>
  <c r="L313" i="8"/>
  <c r="C313" i="8"/>
  <c r="O312" i="8"/>
  <c r="N312" i="8"/>
  <c r="M312" i="8"/>
  <c r="L312" i="8"/>
  <c r="C312" i="8"/>
  <c r="O311" i="8"/>
  <c r="N311" i="8"/>
  <c r="M311" i="8"/>
  <c r="L311" i="8"/>
  <c r="C311" i="8"/>
  <c r="O310" i="8"/>
  <c r="N310" i="8"/>
  <c r="M310" i="8"/>
  <c r="L310" i="8"/>
  <c r="C310" i="8"/>
  <c r="O309" i="8"/>
  <c r="N309" i="8"/>
  <c r="M309" i="8"/>
  <c r="L309" i="8"/>
  <c r="C309" i="8"/>
  <c r="O308" i="8"/>
  <c r="N308" i="8"/>
  <c r="M308" i="8"/>
  <c r="L308" i="8"/>
  <c r="C308" i="8"/>
  <c r="O307" i="8"/>
  <c r="N307" i="8"/>
  <c r="M307" i="8"/>
  <c r="L307" i="8"/>
  <c r="C307" i="8"/>
  <c r="O306" i="8"/>
  <c r="N306" i="8"/>
  <c r="M306" i="8"/>
  <c r="L306" i="8"/>
  <c r="C306" i="8"/>
  <c r="O305" i="8"/>
  <c r="N305" i="8"/>
  <c r="M305" i="8"/>
  <c r="L305" i="8"/>
  <c r="C305" i="8"/>
  <c r="O304" i="8"/>
  <c r="N304" i="8"/>
  <c r="M304" i="8"/>
  <c r="L304" i="8"/>
  <c r="C304" i="8"/>
  <c r="O303" i="8"/>
  <c r="N303" i="8"/>
  <c r="M303" i="8"/>
  <c r="L303" i="8"/>
  <c r="C303" i="8"/>
  <c r="O302" i="8"/>
  <c r="N302" i="8"/>
  <c r="M302" i="8"/>
  <c r="L302" i="8"/>
  <c r="C302" i="8"/>
  <c r="O301" i="8"/>
  <c r="N301" i="8"/>
  <c r="M301" i="8"/>
  <c r="L301" i="8"/>
  <c r="C301" i="8"/>
  <c r="O300" i="8"/>
  <c r="N300" i="8"/>
  <c r="M300" i="8"/>
  <c r="L300" i="8"/>
  <c r="C300" i="8"/>
  <c r="O299" i="8"/>
  <c r="N299" i="8"/>
  <c r="M299" i="8"/>
  <c r="L299" i="8"/>
  <c r="C299" i="8"/>
  <c r="O298" i="8"/>
  <c r="N298" i="8"/>
  <c r="M298" i="8"/>
  <c r="L298" i="8"/>
  <c r="C298" i="8"/>
  <c r="O297" i="8"/>
  <c r="N297" i="8"/>
  <c r="M297" i="8"/>
  <c r="L297" i="8"/>
  <c r="C297" i="8"/>
  <c r="O296" i="8"/>
  <c r="N296" i="8"/>
  <c r="M296" i="8"/>
  <c r="L296" i="8"/>
  <c r="C296" i="8"/>
  <c r="O295" i="8"/>
  <c r="N295" i="8"/>
  <c r="M295" i="8"/>
  <c r="L295" i="8"/>
  <c r="C295" i="8"/>
  <c r="O294" i="8"/>
  <c r="N294" i="8"/>
  <c r="M294" i="8"/>
  <c r="L294" i="8"/>
  <c r="C294" i="8"/>
  <c r="O293" i="8"/>
  <c r="N293" i="8"/>
  <c r="M293" i="8"/>
  <c r="L293" i="8"/>
  <c r="C293" i="8"/>
  <c r="O292" i="8"/>
  <c r="N292" i="8"/>
  <c r="M292" i="8"/>
  <c r="L292" i="8"/>
  <c r="C292" i="8"/>
  <c r="O291" i="8"/>
  <c r="N291" i="8"/>
  <c r="M291" i="8"/>
  <c r="L291" i="8"/>
  <c r="C291" i="8"/>
  <c r="O290" i="8"/>
  <c r="N290" i="8"/>
  <c r="M290" i="8"/>
  <c r="L290" i="8"/>
  <c r="C290" i="8"/>
  <c r="O289" i="8"/>
  <c r="N289" i="8"/>
  <c r="M289" i="8"/>
  <c r="L289" i="8"/>
  <c r="C289" i="8"/>
  <c r="O288" i="8"/>
  <c r="N288" i="8"/>
  <c r="M288" i="8"/>
  <c r="C288" i="8"/>
  <c r="O287" i="8"/>
  <c r="N287" i="8"/>
  <c r="M287" i="8"/>
  <c r="L287" i="8"/>
  <c r="C287" i="8"/>
  <c r="O286" i="8"/>
  <c r="N286" i="8"/>
  <c r="M286" i="8"/>
  <c r="L286" i="8"/>
  <c r="C286" i="8"/>
  <c r="O285" i="8"/>
  <c r="N285" i="8"/>
  <c r="M285" i="8"/>
  <c r="L285" i="8"/>
  <c r="C285" i="8"/>
  <c r="O284" i="8"/>
  <c r="N284" i="8"/>
  <c r="M284" i="8"/>
  <c r="L284" i="8"/>
  <c r="C284" i="8"/>
  <c r="O283" i="8"/>
  <c r="N283" i="8"/>
  <c r="M283" i="8"/>
  <c r="L283" i="8"/>
  <c r="C283" i="8"/>
  <c r="O282" i="8"/>
  <c r="N282" i="8"/>
  <c r="M282" i="8"/>
  <c r="L282" i="8"/>
  <c r="C282" i="8"/>
  <c r="O281" i="8"/>
  <c r="N281" i="8"/>
  <c r="M281" i="8"/>
  <c r="L281" i="8"/>
  <c r="C281" i="8"/>
  <c r="O280" i="8"/>
  <c r="N280" i="8"/>
  <c r="M280" i="8"/>
  <c r="L280" i="8"/>
  <c r="C280" i="8"/>
  <c r="O279" i="8"/>
  <c r="N279" i="8"/>
  <c r="M279" i="8"/>
  <c r="L279" i="8"/>
  <c r="C279" i="8"/>
  <c r="O278" i="8"/>
  <c r="N278" i="8"/>
  <c r="M278" i="8"/>
  <c r="L278" i="8"/>
  <c r="C278" i="8"/>
  <c r="O277" i="8"/>
  <c r="N277" i="8"/>
  <c r="M277" i="8"/>
  <c r="L277" i="8"/>
  <c r="C277" i="8"/>
  <c r="O276" i="8"/>
  <c r="N276" i="8"/>
  <c r="M276" i="8"/>
  <c r="L276" i="8"/>
  <c r="C276" i="8"/>
  <c r="O275" i="8"/>
  <c r="N275" i="8"/>
  <c r="M275" i="8"/>
  <c r="L275" i="8"/>
  <c r="C275" i="8"/>
  <c r="O274" i="8"/>
  <c r="N274" i="8"/>
  <c r="M274" i="8"/>
  <c r="L274" i="8"/>
  <c r="C274" i="8"/>
  <c r="O273" i="8"/>
  <c r="N273" i="8"/>
  <c r="M273" i="8"/>
  <c r="L273" i="8"/>
  <c r="C273" i="8"/>
  <c r="O272" i="8"/>
  <c r="N272" i="8"/>
  <c r="M272" i="8"/>
  <c r="L272" i="8"/>
  <c r="C272" i="8"/>
  <c r="O271" i="8"/>
  <c r="N271" i="8"/>
  <c r="M271" i="8"/>
  <c r="L271" i="8"/>
  <c r="C271" i="8"/>
  <c r="O270" i="8"/>
  <c r="N270" i="8"/>
  <c r="M270" i="8"/>
  <c r="L270" i="8"/>
  <c r="C270" i="8"/>
  <c r="O269" i="8"/>
  <c r="N269" i="8"/>
  <c r="M269" i="8"/>
  <c r="L269" i="8"/>
  <c r="C269" i="8"/>
  <c r="O268" i="8"/>
  <c r="N268" i="8"/>
  <c r="M268" i="8"/>
  <c r="L268" i="8"/>
  <c r="C268" i="8"/>
  <c r="O267" i="8"/>
  <c r="N267" i="8"/>
  <c r="M267" i="8"/>
  <c r="L267" i="8"/>
  <c r="C267" i="8"/>
  <c r="O266" i="8"/>
  <c r="N266" i="8"/>
  <c r="M266" i="8"/>
  <c r="L266" i="8"/>
  <c r="C266" i="8"/>
  <c r="O265" i="8"/>
  <c r="N265" i="8"/>
  <c r="M265" i="8"/>
  <c r="L265" i="8"/>
  <c r="C265" i="8"/>
  <c r="O264" i="8"/>
  <c r="N264" i="8"/>
  <c r="M264" i="8"/>
  <c r="L264" i="8"/>
  <c r="C264" i="8"/>
  <c r="O263" i="8"/>
  <c r="N263" i="8"/>
  <c r="M263" i="8"/>
  <c r="L263" i="8"/>
  <c r="C263" i="8"/>
  <c r="O262" i="8"/>
  <c r="N262" i="8"/>
  <c r="M262" i="8"/>
  <c r="L262" i="8"/>
  <c r="C262" i="8"/>
  <c r="O261" i="8"/>
  <c r="N261" i="8"/>
  <c r="M261" i="8"/>
  <c r="L261" i="8"/>
  <c r="C261" i="8"/>
  <c r="O260" i="8"/>
  <c r="N260" i="8"/>
  <c r="M260" i="8"/>
  <c r="L260" i="8"/>
  <c r="C260" i="8"/>
  <c r="O259" i="8"/>
  <c r="N259" i="8"/>
  <c r="M259" i="8"/>
  <c r="L259" i="8"/>
  <c r="C259" i="8"/>
  <c r="O258" i="8"/>
  <c r="N258" i="8"/>
  <c r="M258" i="8"/>
  <c r="L258" i="8"/>
  <c r="C258" i="8"/>
  <c r="O257" i="8"/>
  <c r="N257" i="8"/>
  <c r="M257" i="8"/>
  <c r="L257" i="8"/>
  <c r="C257" i="8"/>
  <c r="O256" i="8"/>
  <c r="N256" i="8"/>
  <c r="M256" i="8"/>
  <c r="L256" i="8"/>
  <c r="C256" i="8"/>
  <c r="O255" i="8"/>
  <c r="N255" i="8"/>
  <c r="M255" i="8"/>
  <c r="L255" i="8"/>
  <c r="C255" i="8"/>
  <c r="O254" i="8"/>
  <c r="N254" i="8"/>
  <c r="M254" i="8"/>
  <c r="L254" i="8"/>
  <c r="C254" i="8"/>
  <c r="O253" i="8"/>
  <c r="N253" i="8"/>
  <c r="M253" i="8"/>
  <c r="L253" i="8"/>
  <c r="C253" i="8"/>
  <c r="O252" i="8"/>
  <c r="N252" i="8"/>
  <c r="M252" i="8"/>
  <c r="L252" i="8"/>
  <c r="C252" i="8"/>
  <c r="O251" i="8"/>
  <c r="N251" i="8"/>
  <c r="M251" i="8"/>
  <c r="L251" i="8"/>
  <c r="C251" i="8"/>
  <c r="O250" i="8"/>
  <c r="N250" i="8"/>
  <c r="M250" i="8"/>
  <c r="L250" i="8"/>
  <c r="C250" i="8"/>
  <c r="O249" i="8"/>
  <c r="N249" i="8"/>
  <c r="M249" i="8"/>
  <c r="L249" i="8"/>
  <c r="C249" i="8"/>
  <c r="O248" i="8"/>
  <c r="N248" i="8"/>
  <c r="M248" i="8"/>
  <c r="L248" i="8"/>
  <c r="C248" i="8"/>
  <c r="O247" i="8"/>
  <c r="N247" i="8"/>
  <c r="M247" i="8"/>
  <c r="L247" i="8"/>
  <c r="C247" i="8"/>
  <c r="O246" i="8"/>
  <c r="N246" i="8"/>
  <c r="M246" i="8"/>
  <c r="L246" i="8"/>
  <c r="C246" i="8"/>
  <c r="O245" i="8"/>
  <c r="N245" i="8"/>
  <c r="M245" i="8"/>
  <c r="L245" i="8"/>
  <c r="C245" i="8"/>
  <c r="O244" i="8"/>
  <c r="N244" i="8"/>
  <c r="M244" i="8"/>
  <c r="L244" i="8"/>
  <c r="C244" i="8"/>
  <c r="O243" i="8"/>
  <c r="N243" i="8"/>
  <c r="M243" i="8"/>
  <c r="L243" i="8"/>
  <c r="C243" i="8"/>
  <c r="O242" i="8"/>
  <c r="N242" i="8"/>
  <c r="M242" i="8"/>
  <c r="L242" i="8"/>
  <c r="C242" i="8"/>
  <c r="O241" i="8"/>
  <c r="N241" i="8"/>
  <c r="M241" i="8"/>
  <c r="L241" i="8"/>
  <c r="C241" i="8"/>
  <c r="O240" i="8"/>
  <c r="N240" i="8"/>
  <c r="M240" i="8"/>
  <c r="L240" i="8"/>
  <c r="C240" i="8"/>
  <c r="O239" i="8"/>
  <c r="N239" i="8"/>
  <c r="M239" i="8"/>
  <c r="L239" i="8"/>
  <c r="C239" i="8"/>
  <c r="O238" i="8"/>
  <c r="N238" i="8"/>
  <c r="M238" i="8"/>
  <c r="L238" i="8"/>
  <c r="C238" i="8"/>
  <c r="O237" i="8"/>
  <c r="N237" i="8"/>
  <c r="M237" i="8"/>
  <c r="L237" i="8"/>
  <c r="C237" i="8"/>
  <c r="O236" i="8"/>
  <c r="N236" i="8"/>
  <c r="M236" i="8"/>
  <c r="L236" i="8"/>
  <c r="C236" i="8"/>
  <c r="O235" i="8"/>
  <c r="N235" i="8"/>
  <c r="M235" i="8"/>
  <c r="L235" i="8"/>
  <c r="C235" i="8"/>
  <c r="O234" i="8"/>
  <c r="N234" i="8"/>
  <c r="M234" i="8"/>
  <c r="L234" i="8"/>
  <c r="C234" i="8"/>
  <c r="O233" i="8"/>
  <c r="N233" i="8"/>
  <c r="M233" i="8"/>
  <c r="L233" i="8"/>
  <c r="C233" i="8"/>
  <c r="O232" i="8"/>
  <c r="N232" i="8"/>
  <c r="M232" i="8"/>
  <c r="L232" i="8"/>
  <c r="C232" i="8"/>
  <c r="O231" i="8"/>
  <c r="N231" i="8"/>
  <c r="M231" i="8"/>
  <c r="L231" i="8"/>
  <c r="C231" i="8"/>
  <c r="O230" i="8"/>
  <c r="N230" i="8"/>
  <c r="M230" i="8"/>
  <c r="L230" i="8"/>
  <c r="C230" i="8"/>
  <c r="O229" i="8"/>
  <c r="N229" i="8"/>
  <c r="M229" i="8"/>
  <c r="L229" i="8"/>
  <c r="C229" i="8"/>
  <c r="O228" i="8"/>
  <c r="N228" i="8"/>
  <c r="M228" i="8"/>
  <c r="L228" i="8"/>
  <c r="C228" i="8"/>
  <c r="O227" i="8"/>
  <c r="N227" i="8"/>
  <c r="M227" i="8"/>
  <c r="L227" i="8"/>
  <c r="C227" i="8"/>
  <c r="O226" i="8"/>
  <c r="N226" i="8"/>
  <c r="M226" i="8"/>
  <c r="L226" i="8"/>
  <c r="C226" i="8"/>
  <c r="O225" i="8"/>
  <c r="N225" i="8"/>
  <c r="M225" i="8"/>
  <c r="L225" i="8"/>
  <c r="C225" i="8"/>
  <c r="O224" i="8"/>
  <c r="N224" i="8"/>
  <c r="M224" i="8"/>
  <c r="L224" i="8"/>
  <c r="C224" i="8"/>
  <c r="O223" i="8"/>
  <c r="N223" i="8"/>
  <c r="M223" i="8"/>
  <c r="L223" i="8"/>
  <c r="C223" i="8"/>
  <c r="O222" i="8"/>
  <c r="N222" i="8"/>
  <c r="M222" i="8"/>
  <c r="L222" i="8"/>
  <c r="C222" i="8"/>
  <c r="O221" i="8"/>
  <c r="N221" i="8"/>
  <c r="M221" i="8"/>
  <c r="L221" i="8"/>
  <c r="C221" i="8"/>
  <c r="O220" i="8"/>
  <c r="N220" i="8"/>
  <c r="M220" i="8"/>
  <c r="L220" i="8"/>
  <c r="C220" i="8"/>
  <c r="O219" i="8"/>
  <c r="N219" i="8"/>
  <c r="M219" i="8"/>
  <c r="L219" i="8"/>
  <c r="C219" i="8"/>
  <c r="O218" i="8"/>
  <c r="N218" i="8"/>
  <c r="M218" i="8"/>
  <c r="L218" i="8"/>
  <c r="C218" i="8"/>
  <c r="O217" i="8"/>
  <c r="N217" i="8"/>
  <c r="M217" i="8"/>
  <c r="L217" i="8"/>
  <c r="C217" i="8"/>
  <c r="O216" i="8"/>
  <c r="N216" i="8"/>
  <c r="M216" i="8"/>
  <c r="L216" i="8"/>
  <c r="C216" i="8"/>
  <c r="O215" i="8"/>
  <c r="N215" i="8"/>
  <c r="M215" i="8"/>
  <c r="L215" i="8"/>
  <c r="C215" i="8"/>
  <c r="O214" i="8"/>
  <c r="N214" i="8"/>
  <c r="M214" i="8"/>
  <c r="L214" i="8"/>
  <c r="C214" i="8"/>
  <c r="O213" i="8"/>
  <c r="N213" i="8"/>
  <c r="M213" i="8"/>
  <c r="L213" i="8"/>
  <c r="C213" i="8"/>
  <c r="O212" i="8"/>
  <c r="N212" i="8"/>
  <c r="M212" i="8"/>
  <c r="L212" i="8"/>
  <c r="C212" i="8"/>
  <c r="O211" i="8"/>
  <c r="N211" i="8"/>
  <c r="M211" i="8"/>
  <c r="C211" i="8"/>
  <c r="O210" i="8"/>
  <c r="N210" i="8"/>
  <c r="M210" i="8"/>
  <c r="L210" i="8"/>
  <c r="C210" i="8"/>
  <c r="O209" i="8"/>
  <c r="N209" i="8"/>
  <c r="M209" i="8"/>
  <c r="L209" i="8"/>
  <c r="C209" i="8"/>
  <c r="O208" i="8"/>
  <c r="N208" i="8"/>
  <c r="M208" i="8"/>
  <c r="L208" i="8"/>
  <c r="C208" i="8"/>
  <c r="O207" i="8"/>
  <c r="N207" i="8"/>
  <c r="M207" i="8"/>
  <c r="L207" i="8"/>
  <c r="C207" i="8"/>
  <c r="O206" i="8"/>
  <c r="N206" i="8"/>
  <c r="M206" i="8"/>
  <c r="L206" i="8"/>
  <c r="C206" i="8"/>
  <c r="O205" i="8"/>
  <c r="N205" i="8"/>
  <c r="M205" i="8"/>
  <c r="L205" i="8"/>
  <c r="C205" i="8"/>
  <c r="O204" i="8"/>
  <c r="N204" i="8"/>
  <c r="M204" i="8"/>
  <c r="L204" i="8"/>
  <c r="C204" i="8"/>
  <c r="O203" i="8"/>
  <c r="N203" i="8"/>
  <c r="M203" i="8"/>
  <c r="L203" i="8"/>
  <c r="C203" i="8"/>
  <c r="O202" i="8"/>
  <c r="N202" i="8"/>
  <c r="M202" i="8"/>
  <c r="L202" i="8"/>
  <c r="C202" i="8"/>
  <c r="O201" i="8"/>
  <c r="N201" i="8"/>
  <c r="M201" i="8"/>
  <c r="L201" i="8"/>
  <c r="C201" i="8"/>
  <c r="O200" i="8"/>
  <c r="N200" i="8"/>
  <c r="M200" i="8"/>
  <c r="L200" i="8"/>
  <c r="C200" i="8"/>
  <c r="O199" i="8"/>
  <c r="N199" i="8"/>
  <c r="M199" i="8"/>
  <c r="C199" i="8"/>
  <c r="O198" i="8"/>
  <c r="N198" i="8"/>
  <c r="M198" i="8"/>
  <c r="L198" i="8"/>
  <c r="C198" i="8"/>
  <c r="O197" i="8"/>
  <c r="N197" i="8"/>
  <c r="M197" i="8"/>
  <c r="L197" i="8"/>
  <c r="C197" i="8"/>
  <c r="O196" i="8"/>
  <c r="N196" i="8"/>
  <c r="M196" i="8"/>
  <c r="L196" i="8"/>
  <c r="C196" i="8"/>
  <c r="O195" i="8"/>
  <c r="N195" i="8"/>
  <c r="M195" i="8"/>
  <c r="L195" i="8"/>
  <c r="C195" i="8"/>
  <c r="O194" i="8"/>
  <c r="N194" i="8"/>
  <c r="M194" i="8"/>
  <c r="L194" i="8"/>
  <c r="C194" i="8"/>
  <c r="O193" i="8"/>
  <c r="N193" i="8"/>
  <c r="M193" i="8"/>
  <c r="L193" i="8"/>
  <c r="C193" i="8"/>
  <c r="O192" i="8"/>
  <c r="N192" i="8"/>
  <c r="M192" i="8"/>
  <c r="L192" i="8"/>
  <c r="C192" i="8"/>
  <c r="O191" i="8"/>
  <c r="N191" i="8"/>
  <c r="M191" i="8"/>
  <c r="L191" i="8"/>
  <c r="C191" i="8"/>
  <c r="O190" i="8"/>
  <c r="N190" i="8"/>
  <c r="M190" i="8"/>
  <c r="L190" i="8"/>
  <c r="C190" i="8"/>
  <c r="O189" i="8"/>
  <c r="N189" i="8"/>
  <c r="M189" i="8"/>
  <c r="L189" i="8"/>
  <c r="C189" i="8"/>
  <c r="O188" i="8"/>
  <c r="N188" i="8"/>
  <c r="M188" i="8"/>
  <c r="L188" i="8"/>
  <c r="C188" i="8"/>
  <c r="O187" i="8"/>
  <c r="N187" i="8"/>
  <c r="M187" i="8"/>
  <c r="L187" i="8"/>
  <c r="C187" i="8"/>
  <c r="O186" i="8"/>
  <c r="N186" i="8"/>
  <c r="M186" i="8"/>
  <c r="L186" i="8"/>
  <c r="C186" i="8"/>
  <c r="O185" i="8"/>
  <c r="N185" i="8"/>
  <c r="M185" i="8"/>
  <c r="L185" i="8"/>
  <c r="C185" i="8"/>
  <c r="O184" i="8"/>
  <c r="N184" i="8"/>
  <c r="M184" i="8"/>
  <c r="L184" i="8"/>
  <c r="C184" i="8"/>
  <c r="O183" i="8"/>
  <c r="N183" i="8"/>
  <c r="M183" i="8"/>
  <c r="L183" i="8"/>
  <c r="C183" i="8"/>
  <c r="O182" i="8"/>
  <c r="N182" i="8"/>
  <c r="M182" i="8"/>
  <c r="L182" i="8"/>
  <c r="C182" i="8"/>
  <c r="O181" i="8"/>
  <c r="N181" i="8"/>
  <c r="M181" i="8"/>
  <c r="L181" i="8"/>
  <c r="C181" i="8"/>
  <c r="O180" i="8"/>
  <c r="N180" i="8"/>
  <c r="M180" i="8"/>
  <c r="L180" i="8"/>
  <c r="C180" i="8"/>
  <c r="O179" i="8"/>
  <c r="N179" i="8"/>
  <c r="M179" i="8"/>
  <c r="L179" i="8"/>
  <c r="C179" i="8"/>
  <c r="O178" i="8"/>
  <c r="N178" i="8"/>
  <c r="M178" i="8"/>
  <c r="L178" i="8"/>
  <c r="C178" i="8"/>
  <c r="O177" i="8"/>
  <c r="N177" i="8"/>
  <c r="M177" i="8"/>
  <c r="L177" i="8"/>
  <c r="C177" i="8"/>
  <c r="O176" i="8"/>
  <c r="N176" i="8"/>
  <c r="M176" i="8"/>
  <c r="L176" i="8"/>
  <c r="C176" i="8"/>
  <c r="O175" i="8"/>
  <c r="N175" i="8"/>
  <c r="M175" i="8"/>
  <c r="L175" i="8"/>
  <c r="C175" i="8"/>
  <c r="O174" i="8"/>
  <c r="N174" i="8"/>
  <c r="M174" i="8"/>
  <c r="L174" i="8"/>
  <c r="C174" i="8"/>
  <c r="O173" i="8"/>
  <c r="N173" i="8"/>
  <c r="M173" i="8"/>
  <c r="L173" i="8"/>
  <c r="C173" i="8"/>
  <c r="O172" i="8"/>
  <c r="N172" i="8"/>
  <c r="M172" i="8"/>
  <c r="L172" i="8"/>
  <c r="C172" i="8"/>
  <c r="O171" i="8"/>
  <c r="N171" i="8"/>
  <c r="M171" i="8"/>
  <c r="L171" i="8"/>
  <c r="C171" i="8"/>
  <c r="O170" i="8"/>
  <c r="N170" i="8"/>
  <c r="M170" i="8"/>
  <c r="L170" i="8"/>
  <c r="C170" i="8"/>
  <c r="O169" i="8"/>
  <c r="N169" i="8"/>
  <c r="M169" i="8"/>
  <c r="L169" i="8"/>
  <c r="C169" i="8"/>
  <c r="O168" i="8"/>
  <c r="N168" i="8"/>
  <c r="M168" i="8"/>
  <c r="L168" i="8"/>
  <c r="C168" i="8"/>
  <c r="O167" i="8"/>
  <c r="N167" i="8"/>
  <c r="M167" i="8"/>
  <c r="L167" i="8"/>
  <c r="C167" i="8"/>
  <c r="O166" i="8"/>
  <c r="N166" i="8"/>
  <c r="M166" i="8"/>
  <c r="L166" i="8"/>
  <c r="C166" i="8"/>
  <c r="O165" i="8"/>
  <c r="N165" i="8"/>
  <c r="M165" i="8"/>
  <c r="L165" i="8"/>
  <c r="C165" i="8"/>
  <c r="O164" i="8"/>
  <c r="N164" i="8"/>
  <c r="M164" i="8"/>
  <c r="L164" i="8"/>
  <c r="C164" i="8"/>
  <c r="O163" i="8"/>
  <c r="N163" i="8"/>
  <c r="M163" i="8"/>
  <c r="L163" i="8"/>
  <c r="C163" i="8"/>
  <c r="O162" i="8"/>
  <c r="N162" i="8"/>
  <c r="M162" i="8"/>
  <c r="L162" i="8"/>
  <c r="C162" i="8"/>
  <c r="O161" i="8"/>
  <c r="N161" i="8"/>
  <c r="M161" i="8"/>
  <c r="L161" i="8"/>
  <c r="C161" i="8"/>
  <c r="O160" i="8"/>
  <c r="N160" i="8"/>
  <c r="M160" i="8"/>
  <c r="L160" i="8"/>
  <c r="C160" i="8"/>
  <c r="O159" i="8"/>
  <c r="N159" i="8"/>
  <c r="M159" i="8"/>
  <c r="L159" i="8"/>
  <c r="C159" i="8"/>
  <c r="O158" i="8"/>
  <c r="N158" i="8"/>
  <c r="M158" i="8"/>
  <c r="L158" i="8"/>
  <c r="C158" i="8"/>
  <c r="O157" i="8"/>
  <c r="N157" i="8"/>
  <c r="M157" i="8"/>
  <c r="L157" i="8"/>
  <c r="C157" i="8"/>
  <c r="O156" i="8"/>
  <c r="N156" i="8"/>
  <c r="M156" i="8"/>
  <c r="L156" i="8"/>
  <c r="C156" i="8"/>
  <c r="O155" i="8"/>
  <c r="N155" i="8"/>
  <c r="M155" i="8"/>
  <c r="L155" i="8"/>
  <c r="C155" i="8"/>
  <c r="O154" i="8"/>
  <c r="N154" i="8"/>
  <c r="M154" i="8"/>
  <c r="L154" i="8"/>
  <c r="C154" i="8"/>
  <c r="O153" i="8"/>
  <c r="N153" i="8"/>
  <c r="M153" i="8"/>
  <c r="L153" i="8"/>
  <c r="C153" i="8"/>
  <c r="O152" i="8"/>
  <c r="N152" i="8"/>
  <c r="M152" i="8"/>
  <c r="L152" i="8"/>
  <c r="C152" i="8"/>
  <c r="O151" i="8"/>
  <c r="N151" i="8"/>
  <c r="M151" i="8"/>
  <c r="L151" i="8"/>
  <c r="C151" i="8"/>
  <c r="O150" i="8"/>
  <c r="N150" i="8"/>
  <c r="M150" i="8"/>
  <c r="L150" i="8"/>
  <c r="C150" i="8"/>
  <c r="O149" i="8"/>
  <c r="N149" i="8"/>
  <c r="M149" i="8"/>
  <c r="L149" i="8"/>
  <c r="C149" i="8"/>
  <c r="O148" i="8"/>
  <c r="N148" i="8"/>
  <c r="M148" i="8"/>
  <c r="L148" i="8"/>
  <c r="C148" i="8"/>
  <c r="O147" i="8"/>
  <c r="N147" i="8"/>
  <c r="M147" i="8"/>
  <c r="L147" i="8"/>
  <c r="C147" i="8"/>
  <c r="O146" i="8"/>
  <c r="N146" i="8"/>
  <c r="M146" i="8"/>
  <c r="L146" i="8"/>
  <c r="C146" i="8"/>
  <c r="O145" i="8"/>
  <c r="N145" i="8"/>
  <c r="M145" i="8"/>
  <c r="L145" i="8"/>
  <c r="C145" i="8"/>
  <c r="O144" i="8"/>
  <c r="N144" i="8"/>
  <c r="M144" i="8"/>
  <c r="L144" i="8"/>
  <c r="C144" i="8"/>
  <c r="O143" i="8"/>
  <c r="N143" i="8"/>
  <c r="M143" i="8"/>
  <c r="L143" i="8"/>
  <c r="C143" i="8"/>
  <c r="O142" i="8"/>
  <c r="N142" i="8"/>
  <c r="M142" i="8"/>
  <c r="L142" i="8"/>
  <c r="C142" i="8"/>
  <c r="O141" i="8"/>
  <c r="N141" i="8"/>
  <c r="M141" i="8"/>
  <c r="L141" i="8"/>
  <c r="C141" i="8"/>
  <c r="O140" i="8"/>
  <c r="N140" i="8"/>
  <c r="M140" i="8"/>
  <c r="L140" i="8"/>
  <c r="C140" i="8"/>
  <c r="O139" i="8"/>
  <c r="N139" i="8"/>
  <c r="M139" i="8"/>
  <c r="L139" i="8"/>
  <c r="C139" i="8"/>
  <c r="O138" i="8"/>
  <c r="N138" i="8"/>
  <c r="M138" i="8"/>
  <c r="L138" i="8"/>
  <c r="C138" i="8"/>
  <c r="O137" i="8"/>
  <c r="N137" i="8"/>
  <c r="M137" i="8"/>
  <c r="L137" i="8"/>
  <c r="C137" i="8"/>
  <c r="O136" i="8"/>
  <c r="N136" i="8"/>
  <c r="M136" i="8"/>
  <c r="L136" i="8"/>
  <c r="C136" i="8"/>
  <c r="O135" i="8"/>
  <c r="N135" i="8"/>
  <c r="M135" i="8"/>
  <c r="L135" i="8"/>
  <c r="C135" i="8"/>
  <c r="O134" i="8"/>
  <c r="N134" i="8"/>
  <c r="M134" i="8"/>
  <c r="L134" i="8"/>
  <c r="C134" i="8"/>
  <c r="O133" i="8"/>
  <c r="N133" i="8"/>
  <c r="M133" i="8"/>
  <c r="L133" i="8"/>
  <c r="C133" i="8"/>
  <c r="O132" i="8"/>
  <c r="N132" i="8"/>
  <c r="M132" i="8"/>
  <c r="L132" i="8"/>
  <c r="C132" i="8"/>
  <c r="O131" i="8"/>
  <c r="N131" i="8"/>
  <c r="M131" i="8"/>
  <c r="L131" i="8"/>
  <c r="C131" i="8"/>
  <c r="O130" i="8"/>
  <c r="N130" i="8"/>
  <c r="M130" i="8"/>
  <c r="L130" i="8"/>
  <c r="C130" i="8"/>
  <c r="O129" i="8"/>
  <c r="N129" i="8"/>
  <c r="M129" i="8"/>
  <c r="L129" i="8"/>
  <c r="C129" i="8"/>
  <c r="O128" i="8"/>
  <c r="N128" i="8"/>
  <c r="M128" i="8"/>
  <c r="L128" i="8"/>
  <c r="C128" i="8"/>
  <c r="O127" i="8"/>
  <c r="N127" i="8"/>
  <c r="M127" i="8"/>
  <c r="L127" i="8"/>
  <c r="C127" i="8"/>
  <c r="O126" i="8"/>
  <c r="N126" i="8"/>
  <c r="M126" i="8"/>
  <c r="L126" i="8"/>
  <c r="C126" i="8"/>
  <c r="O125" i="8"/>
  <c r="N125" i="8"/>
  <c r="M125" i="8"/>
  <c r="L125" i="8"/>
  <c r="C125" i="8"/>
  <c r="O124" i="8"/>
  <c r="N124" i="8"/>
  <c r="M124" i="8"/>
  <c r="L124" i="8"/>
  <c r="C124" i="8"/>
  <c r="O123" i="8"/>
  <c r="N123" i="8"/>
  <c r="M123" i="8"/>
  <c r="L123" i="8"/>
  <c r="C123" i="8"/>
  <c r="O122" i="8"/>
  <c r="N122" i="8"/>
  <c r="M122" i="8"/>
  <c r="L122" i="8"/>
  <c r="C122" i="8"/>
  <c r="O121" i="8"/>
  <c r="N121" i="8"/>
  <c r="M121" i="8"/>
  <c r="L121" i="8"/>
  <c r="C121" i="8"/>
  <c r="O120" i="8"/>
  <c r="N120" i="8"/>
  <c r="M120" i="8"/>
  <c r="C120" i="8"/>
  <c r="O119" i="8"/>
  <c r="N119" i="8"/>
  <c r="M119" i="8"/>
  <c r="L119" i="8"/>
  <c r="C119" i="8"/>
  <c r="O118" i="8"/>
  <c r="N118" i="8"/>
  <c r="M118" i="8"/>
  <c r="L118" i="8"/>
  <c r="C118" i="8"/>
  <c r="O117" i="8"/>
  <c r="N117" i="8"/>
  <c r="M117" i="8"/>
  <c r="L117" i="8"/>
  <c r="C117" i="8"/>
  <c r="O116" i="8"/>
  <c r="N116" i="8"/>
  <c r="M116" i="8"/>
  <c r="L116" i="8"/>
  <c r="C116" i="8"/>
  <c r="O115" i="8"/>
  <c r="N115" i="8"/>
  <c r="M115" i="8"/>
  <c r="L115" i="8"/>
  <c r="C115" i="8"/>
  <c r="O114" i="8"/>
  <c r="N114" i="8"/>
  <c r="M114" i="8"/>
  <c r="L114" i="8"/>
  <c r="C114" i="8"/>
  <c r="O113" i="8"/>
  <c r="N113" i="8"/>
  <c r="M113" i="8"/>
  <c r="L113" i="8"/>
  <c r="C113" i="8"/>
  <c r="O112" i="8"/>
  <c r="N112" i="8"/>
  <c r="M112" i="8"/>
  <c r="L112" i="8"/>
  <c r="C112" i="8"/>
  <c r="O111" i="8"/>
  <c r="N111" i="8"/>
  <c r="M111" i="8"/>
  <c r="L111" i="8"/>
  <c r="C111" i="8"/>
  <c r="O110" i="8"/>
  <c r="N110" i="8"/>
  <c r="M110" i="8"/>
  <c r="L110" i="8"/>
  <c r="C110" i="8"/>
  <c r="O109" i="8"/>
  <c r="N109" i="8"/>
  <c r="M109" i="8"/>
  <c r="L109" i="8"/>
  <c r="C109" i="8"/>
  <c r="O108" i="8"/>
  <c r="N108" i="8"/>
  <c r="M108" i="8"/>
  <c r="L108" i="8"/>
  <c r="C108" i="8"/>
  <c r="O107" i="8"/>
  <c r="N107" i="8"/>
  <c r="M107" i="8"/>
  <c r="L107" i="8"/>
  <c r="C107" i="8"/>
  <c r="O106" i="8"/>
  <c r="N106" i="8"/>
  <c r="M106" i="8"/>
  <c r="L106" i="8"/>
  <c r="C106" i="8"/>
  <c r="O105" i="8"/>
  <c r="N105" i="8"/>
  <c r="M105" i="8"/>
  <c r="L105" i="8"/>
  <c r="C105" i="8"/>
  <c r="O104" i="8"/>
  <c r="N104" i="8"/>
  <c r="M104" i="8"/>
  <c r="L104" i="8"/>
  <c r="C104" i="8"/>
  <c r="O103" i="8"/>
  <c r="N103" i="8"/>
  <c r="M103" i="8"/>
  <c r="L103" i="8"/>
  <c r="C103" i="8"/>
  <c r="O102" i="8"/>
  <c r="N102" i="8"/>
  <c r="M102" i="8"/>
  <c r="L102" i="8"/>
  <c r="C102" i="8"/>
  <c r="O101" i="8"/>
  <c r="N101" i="8"/>
  <c r="M101" i="8"/>
  <c r="L101" i="8"/>
  <c r="C101" i="8"/>
  <c r="O100" i="8"/>
  <c r="N100" i="8"/>
  <c r="M100" i="8"/>
  <c r="L100" i="8"/>
  <c r="C100" i="8"/>
  <c r="O99" i="8"/>
  <c r="N99" i="8"/>
  <c r="M99" i="8"/>
  <c r="L99" i="8"/>
  <c r="C99" i="8"/>
  <c r="O98" i="8"/>
  <c r="N98" i="8"/>
  <c r="M98" i="8"/>
  <c r="L98" i="8"/>
  <c r="C98" i="8"/>
  <c r="O97" i="8"/>
  <c r="N97" i="8"/>
  <c r="M97" i="8"/>
  <c r="C97" i="8"/>
  <c r="O96" i="8"/>
  <c r="N96" i="8"/>
  <c r="M96" i="8"/>
  <c r="L96" i="8"/>
  <c r="C96" i="8"/>
  <c r="O95" i="8"/>
  <c r="N95" i="8"/>
  <c r="M95" i="8"/>
  <c r="L95" i="8"/>
  <c r="C95" i="8"/>
  <c r="O94" i="8"/>
  <c r="N94" i="8"/>
  <c r="M94" i="8"/>
  <c r="L94" i="8"/>
  <c r="C94" i="8"/>
  <c r="O93" i="8"/>
  <c r="N93" i="8"/>
  <c r="M93" i="8"/>
  <c r="L93" i="8"/>
  <c r="C93" i="8"/>
  <c r="O92" i="8"/>
  <c r="N92" i="8"/>
  <c r="M92" i="8"/>
  <c r="L92" i="8"/>
  <c r="C92" i="8"/>
  <c r="O91" i="8"/>
  <c r="N91" i="8"/>
  <c r="M91" i="8"/>
  <c r="L91" i="8"/>
  <c r="C91" i="8"/>
  <c r="O90" i="8"/>
  <c r="N90" i="8"/>
  <c r="M90" i="8"/>
  <c r="L90" i="8"/>
  <c r="C90" i="8"/>
  <c r="O89" i="8"/>
  <c r="N89" i="8"/>
  <c r="M89" i="8"/>
  <c r="L89" i="8"/>
  <c r="C89" i="8"/>
  <c r="O88" i="8"/>
  <c r="N88" i="8"/>
  <c r="M88" i="8"/>
  <c r="L88" i="8"/>
  <c r="C88" i="8"/>
  <c r="O87" i="8"/>
  <c r="N87" i="8"/>
  <c r="M87" i="8"/>
  <c r="L87" i="8"/>
  <c r="C87" i="8"/>
  <c r="O86" i="8"/>
  <c r="N86" i="8"/>
  <c r="M86" i="8"/>
  <c r="L86" i="8"/>
  <c r="C86" i="8"/>
  <c r="O85" i="8"/>
  <c r="N85" i="8"/>
  <c r="M85" i="8"/>
  <c r="L85" i="8"/>
  <c r="C85" i="8"/>
  <c r="O84" i="8"/>
  <c r="N84" i="8"/>
  <c r="M84" i="8"/>
  <c r="L84" i="8"/>
  <c r="C84" i="8"/>
  <c r="O83" i="8"/>
  <c r="N83" i="8"/>
  <c r="M83" i="8"/>
  <c r="L83" i="8"/>
  <c r="C83" i="8"/>
  <c r="O82" i="8"/>
  <c r="N82" i="8"/>
  <c r="M82" i="8"/>
  <c r="L82" i="8"/>
  <c r="C82" i="8"/>
  <c r="O81" i="8"/>
  <c r="N81" i="8"/>
  <c r="M81" i="8"/>
  <c r="L81" i="8"/>
  <c r="C81" i="8"/>
  <c r="O80" i="8"/>
  <c r="N80" i="8"/>
  <c r="M80" i="8"/>
  <c r="L80" i="8"/>
  <c r="C80" i="8"/>
  <c r="O79" i="8"/>
  <c r="N79" i="8"/>
  <c r="M79" i="8"/>
  <c r="L79" i="8"/>
  <c r="C79" i="8"/>
  <c r="O78" i="8"/>
  <c r="N78" i="8"/>
  <c r="M78" i="8"/>
  <c r="L78" i="8"/>
  <c r="C78" i="8"/>
  <c r="O77" i="8"/>
  <c r="N77" i="8"/>
  <c r="M77" i="8"/>
  <c r="L77" i="8"/>
  <c r="C77" i="8"/>
  <c r="O76" i="8"/>
  <c r="N76" i="8"/>
  <c r="M76" i="8"/>
  <c r="L76" i="8"/>
  <c r="C76" i="8"/>
  <c r="O75" i="8"/>
  <c r="N75" i="8"/>
  <c r="M75" i="8"/>
  <c r="L75" i="8"/>
  <c r="C75" i="8"/>
  <c r="O74" i="8"/>
  <c r="N74" i="8"/>
  <c r="M74" i="8"/>
  <c r="L74" i="8"/>
  <c r="C74" i="8"/>
  <c r="O73" i="8"/>
  <c r="N73" i="8"/>
  <c r="M73" i="8"/>
  <c r="L73" i="8"/>
  <c r="C73" i="8"/>
  <c r="O72" i="8"/>
  <c r="N72" i="8"/>
  <c r="M72" i="8"/>
  <c r="L72" i="8"/>
  <c r="C72" i="8"/>
  <c r="O71" i="8"/>
  <c r="N71" i="8"/>
  <c r="M71" i="8"/>
  <c r="L71" i="8"/>
  <c r="C71" i="8"/>
  <c r="O70" i="8"/>
  <c r="N70" i="8"/>
  <c r="M70" i="8"/>
  <c r="L70" i="8"/>
  <c r="C70" i="8"/>
  <c r="O69" i="8"/>
  <c r="N69" i="8"/>
  <c r="M69" i="8"/>
  <c r="L69" i="8"/>
  <c r="C69" i="8"/>
  <c r="O68" i="8"/>
  <c r="N68" i="8"/>
  <c r="M68" i="8"/>
  <c r="L68" i="8"/>
  <c r="C68" i="8"/>
  <c r="O67" i="8"/>
  <c r="N67" i="8"/>
  <c r="M67" i="8"/>
  <c r="L67" i="8"/>
  <c r="C67" i="8"/>
  <c r="O66" i="8"/>
  <c r="N66" i="8"/>
  <c r="M66" i="8"/>
  <c r="L66" i="8"/>
  <c r="C66" i="8"/>
  <c r="O65" i="8"/>
  <c r="N65" i="8"/>
  <c r="M65" i="8"/>
  <c r="L65" i="8"/>
  <c r="C65" i="8"/>
  <c r="O64" i="8"/>
  <c r="N64" i="8"/>
  <c r="M64" i="8"/>
  <c r="L64" i="8"/>
  <c r="C64" i="8"/>
  <c r="O63" i="8"/>
  <c r="N63" i="8"/>
  <c r="M63" i="8"/>
  <c r="L63" i="8"/>
  <c r="C63" i="8"/>
  <c r="O62" i="8"/>
  <c r="N62" i="8"/>
  <c r="M62" i="8"/>
  <c r="L62" i="8"/>
  <c r="C62" i="8"/>
  <c r="O61" i="8"/>
  <c r="N61" i="8"/>
  <c r="M61" i="8"/>
  <c r="L61" i="8"/>
  <c r="C61" i="8"/>
  <c r="O60" i="8"/>
  <c r="N60" i="8"/>
  <c r="M60" i="8"/>
  <c r="L60" i="8"/>
  <c r="C60" i="8"/>
  <c r="O59" i="8"/>
  <c r="N59" i="8"/>
  <c r="M59" i="8"/>
  <c r="L59" i="8"/>
  <c r="C59" i="8"/>
  <c r="O58" i="8"/>
  <c r="N58" i="8"/>
  <c r="M58" i="8"/>
  <c r="L58" i="8"/>
  <c r="C58" i="8"/>
  <c r="O57" i="8"/>
  <c r="N57" i="8"/>
  <c r="M57" i="8"/>
  <c r="L57" i="8"/>
  <c r="C57" i="8"/>
  <c r="O56" i="8"/>
  <c r="N56" i="8"/>
  <c r="M56" i="8"/>
  <c r="L56" i="8"/>
  <c r="C56" i="8"/>
  <c r="O55" i="8"/>
  <c r="N55" i="8"/>
  <c r="M55" i="8"/>
  <c r="L55" i="8"/>
  <c r="C55" i="8"/>
  <c r="O54" i="8"/>
  <c r="N54" i="8"/>
  <c r="M54" i="8"/>
  <c r="L54" i="8"/>
  <c r="C54" i="8"/>
  <c r="O53" i="8"/>
  <c r="N53" i="8"/>
  <c r="M53" i="8"/>
  <c r="L53" i="8"/>
  <c r="C53" i="8"/>
  <c r="O52" i="8"/>
  <c r="N52" i="8"/>
  <c r="M52" i="8"/>
  <c r="L52" i="8"/>
  <c r="C52" i="8"/>
  <c r="O51" i="8"/>
  <c r="N51" i="8"/>
  <c r="M51" i="8"/>
  <c r="L51" i="8"/>
  <c r="C51" i="8"/>
  <c r="O50" i="8"/>
  <c r="N50" i="8"/>
  <c r="M50" i="8"/>
  <c r="L50" i="8"/>
  <c r="C50" i="8"/>
  <c r="O49" i="8"/>
  <c r="N49" i="8"/>
  <c r="M49" i="8"/>
  <c r="L49" i="8"/>
  <c r="C49" i="8"/>
  <c r="O48" i="8"/>
  <c r="N48" i="8"/>
  <c r="M48" i="8"/>
  <c r="L48" i="8"/>
  <c r="C48" i="8"/>
  <c r="O47" i="8"/>
  <c r="N47" i="8"/>
  <c r="M47" i="8"/>
  <c r="L47" i="8"/>
  <c r="C47" i="8"/>
  <c r="O46" i="8"/>
  <c r="N46" i="8"/>
  <c r="M46" i="8"/>
  <c r="L46" i="8"/>
  <c r="C46" i="8"/>
  <c r="O45" i="8"/>
  <c r="N45" i="8"/>
  <c r="M45" i="8"/>
  <c r="L45" i="8"/>
  <c r="C45" i="8"/>
  <c r="O44" i="8"/>
  <c r="N44" i="8"/>
  <c r="M44" i="8"/>
  <c r="L44" i="8"/>
  <c r="C44" i="8"/>
  <c r="O43" i="8"/>
  <c r="N43" i="8"/>
  <c r="M43" i="8"/>
  <c r="L43" i="8"/>
  <c r="C43" i="8"/>
  <c r="O42" i="8"/>
  <c r="N42" i="8"/>
  <c r="M42" i="8"/>
  <c r="L42" i="8"/>
  <c r="C42" i="8"/>
  <c r="O41" i="8"/>
  <c r="N41" i="8"/>
  <c r="M41" i="8"/>
  <c r="L41" i="8"/>
  <c r="C41" i="8"/>
  <c r="O40" i="8"/>
  <c r="N40" i="8"/>
  <c r="M40" i="8"/>
  <c r="L40" i="8"/>
  <c r="C40" i="8"/>
  <c r="O39" i="8"/>
  <c r="N39" i="8"/>
  <c r="M39" i="8"/>
  <c r="L39" i="8"/>
  <c r="C39" i="8"/>
  <c r="O38" i="8"/>
  <c r="N38" i="8"/>
  <c r="M38" i="8"/>
  <c r="L38" i="8"/>
  <c r="C38" i="8"/>
  <c r="O37" i="8"/>
  <c r="N37" i="8"/>
  <c r="M37" i="8"/>
  <c r="L37" i="8"/>
  <c r="C37" i="8"/>
  <c r="O36" i="8"/>
  <c r="N36" i="8"/>
  <c r="M36" i="8"/>
  <c r="L36" i="8"/>
  <c r="C36" i="8"/>
  <c r="O35" i="8"/>
  <c r="N35" i="8"/>
  <c r="M35" i="8"/>
  <c r="L35" i="8"/>
  <c r="C35" i="8"/>
  <c r="O34" i="8"/>
  <c r="N34" i="8"/>
  <c r="M34" i="8"/>
  <c r="L34" i="8"/>
  <c r="C34" i="8"/>
  <c r="O33" i="8"/>
  <c r="N33" i="8"/>
  <c r="M33" i="8"/>
  <c r="L33" i="8"/>
  <c r="C33" i="8"/>
  <c r="O32" i="8"/>
  <c r="N32" i="8"/>
  <c r="M32" i="8"/>
  <c r="L32" i="8"/>
  <c r="C32" i="8"/>
  <c r="O31" i="8"/>
  <c r="N31" i="8"/>
  <c r="M31" i="8"/>
  <c r="L31" i="8"/>
  <c r="C31" i="8"/>
  <c r="O30" i="8"/>
  <c r="N30" i="8"/>
  <c r="M30" i="8"/>
  <c r="L30" i="8"/>
  <c r="C30" i="8"/>
  <c r="O29" i="8"/>
  <c r="N29" i="8"/>
  <c r="M29" i="8"/>
  <c r="L29" i="8"/>
  <c r="C29" i="8"/>
  <c r="O28" i="8"/>
  <c r="N28" i="8"/>
  <c r="M28" i="8"/>
  <c r="L28" i="8"/>
  <c r="C28" i="8"/>
  <c r="O27" i="8"/>
  <c r="N27" i="8"/>
  <c r="M27" i="8"/>
  <c r="L27" i="8"/>
  <c r="C27" i="8"/>
  <c r="O26" i="8"/>
  <c r="N26" i="8"/>
  <c r="M26" i="8"/>
  <c r="L26" i="8"/>
  <c r="C26" i="8"/>
  <c r="O25" i="8"/>
  <c r="N25" i="8"/>
  <c r="M25" i="8"/>
  <c r="L25" i="8"/>
  <c r="C25" i="8"/>
  <c r="O24" i="8"/>
  <c r="N24" i="8"/>
  <c r="M24" i="8"/>
  <c r="L24" i="8"/>
  <c r="C24" i="8"/>
  <c r="O23" i="8"/>
  <c r="N23" i="8"/>
  <c r="M23" i="8"/>
  <c r="L23" i="8"/>
  <c r="C23" i="8"/>
  <c r="O22" i="8"/>
  <c r="N22" i="8"/>
  <c r="M22" i="8"/>
  <c r="L22" i="8"/>
  <c r="C22" i="8"/>
  <c r="O21" i="8"/>
  <c r="N21" i="8"/>
  <c r="M21" i="8"/>
  <c r="L21" i="8"/>
  <c r="C21" i="8"/>
  <c r="O20" i="8"/>
  <c r="N20" i="8"/>
  <c r="M20" i="8"/>
  <c r="L20" i="8"/>
  <c r="C20" i="8"/>
  <c r="O19" i="8"/>
  <c r="N19" i="8"/>
  <c r="M19" i="8"/>
  <c r="L19" i="8"/>
  <c r="C19" i="8"/>
  <c r="O18" i="8"/>
  <c r="N18" i="8"/>
  <c r="M18" i="8"/>
  <c r="L18" i="8"/>
  <c r="C18" i="8"/>
  <c r="O17" i="8"/>
  <c r="N17" i="8"/>
  <c r="M17" i="8"/>
  <c r="L17" i="8"/>
  <c r="C17" i="8"/>
  <c r="O16" i="8"/>
  <c r="N16" i="8"/>
  <c r="M16" i="8"/>
  <c r="L16" i="8"/>
  <c r="C16" i="8"/>
  <c r="O15" i="8"/>
  <c r="N15" i="8"/>
  <c r="M15" i="8"/>
  <c r="L15" i="8"/>
  <c r="C15" i="8"/>
  <c r="O14" i="8"/>
  <c r="N14" i="8"/>
  <c r="M14" i="8"/>
  <c r="L14" i="8"/>
  <c r="C14" i="8"/>
  <c r="O13" i="8"/>
  <c r="N13" i="8"/>
  <c r="M13" i="8"/>
  <c r="L13" i="8"/>
  <c r="C13" i="8"/>
  <c r="O12" i="8"/>
  <c r="N12" i="8"/>
  <c r="M12" i="8"/>
  <c r="L12" i="8"/>
  <c r="C12" i="8"/>
  <c r="O11" i="8"/>
  <c r="N11" i="8"/>
  <c r="M11" i="8"/>
  <c r="L11" i="8"/>
  <c r="C11" i="8"/>
  <c r="O10" i="8"/>
  <c r="N10" i="8"/>
  <c r="M10" i="8"/>
  <c r="L10" i="8"/>
  <c r="C10" i="8"/>
  <c r="O9" i="8"/>
  <c r="N9" i="8"/>
  <c r="M9" i="8"/>
  <c r="L9" i="8"/>
  <c r="C9" i="8"/>
  <c r="O8" i="8"/>
  <c r="N8" i="8"/>
  <c r="M8" i="8"/>
  <c r="L8" i="8"/>
  <c r="C8" i="8"/>
  <c r="O7" i="8"/>
  <c r="N7" i="8"/>
  <c r="M7" i="8"/>
  <c r="L7" i="8"/>
  <c r="C7" i="8"/>
  <c r="O6" i="8"/>
  <c r="N6" i="8"/>
  <c r="M6" i="8"/>
  <c r="L6" i="8"/>
  <c r="C6" i="8"/>
  <c r="O5" i="8"/>
  <c r="N5" i="8"/>
  <c r="M5" i="8"/>
  <c r="L5" i="8"/>
  <c r="C5" i="8"/>
  <c r="O4" i="8"/>
  <c r="N4" i="8"/>
  <c r="M4" i="8"/>
  <c r="L4" i="8"/>
  <c r="C4" i="8"/>
  <c r="O3" i="8"/>
  <c r="N3" i="8"/>
  <c r="M3" i="8"/>
  <c r="L3" i="8"/>
  <c r="C3" i="8"/>
  <c r="O2" i="8"/>
  <c r="N2" i="8"/>
  <c r="M2" i="8"/>
  <c r="C2" i="8"/>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2" i="4"/>
  <c r="L361" i="4"/>
  <c r="F3" i="4" a="1"/>
  <c r="F3" i="4" s="1"/>
  <c r="L3" i="4" s="1"/>
  <c r="F4" i="4" a="1"/>
  <c r="F4" i="4" s="1"/>
  <c r="L4" i="4" s="1"/>
  <c r="F5" i="4" a="1"/>
  <c r="F5" i="4" s="1"/>
  <c r="L5" i="4" s="1"/>
  <c r="F6" i="4" a="1"/>
  <c r="F6" i="4" s="1"/>
  <c r="L6" i="4" s="1"/>
  <c r="F7" i="4" a="1"/>
  <c r="F7" i="4" s="1"/>
  <c r="L7" i="4" s="1"/>
  <c r="F8" i="4" a="1"/>
  <c r="F8" i="4" s="1"/>
  <c r="L8" i="4" s="1"/>
  <c r="F9" i="4" a="1"/>
  <c r="F9" i="4" s="1"/>
  <c r="L9" i="4" s="1"/>
  <c r="F10" i="4" a="1"/>
  <c r="F10" i="4" s="1"/>
  <c r="L10" i="4" s="1"/>
  <c r="F11" i="4" a="1"/>
  <c r="F11" i="4" s="1"/>
  <c r="L11" i="4" s="1"/>
  <c r="F12" i="4" a="1"/>
  <c r="F12" i="4" s="1"/>
  <c r="L12" i="4" s="1"/>
  <c r="F13" i="4" a="1"/>
  <c r="F13" i="4" s="1"/>
  <c r="L13" i="4" s="1"/>
  <c r="F14" i="4" a="1"/>
  <c r="F14" i="4" s="1"/>
  <c r="L14" i="4" s="1"/>
  <c r="F15" i="4" a="1"/>
  <c r="F15" i="4" s="1"/>
  <c r="L15" i="4" s="1"/>
  <c r="F16" i="4" a="1"/>
  <c r="F16" i="4" s="1"/>
  <c r="L16" i="4" s="1"/>
  <c r="F17" i="4" a="1"/>
  <c r="F17" i="4" s="1"/>
  <c r="L17" i="4" s="1"/>
  <c r="F18" i="4" a="1"/>
  <c r="F18" i="4" s="1"/>
  <c r="L18" i="4" s="1"/>
  <c r="F19" i="4" a="1"/>
  <c r="F19" i="4" s="1"/>
  <c r="L19" i="4" s="1"/>
  <c r="F20" i="4" a="1"/>
  <c r="F20" i="4" s="1"/>
  <c r="L20" i="4" s="1"/>
  <c r="F21" i="4" a="1"/>
  <c r="F21" i="4" s="1"/>
  <c r="L21" i="4" s="1"/>
  <c r="F22" i="4" a="1"/>
  <c r="F22" i="4" s="1"/>
  <c r="L22" i="4" s="1"/>
  <c r="F23" i="4" a="1"/>
  <c r="F23" i="4" s="1"/>
  <c r="L23" i="4" s="1"/>
  <c r="F24" i="4" a="1"/>
  <c r="F24" i="4" s="1"/>
  <c r="L24" i="4" s="1"/>
  <c r="F25" i="4" a="1"/>
  <c r="F25" i="4" s="1"/>
  <c r="L25" i="4" s="1"/>
  <c r="F26" i="4" a="1"/>
  <c r="F26" i="4" s="1"/>
  <c r="L26" i="4" s="1"/>
  <c r="F27" i="4" a="1"/>
  <c r="F27" i="4" s="1"/>
  <c r="L27" i="4" s="1"/>
  <c r="F28" i="4" a="1"/>
  <c r="F28" i="4" s="1"/>
  <c r="L28" i="4" s="1"/>
  <c r="F29" i="4" a="1"/>
  <c r="F29" i="4" s="1"/>
  <c r="L29" i="4" s="1"/>
  <c r="F30" i="4" a="1"/>
  <c r="F30" i="4" s="1"/>
  <c r="L30" i="4" s="1"/>
  <c r="F31" i="4" a="1"/>
  <c r="F31" i="4" s="1"/>
  <c r="L31" i="4" s="1"/>
  <c r="F32" i="4" a="1"/>
  <c r="F32" i="4" s="1"/>
  <c r="L32" i="4" s="1"/>
  <c r="F33" i="4" a="1"/>
  <c r="F33" i="4" s="1"/>
  <c r="L33" i="4" s="1"/>
  <c r="F34" i="4" a="1"/>
  <c r="F34" i="4" s="1"/>
  <c r="L34" i="4" s="1"/>
  <c r="F35" i="4" a="1"/>
  <c r="F35" i="4" s="1"/>
  <c r="L35" i="4" s="1"/>
  <c r="F36" i="4" a="1"/>
  <c r="F36" i="4" s="1"/>
  <c r="L36" i="4" s="1"/>
  <c r="F37" i="4" a="1"/>
  <c r="F37" i="4" s="1"/>
  <c r="L37" i="4" s="1"/>
  <c r="F38" i="4" a="1"/>
  <c r="F38" i="4" s="1"/>
  <c r="L38" i="4" s="1"/>
  <c r="F39" i="4" a="1"/>
  <c r="F39" i="4" s="1"/>
  <c r="L39" i="4" s="1"/>
  <c r="F40" i="4" a="1"/>
  <c r="F40" i="4" s="1"/>
  <c r="L40" i="4" s="1"/>
  <c r="F41" i="4" a="1"/>
  <c r="F41" i="4" s="1"/>
  <c r="L41" i="4" s="1"/>
  <c r="F42" i="4" a="1"/>
  <c r="F42" i="4" s="1"/>
  <c r="L42" i="4" s="1"/>
  <c r="F43" i="4" a="1"/>
  <c r="F43" i="4" s="1"/>
  <c r="L43" i="4" s="1"/>
  <c r="F44" i="4" a="1"/>
  <c r="F44" i="4" s="1"/>
  <c r="L44" i="4" s="1"/>
  <c r="F45" i="4" a="1"/>
  <c r="F45" i="4"/>
  <c r="L45" i="4" s="1"/>
  <c r="F46" i="4" a="1"/>
  <c r="F46" i="4" s="1"/>
  <c r="L46" i="4" s="1"/>
  <c r="F47" i="4" a="1"/>
  <c r="F47" i="4" s="1"/>
  <c r="L47" i="4" s="1"/>
  <c r="F48" i="4" a="1"/>
  <c r="F48" i="4" s="1"/>
  <c r="L48" i="4" s="1"/>
  <c r="F49" i="4" a="1"/>
  <c r="F49" i="4" s="1"/>
  <c r="L49" i="4" s="1"/>
  <c r="F50" i="4" a="1"/>
  <c r="F50" i="4" s="1"/>
  <c r="L50" i="4" s="1"/>
  <c r="F51" i="4" a="1"/>
  <c r="F51" i="4" s="1"/>
  <c r="L51" i="4" s="1"/>
  <c r="F52" i="4" a="1"/>
  <c r="F52" i="4" s="1"/>
  <c r="L52" i="4" s="1"/>
  <c r="F53" i="4" a="1"/>
  <c r="F53" i="4" s="1"/>
  <c r="L53" i="4" s="1"/>
  <c r="F54" i="4" a="1"/>
  <c r="F54" i="4" s="1"/>
  <c r="L54" i="4" s="1"/>
  <c r="F55" i="4" a="1"/>
  <c r="F55" i="4" s="1"/>
  <c r="L55" i="4" s="1"/>
  <c r="F56" i="4" a="1"/>
  <c r="F56" i="4" s="1"/>
  <c r="L56" i="4" s="1"/>
  <c r="F57" i="4" a="1"/>
  <c r="F57" i="4" s="1"/>
  <c r="L57" i="4" s="1"/>
  <c r="F58" i="4" a="1"/>
  <c r="F58" i="4" s="1"/>
  <c r="L58" i="4" s="1"/>
  <c r="F59" i="4" a="1"/>
  <c r="F59" i="4" s="1"/>
  <c r="L59" i="4" s="1"/>
  <c r="F60" i="4" a="1"/>
  <c r="F60" i="4" s="1"/>
  <c r="L60" i="4" s="1"/>
  <c r="F61" i="4" a="1"/>
  <c r="F61" i="4" s="1"/>
  <c r="L61" i="4" s="1"/>
  <c r="F62" i="4" a="1"/>
  <c r="F62" i="4" s="1"/>
  <c r="L62" i="4" s="1"/>
  <c r="F63" i="4" a="1"/>
  <c r="F63" i="4" s="1"/>
  <c r="L63" i="4" s="1"/>
  <c r="F64" i="4" a="1"/>
  <c r="F64" i="4" s="1"/>
  <c r="L64" i="4" s="1"/>
  <c r="F65" i="4" a="1"/>
  <c r="F65" i="4" s="1"/>
  <c r="L65" i="4" s="1"/>
  <c r="F66" i="4" a="1"/>
  <c r="F66" i="4" s="1"/>
  <c r="L66" i="4" s="1"/>
  <c r="F67" i="4" a="1"/>
  <c r="F67" i="4" s="1"/>
  <c r="L67" i="4" s="1"/>
  <c r="F68" i="4" a="1"/>
  <c r="F68" i="4" s="1"/>
  <c r="L68" i="4" s="1"/>
  <c r="F69" i="4" a="1"/>
  <c r="F69" i="4" s="1"/>
  <c r="L69" i="4" s="1"/>
  <c r="F70" i="4" a="1"/>
  <c r="F70" i="4" s="1"/>
  <c r="L70" i="4" s="1"/>
  <c r="F71" i="4" a="1"/>
  <c r="F71" i="4" s="1"/>
  <c r="L71" i="4" s="1"/>
  <c r="F72" i="4" a="1"/>
  <c r="F72" i="4" s="1"/>
  <c r="L72" i="4" s="1"/>
  <c r="F73" i="4" a="1"/>
  <c r="F73" i="4" s="1"/>
  <c r="L73" i="4" s="1"/>
  <c r="F74" i="4" a="1"/>
  <c r="F74" i="4" s="1"/>
  <c r="L74" i="4" s="1"/>
  <c r="F75" i="4" a="1"/>
  <c r="F75" i="4" s="1"/>
  <c r="L75" i="4" s="1"/>
  <c r="F76" i="4" a="1"/>
  <c r="F76" i="4" s="1"/>
  <c r="L76" i="4" s="1"/>
  <c r="F77" i="4" a="1"/>
  <c r="F77" i="4" s="1"/>
  <c r="L77" i="4" s="1"/>
  <c r="F78" i="4" a="1"/>
  <c r="F78" i="4" s="1"/>
  <c r="L78" i="4" s="1"/>
  <c r="F79" i="4" a="1"/>
  <c r="F79" i="4" s="1"/>
  <c r="L79" i="4" s="1"/>
  <c r="F80" i="4" a="1"/>
  <c r="F80" i="4" s="1"/>
  <c r="L80" i="4" s="1"/>
  <c r="F81" i="4" a="1"/>
  <c r="F81" i="4" s="1"/>
  <c r="L81" i="4" s="1"/>
  <c r="F82" i="4" a="1"/>
  <c r="F82" i="4" s="1"/>
  <c r="L82" i="4" s="1"/>
  <c r="F83" i="4" a="1"/>
  <c r="F83" i="4" s="1"/>
  <c r="L83" i="4" s="1"/>
  <c r="F84" i="4" a="1"/>
  <c r="F84" i="4" s="1"/>
  <c r="L84" i="4" s="1"/>
  <c r="F85" i="4" a="1"/>
  <c r="F85" i="4" s="1"/>
  <c r="L85" i="4" s="1"/>
  <c r="F86" i="4" a="1"/>
  <c r="F86" i="4" s="1"/>
  <c r="L86" i="4" s="1"/>
  <c r="F87" i="4" a="1"/>
  <c r="F87" i="4" s="1"/>
  <c r="L87" i="4" s="1"/>
  <c r="F88" i="4" a="1"/>
  <c r="F88" i="4" s="1"/>
  <c r="L88" i="4" s="1"/>
  <c r="F89" i="4" a="1"/>
  <c r="F89" i="4" s="1"/>
  <c r="L89" i="4" s="1"/>
  <c r="F90" i="4" a="1"/>
  <c r="F90" i="4"/>
  <c r="L90" i="4" s="1"/>
  <c r="F91" i="4" a="1"/>
  <c r="F91" i="4" s="1"/>
  <c r="L91" i="4" s="1"/>
  <c r="F92" i="4" a="1"/>
  <c r="F92" i="4" s="1"/>
  <c r="L92" i="4" s="1"/>
  <c r="F93" i="4" a="1"/>
  <c r="F93" i="4" s="1"/>
  <c r="L93" i="4" s="1"/>
  <c r="F94" i="4" a="1"/>
  <c r="F94" i="4" s="1"/>
  <c r="L94" i="4" s="1"/>
  <c r="F95" i="4" a="1"/>
  <c r="F95" i="4" s="1"/>
  <c r="L95" i="4" s="1"/>
  <c r="F96" i="4" a="1"/>
  <c r="F96" i="4" s="1"/>
  <c r="L96" i="4" s="1"/>
  <c r="F97" i="4" a="1"/>
  <c r="F97" i="4" s="1"/>
  <c r="L97" i="4" s="1"/>
  <c r="F98" i="4" a="1"/>
  <c r="F98" i="4" s="1"/>
  <c r="L98" i="4" s="1"/>
  <c r="F99" i="4" a="1"/>
  <c r="F99" i="4" s="1"/>
  <c r="L99" i="4" s="1"/>
  <c r="F100" i="4" a="1"/>
  <c r="F100" i="4" s="1"/>
  <c r="L100" i="4" s="1"/>
  <c r="F101" i="4" a="1"/>
  <c r="F101" i="4" s="1"/>
  <c r="L101" i="4" s="1"/>
  <c r="F102" i="4" a="1"/>
  <c r="F102" i="4" s="1"/>
  <c r="L102" i="4" s="1"/>
  <c r="F103" i="4" a="1"/>
  <c r="F103" i="4" s="1"/>
  <c r="L103" i="4" s="1"/>
  <c r="F104" i="4" a="1"/>
  <c r="F104" i="4" s="1"/>
  <c r="L104" i="4" s="1"/>
  <c r="F105" i="4" a="1"/>
  <c r="F105" i="4" s="1"/>
  <c r="L105" i="4" s="1"/>
  <c r="F106" i="4" a="1"/>
  <c r="F106" i="4" s="1"/>
  <c r="L106" i="4" s="1"/>
  <c r="F107" i="4" a="1"/>
  <c r="F107" i="4" s="1"/>
  <c r="L107" i="4" s="1"/>
  <c r="F108" i="4" a="1"/>
  <c r="F108" i="4" s="1"/>
  <c r="L108" i="4" s="1"/>
  <c r="F109" i="4" a="1"/>
  <c r="F109" i="4" s="1"/>
  <c r="L109" i="4" s="1"/>
  <c r="F110" i="4" a="1"/>
  <c r="F110" i="4" s="1"/>
  <c r="L110" i="4" s="1"/>
  <c r="F111" i="4" a="1"/>
  <c r="F111" i="4" s="1"/>
  <c r="L111" i="4" s="1"/>
  <c r="F112" i="4" a="1"/>
  <c r="F112" i="4" s="1"/>
  <c r="L112" i="4" s="1"/>
  <c r="F113" i="4" a="1"/>
  <c r="F113" i="4" s="1"/>
  <c r="L113" i="4" s="1"/>
  <c r="F114" i="4" a="1"/>
  <c r="F114" i="4" s="1"/>
  <c r="L114" i="4" s="1"/>
  <c r="F115" i="4" a="1"/>
  <c r="F115" i="4" s="1"/>
  <c r="L115" i="4" s="1"/>
  <c r="F116" i="4" a="1"/>
  <c r="F116" i="4" s="1"/>
  <c r="L116" i="4" s="1"/>
  <c r="F117" i="4" a="1"/>
  <c r="F117" i="4" s="1"/>
  <c r="L117" i="4" s="1"/>
  <c r="F118" i="4" a="1"/>
  <c r="F118" i="4" s="1"/>
  <c r="L118" i="4" s="1"/>
  <c r="F119" i="4" a="1"/>
  <c r="F119" i="4" s="1"/>
  <c r="L119" i="4" s="1"/>
  <c r="F120" i="4" a="1"/>
  <c r="F120" i="4" s="1"/>
  <c r="L120" i="4" s="1"/>
  <c r="F121" i="4" a="1"/>
  <c r="F121" i="4" s="1"/>
  <c r="L121" i="4" s="1"/>
  <c r="F122" i="4" a="1"/>
  <c r="F122" i="4" s="1"/>
  <c r="L122" i="4" s="1"/>
  <c r="F123" i="4" a="1"/>
  <c r="F123" i="4" s="1"/>
  <c r="L123" i="4" s="1"/>
  <c r="F124" i="4" a="1"/>
  <c r="F124" i="4" s="1"/>
  <c r="L124" i="4" s="1"/>
  <c r="F125" i="4" a="1"/>
  <c r="F125" i="4" s="1"/>
  <c r="L125" i="4" s="1"/>
  <c r="F126" i="4" a="1"/>
  <c r="F126" i="4" s="1"/>
  <c r="L126" i="4" s="1"/>
  <c r="F127" i="4" a="1"/>
  <c r="F127" i="4" s="1"/>
  <c r="L127" i="4" s="1"/>
  <c r="F128" i="4" a="1"/>
  <c r="F128" i="4" s="1"/>
  <c r="L128" i="4" s="1"/>
  <c r="F129" i="4" a="1"/>
  <c r="F129" i="4" s="1"/>
  <c r="L129" i="4" s="1"/>
  <c r="F130" i="4" a="1"/>
  <c r="F130" i="4" s="1"/>
  <c r="L130" i="4" s="1"/>
  <c r="F131" i="4" a="1"/>
  <c r="F131" i="4" s="1"/>
  <c r="L131" i="4" s="1"/>
  <c r="F132" i="4" a="1"/>
  <c r="F132" i="4" s="1"/>
  <c r="L132" i="4" s="1"/>
  <c r="F133" i="4" a="1"/>
  <c r="F133" i="4" s="1"/>
  <c r="L133" i="4" s="1"/>
  <c r="F134" i="4" a="1"/>
  <c r="F134" i="4" s="1"/>
  <c r="L134" i="4" s="1"/>
  <c r="F135" i="4" a="1"/>
  <c r="F135" i="4" s="1"/>
  <c r="L135" i="4" s="1"/>
  <c r="F136" i="4" a="1"/>
  <c r="F136" i="4" s="1"/>
  <c r="L136" i="4" s="1"/>
  <c r="F137" i="4" a="1"/>
  <c r="F137" i="4" s="1"/>
  <c r="L137" i="4" s="1"/>
  <c r="F138" i="4" a="1"/>
  <c r="F138" i="4" s="1"/>
  <c r="L138" i="4" s="1"/>
  <c r="F139" i="4" a="1"/>
  <c r="F139" i="4" s="1"/>
  <c r="L139" i="4" s="1"/>
  <c r="F140" i="4" a="1"/>
  <c r="F140" i="4" s="1"/>
  <c r="L140" i="4" s="1"/>
  <c r="F141" i="4" a="1"/>
  <c r="F141" i="4" s="1"/>
  <c r="L141" i="4" s="1"/>
  <c r="F142" i="4" a="1"/>
  <c r="F142" i="4" s="1"/>
  <c r="L142" i="4" s="1"/>
  <c r="F143" i="4" a="1"/>
  <c r="F143" i="4" s="1"/>
  <c r="L143" i="4" s="1"/>
  <c r="F144" i="4" a="1"/>
  <c r="F144" i="4" s="1"/>
  <c r="L144" i="4" s="1"/>
  <c r="F145" i="4" a="1"/>
  <c r="F145" i="4" s="1"/>
  <c r="L145" i="4" s="1"/>
  <c r="F146" i="4" a="1"/>
  <c r="F146" i="4" s="1"/>
  <c r="L146" i="4" s="1"/>
  <c r="F147" i="4" a="1"/>
  <c r="F147" i="4"/>
  <c r="L147" i="4" s="1"/>
  <c r="F148" i="4" a="1"/>
  <c r="F148" i="4" s="1"/>
  <c r="L148" i="4" s="1"/>
  <c r="F149" i="4" a="1"/>
  <c r="F149" i="4" s="1"/>
  <c r="L149" i="4" s="1"/>
  <c r="F150" i="4" a="1"/>
  <c r="F150" i="4" s="1"/>
  <c r="L150" i="4" s="1"/>
  <c r="F151" i="4" a="1"/>
  <c r="F151" i="4"/>
  <c r="L151" i="4" s="1"/>
  <c r="F152" i="4" a="1"/>
  <c r="F152" i="4" s="1"/>
  <c r="L152" i="4" s="1"/>
  <c r="F153" i="4" a="1"/>
  <c r="F153" i="4" s="1"/>
  <c r="L153" i="4" s="1"/>
  <c r="F154" i="4" a="1"/>
  <c r="F154" i="4" s="1"/>
  <c r="L154" i="4" s="1"/>
  <c r="F155" i="4" a="1"/>
  <c r="F155" i="4" s="1"/>
  <c r="L155" i="4" s="1"/>
  <c r="F156" i="4" a="1"/>
  <c r="F156" i="4" s="1"/>
  <c r="L156" i="4" s="1"/>
  <c r="F157" i="4" a="1"/>
  <c r="F157" i="4" s="1"/>
  <c r="L157" i="4" s="1"/>
  <c r="F158" i="4" a="1"/>
  <c r="F158" i="4" s="1"/>
  <c r="L158" i="4" s="1"/>
  <c r="F159" i="4" a="1"/>
  <c r="F159" i="4"/>
  <c r="L159" i="4" s="1"/>
  <c r="F160" i="4" a="1"/>
  <c r="F160" i="4" s="1"/>
  <c r="L160" i="4" s="1"/>
  <c r="F161" i="4" a="1"/>
  <c r="F161" i="4" s="1"/>
  <c r="L161" i="4" s="1"/>
  <c r="F162" i="4" a="1"/>
  <c r="F162" i="4" s="1"/>
  <c r="L162" i="4" s="1"/>
  <c r="F163" i="4" a="1"/>
  <c r="F163" i="4" s="1"/>
  <c r="L163" i="4" s="1"/>
  <c r="F164" i="4" a="1"/>
  <c r="F164" i="4" s="1"/>
  <c r="L164" i="4" s="1"/>
  <c r="F165" i="4" a="1"/>
  <c r="F165" i="4" s="1"/>
  <c r="L165" i="4" s="1"/>
  <c r="F166" i="4" a="1"/>
  <c r="F166" i="4" s="1"/>
  <c r="L166" i="4" s="1"/>
  <c r="F167" i="4" a="1"/>
  <c r="F167" i="4" s="1"/>
  <c r="L167" i="4" s="1"/>
  <c r="F168" i="4" a="1"/>
  <c r="F168" i="4" s="1"/>
  <c r="L168" i="4" s="1"/>
  <c r="F169" i="4" a="1"/>
  <c r="F169" i="4"/>
  <c r="L169" i="4" s="1"/>
  <c r="F170" i="4" a="1"/>
  <c r="F170" i="4" s="1"/>
  <c r="L170" i="4" s="1"/>
  <c r="F171" i="4" a="1"/>
  <c r="F171" i="4" s="1"/>
  <c r="L171" i="4" s="1"/>
  <c r="F172" i="4" a="1"/>
  <c r="F172" i="4" s="1"/>
  <c r="L172" i="4" s="1"/>
  <c r="F173" i="4" a="1"/>
  <c r="F173" i="4" s="1"/>
  <c r="L173" i="4" s="1"/>
  <c r="F174" i="4" a="1"/>
  <c r="F174" i="4" s="1"/>
  <c r="L174" i="4" s="1"/>
  <c r="F175" i="4" a="1"/>
  <c r="F175" i="4" s="1"/>
  <c r="L175" i="4" s="1"/>
  <c r="F176" i="4" a="1"/>
  <c r="F176" i="4" s="1"/>
  <c r="L176" i="4" s="1"/>
  <c r="F177" i="4" a="1"/>
  <c r="F177" i="4" s="1"/>
  <c r="L177" i="4" s="1"/>
  <c r="F178" i="4" a="1"/>
  <c r="F178" i="4" s="1"/>
  <c r="L178" i="4" s="1"/>
  <c r="F179" i="4" a="1"/>
  <c r="F179" i="4" s="1"/>
  <c r="L179" i="4" s="1"/>
  <c r="F180" i="4" a="1"/>
  <c r="F180" i="4"/>
  <c r="L180" i="4" s="1"/>
  <c r="F181" i="4" a="1"/>
  <c r="F181" i="4" s="1"/>
  <c r="L181" i="4" s="1"/>
  <c r="F182" i="4" a="1"/>
  <c r="F182" i="4" s="1"/>
  <c r="L182" i="4" s="1"/>
  <c r="F183" i="4" a="1"/>
  <c r="F183" i="4" s="1"/>
  <c r="L183" i="4" s="1"/>
  <c r="F184" i="4" a="1"/>
  <c r="F184" i="4" s="1"/>
  <c r="L184" i="4" s="1"/>
  <c r="F185" i="4" a="1"/>
  <c r="F185" i="4" s="1"/>
  <c r="L185" i="4" s="1"/>
  <c r="F186" i="4" a="1"/>
  <c r="F186" i="4" s="1"/>
  <c r="L186" i="4" s="1"/>
  <c r="F187" i="4" a="1"/>
  <c r="F187" i="4" s="1"/>
  <c r="L187" i="4" s="1"/>
  <c r="F188" i="4" a="1"/>
  <c r="F188" i="4" s="1"/>
  <c r="L188" i="4" s="1"/>
  <c r="F189" i="4" a="1"/>
  <c r="F189" i="4"/>
  <c r="L189" i="4" s="1"/>
  <c r="F190" i="4" a="1"/>
  <c r="F190" i="4"/>
  <c r="L190" i="4" s="1"/>
  <c r="F191" i="4" a="1"/>
  <c r="F191" i="4" s="1"/>
  <c r="L191" i="4" s="1"/>
  <c r="F192" i="4" a="1"/>
  <c r="F192" i="4" s="1"/>
  <c r="L192" i="4" s="1"/>
  <c r="F193" i="4" a="1"/>
  <c r="F193" i="4" s="1"/>
  <c r="L193" i="4" s="1"/>
  <c r="F194" i="4" a="1"/>
  <c r="F194" i="4" s="1"/>
  <c r="L194" i="4" s="1"/>
  <c r="F195" i="4" a="1"/>
  <c r="F195" i="4" s="1"/>
  <c r="L195" i="4" s="1"/>
  <c r="F196" i="4" a="1"/>
  <c r="F196" i="4" s="1"/>
  <c r="L196" i="4" s="1"/>
  <c r="F197" i="4" a="1"/>
  <c r="F197" i="4" s="1"/>
  <c r="L197" i="4" s="1"/>
  <c r="F198" i="4" a="1"/>
  <c r="F198" i="4" s="1"/>
  <c r="L198" i="4" s="1"/>
  <c r="F199" i="4" a="1"/>
  <c r="F199" i="4" s="1"/>
  <c r="L199" i="4" s="1"/>
  <c r="F200" i="4" a="1"/>
  <c r="F200" i="4" s="1"/>
  <c r="L200" i="4" s="1"/>
  <c r="F201" i="4" a="1"/>
  <c r="F201" i="4" s="1"/>
  <c r="L201" i="4" s="1"/>
  <c r="F202" i="4" a="1"/>
  <c r="F202" i="4" s="1"/>
  <c r="L202" i="4" s="1"/>
  <c r="F203" i="4" a="1"/>
  <c r="F203" i="4" s="1"/>
  <c r="L203" i="4" s="1"/>
  <c r="F204" i="4" a="1"/>
  <c r="F204" i="4" s="1"/>
  <c r="L204" i="4" s="1"/>
  <c r="F205" i="4" a="1"/>
  <c r="F205" i="4" s="1"/>
  <c r="L205" i="4" s="1"/>
  <c r="F206" i="4" a="1"/>
  <c r="F206" i="4" s="1"/>
  <c r="L206" i="4" s="1"/>
  <c r="F207" i="4" a="1"/>
  <c r="F207" i="4" s="1"/>
  <c r="L207" i="4" s="1"/>
  <c r="F208" i="4" a="1"/>
  <c r="F208" i="4" s="1"/>
  <c r="L208" i="4" s="1"/>
  <c r="F209" i="4" a="1"/>
  <c r="F209" i="4" s="1"/>
  <c r="L209" i="4" s="1"/>
  <c r="F210" i="4" a="1"/>
  <c r="F210" i="4" s="1"/>
  <c r="L210" i="4" s="1"/>
  <c r="F211" i="4" a="1"/>
  <c r="F211" i="4" s="1"/>
  <c r="L211" i="4" s="1"/>
  <c r="F212" i="4" a="1"/>
  <c r="F212" i="4" s="1"/>
  <c r="L212" i="4" s="1"/>
  <c r="F213" i="4" a="1"/>
  <c r="F213" i="4" s="1"/>
  <c r="L213" i="4" s="1"/>
  <c r="F214" i="4" a="1"/>
  <c r="F214" i="4" s="1"/>
  <c r="L214" i="4" s="1"/>
  <c r="F215" i="4" a="1"/>
  <c r="F215" i="4" s="1"/>
  <c r="L215" i="4" s="1"/>
  <c r="F216" i="4" a="1"/>
  <c r="F216" i="4" s="1"/>
  <c r="L216" i="4" s="1"/>
  <c r="F217" i="4" a="1"/>
  <c r="F217" i="4" s="1"/>
  <c r="L217" i="4" s="1"/>
  <c r="F218" i="4" a="1"/>
  <c r="F218" i="4" s="1"/>
  <c r="L218" i="4" s="1"/>
  <c r="F219" i="4" a="1"/>
  <c r="F219" i="4" s="1"/>
  <c r="L219" i="4" s="1"/>
  <c r="F220" i="4" a="1"/>
  <c r="F220" i="4" s="1"/>
  <c r="L220" i="4" s="1"/>
  <c r="F221" i="4" a="1"/>
  <c r="F221" i="4" s="1"/>
  <c r="L221" i="4" s="1"/>
  <c r="F222" i="4" a="1"/>
  <c r="F222" i="4"/>
  <c r="L222" i="4" s="1"/>
  <c r="F223" i="4" a="1"/>
  <c r="F223" i="4" s="1"/>
  <c r="L223" i="4" s="1"/>
  <c r="F224" i="4" a="1"/>
  <c r="F224" i="4" s="1"/>
  <c r="L224" i="4" s="1"/>
  <c r="F225" i="4" a="1"/>
  <c r="F225" i="4" s="1"/>
  <c r="L225" i="4" s="1"/>
  <c r="F226" i="4" a="1"/>
  <c r="F226" i="4" s="1"/>
  <c r="L226" i="4" s="1"/>
  <c r="F227" i="4" a="1"/>
  <c r="F227" i="4" s="1"/>
  <c r="L227" i="4" s="1"/>
  <c r="F228" i="4" a="1"/>
  <c r="F228" i="4" s="1"/>
  <c r="L228" i="4" s="1"/>
  <c r="F229" i="4" a="1"/>
  <c r="F229" i="4" s="1"/>
  <c r="L229" i="4" s="1"/>
  <c r="F230" i="4" a="1"/>
  <c r="F230" i="4" s="1"/>
  <c r="L230" i="4" s="1"/>
  <c r="F231" i="4" a="1"/>
  <c r="F231" i="4" s="1"/>
  <c r="L231" i="4" s="1"/>
  <c r="F232" i="4" a="1"/>
  <c r="F232" i="4" s="1"/>
  <c r="L232" i="4" s="1"/>
  <c r="F233" i="4" a="1"/>
  <c r="F233" i="4" s="1"/>
  <c r="L233" i="4" s="1"/>
  <c r="F234" i="4" a="1"/>
  <c r="F234" i="4"/>
  <c r="L234" i="4" s="1"/>
  <c r="F235" i="4" a="1"/>
  <c r="F235" i="4" s="1"/>
  <c r="L235" i="4" s="1"/>
  <c r="F236" i="4" a="1"/>
  <c r="F236" i="4" s="1"/>
  <c r="L236" i="4" s="1"/>
  <c r="F237" i="4" a="1"/>
  <c r="F237" i="4" s="1"/>
  <c r="L237" i="4" s="1"/>
  <c r="F238" i="4" a="1"/>
  <c r="F238" i="4" s="1"/>
  <c r="L238" i="4" s="1"/>
  <c r="F239" i="4" a="1"/>
  <c r="F239" i="4" s="1"/>
  <c r="L239" i="4" s="1"/>
  <c r="F240" i="4" a="1"/>
  <c r="F240" i="4" s="1"/>
  <c r="L240" i="4" s="1"/>
  <c r="F241" i="4" a="1"/>
  <c r="F241" i="4" s="1"/>
  <c r="L241" i="4" s="1"/>
  <c r="F242" i="4" a="1"/>
  <c r="F242" i="4" s="1"/>
  <c r="L242" i="4" s="1"/>
  <c r="F243" i="4" a="1"/>
  <c r="F243" i="4" s="1"/>
  <c r="L243" i="4" s="1"/>
  <c r="F244" i="4" a="1"/>
  <c r="F244" i="4" s="1"/>
  <c r="L244" i="4" s="1"/>
  <c r="F245" i="4" a="1"/>
  <c r="F245" i="4" s="1"/>
  <c r="L245" i="4" s="1"/>
  <c r="F246" i="4" a="1"/>
  <c r="F246" i="4" s="1"/>
  <c r="L246" i="4" s="1"/>
  <c r="F247" i="4" a="1"/>
  <c r="F247" i="4" s="1"/>
  <c r="L247" i="4" s="1"/>
  <c r="F248" i="4" a="1"/>
  <c r="F248" i="4" s="1"/>
  <c r="L248" i="4" s="1"/>
  <c r="F249" i="4" a="1"/>
  <c r="F249" i="4" s="1"/>
  <c r="L249" i="4" s="1"/>
  <c r="F250" i="4" a="1"/>
  <c r="F250" i="4" s="1"/>
  <c r="L250" i="4" s="1"/>
  <c r="F251" i="4" a="1"/>
  <c r="F251" i="4" s="1"/>
  <c r="L251" i="4" s="1"/>
  <c r="F252" i="4" a="1"/>
  <c r="F252" i="4" s="1"/>
  <c r="L252" i="4" s="1"/>
  <c r="F253" i="4" a="1"/>
  <c r="F253" i="4" s="1"/>
  <c r="L253" i="4" s="1"/>
  <c r="F254" i="4" a="1"/>
  <c r="F254" i="4" s="1"/>
  <c r="L254" i="4" s="1"/>
  <c r="F255" i="4" a="1"/>
  <c r="F255" i="4" s="1"/>
  <c r="L255" i="4" s="1"/>
  <c r="F256" i="4" a="1"/>
  <c r="F256" i="4" s="1"/>
  <c r="L256" i="4" s="1"/>
  <c r="F257" i="4" a="1"/>
  <c r="F257" i="4" s="1"/>
  <c r="L257" i="4" s="1"/>
  <c r="F258" i="4" a="1"/>
  <c r="F258" i="4" s="1"/>
  <c r="L258" i="4" s="1"/>
  <c r="F259" i="4" a="1"/>
  <c r="F259" i="4"/>
  <c r="L259" i="4" s="1"/>
  <c r="F260" i="4" a="1"/>
  <c r="F260" i="4" s="1"/>
  <c r="L260" i="4" s="1"/>
  <c r="F261" i="4" a="1"/>
  <c r="F261" i="4" s="1"/>
  <c r="L261" i="4" s="1"/>
  <c r="F262" i="4" a="1"/>
  <c r="F262" i="4" s="1"/>
  <c r="L262" i="4" s="1"/>
  <c r="F263" i="4" a="1"/>
  <c r="F263" i="4" s="1"/>
  <c r="L263" i="4" s="1"/>
  <c r="F264" i="4" a="1"/>
  <c r="F264" i="4" s="1"/>
  <c r="L264" i="4" s="1"/>
  <c r="F265" i="4" a="1"/>
  <c r="F265" i="4" s="1"/>
  <c r="L265" i="4" s="1"/>
  <c r="F266" i="4" a="1"/>
  <c r="F266" i="4" s="1"/>
  <c r="L266" i="4" s="1"/>
  <c r="F267" i="4" a="1"/>
  <c r="F267" i="4" s="1"/>
  <c r="L267" i="4" s="1"/>
  <c r="F268" i="4" a="1"/>
  <c r="F268" i="4" s="1"/>
  <c r="L268" i="4" s="1"/>
  <c r="F269" i="4" a="1"/>
  <c r="F269" i="4" s="1"/>
  <c r="L269" i="4" s="1"/>
  <c r="F270" i="4" a="1"/>
  <c r="F270" i="4" s="1"/>
  <c r="L270" i="4" s="1"/>
  <c r="F271" i="4" a="1"/>
  <c r="F271" i="4" s="1"/>
  <c r="L271" i="4" s="1"/>
  <c r="F272" i="4" a="1"/>
  <c r="F272" i="4" s="1"/>
  <c r="L272" i="4" s="1"/>
  <c r="F273" i="4" a="1"/>
  <c r="F273" i="4"/>
  <c r="L273" i="4" s="1"/>
  <c r="F274" i="4" a="1"/>
  <c r="F274" i="4" s="1"/>
  <c r="L274" i="4" s="1"/>
  <c r="F275" i="4" a="1"/>
  <c r="F275" i="4" s="1"/>
  <c r="L275" i="4" s="1"/>
  <c r="F276" i="4" a="1"/>
  <c r="F276" i="4" s="1"/>
  <c r="L276" i="4" s="1"/>
  <c r="F277" i="4" a="1"/>
  <c r="F277" i="4" s="1"/>
  <c r="L277" i="4" s="1"/>
  <c r="F278" i="4" a="1"/>
  <c r="F278" i="4" s="1"/>
  <c r="L278" i="4" s="1"/>
  <c r="F279" i="4" a="1"/>
  <c r="F279" i="4" s="1"/>
  <c r="L279" i="4" s="1"/>
  <c r="F280" i="4" a="1"/>
  <c r="F280" i="4" s="1"/>
  <c r="L280" i="4" s="1"/>
  <c r="F281" i="4" a="1"/>
  <c r="F281" i="4" s="1"/>
  <c r="L281" i="4" s="1"/>
  <c r="F282" i="4" a="1"/>
  <c r="F282" i="4" s="1"/>
  <c r="L282" i="4" s="1"/>
  <c r="F283" i="4" a="1"/>
  <c r="F283" i="4" s="1"/>
  <c r="L283" i="4" s="1"/>
  <c r="F284" i="4" a="1"/>
  <c r="F284" i="4" s="1"/>
  <c r="L284" i="4" s="1"/>
  <c r="F285" i="4" a="1"/>
  <c r="F285" i="4" s="1"/>
  <c r="L285" i="4" s="1"/>
  <c r="F286" i="4" a="1"/>
  <c r="F286" i="4" s="1"/>
  <c r="L286" i="4" s="1"/>
  <c r="F287" i="4" a="1"/>
  <c r="F287" i="4" s="1"/>
  <c r="L287" i="4" s="1"/>
  <c r="F288" i="4" a="1"/>
  <c r="F288" i="4" s="1"/>
  <c r="L288" i="4" s="1"/>
  <c r="F289" i="4" a="1"/>
  <c r="F289" i="4" s="1"/>
  <c r="L289" i="4" s="1"/>
  <c r="F290" i="4" a="1"/>
  <c r="F290" i="4" s="1"/>
  <c r="L290" i="4" s="1"/>
  <c r="F291" i="4" a="1"/>
  <c r="F291" i="4" s="1"/>
  <c r="L291" i="4" s="1"/>
  <c r="F292" i="4" a="1"/>
  <c r="F292" i="4" s="1"/>
  <c r="L292" i="4" s="1"/>
  <c r="F293" i="4" a="1"/>
  <c r="F293" i="4" s="1"/>
  <c r="L293" i="4" s="1"/>
  <c r="F294" i="4" a="1"/>
  <c r="F294" i="4" s="1"/>
  <c r="L294" i="4" s="1"/>
  <c r="F295" i="4" a="1"/>
  <c r="F295" i="4" s="1"/>
  <c r="L295" i="4" s="1"/>
  <c r="F296" i="4" a="1"/>
  <c r="F296" i="4" s="1"/>
  <c r="L296" i="4" s="1"/>
  <c r="F297" i="4" a="1"/>
  <c r="F297" i="4" s="1"/>
  <c r="L297" i="4" s="1"/>
  <c r="F298" i="4" a="1"/>
  <c r="F298" i="4"/>
  <c r="L298" i="4" s="1"/>
  <c r="F299" i="4" a="1"/>
  <c r="F299" i="4" s="1"/>
  <c r="L299" i="4" s="1"/>
  <c r="F300" i="4" a="1"/>
  <c r="F300" i="4" s="1"/>
  <c r="L300" i="4" s="1"/>
  <c r="F301" i="4" a="1"/>
  <c r="F301" i="4" s="1"/>
  <c r="L301" i="4" s="1"/>
  <c r="F302" i="4" a="1"/>
  <c r="F302" i="4" s="1"/>
  <c r="L302" i="4" s="1"/>
  <c r="F303" i="4" a="1"/>
  <c r="F303" i="4" s="1"/>
  <c r="L303" i="4" s="1"/>
  <c r="F304" i="4" a="1"/>
  <c r="F304" i="4"/>
  <c r="L304" i="4" s="1"/>
  <c r="F305" i="4" a="1"/>
  <c r="F305" i="4" s="1"/>
  <c r="L305" i="4" s="1"/>
  <c r="F306" i="4" a="1"/>
  <c r="F306" i="4" s="1"/>
  <c r="L306" i="4" s="1"/>
  <c r="F307" i="4" a="1"/>
  <c r="F307" i="4" s="1"/>
  <c r="L307" i="4" s="1"/>
  <c r="F308" i="4" a="1"/>
  <c r="F308" i="4" s="1"/>
  <c r="L308" i="4" s="1"/>
  <c r="F309" i="4" a="1"/>
  <c r="F309" i="4" s="1"/>
  <c r="L309" i="4" s="1"/>
  <c r="F310" i="4" a="1"/>
  <c r="F310" i="4" s="1"/>
  <c r="L310" i="4" s="1"/>
  <c r="F311" i="4" a="1"/>
  <c r="F311" i="4" s="1"/>
  <c r="L311" i="4" s="1"/>
  <c r="F312" i="4" a="1"/>
  <c r="F312" i="4" s="1"/>
  <c r="L312" i="4" s="1"/>
  <c r="F313" i="4" a="1"/>
  <c r="F313" i="4" s="1"/>
  <c r="L313" i="4" s="1"/>
  <c r="F314" i="4" a="1"/>
  <c r="F314" i="4" s="1"/>
  <c r="L314" i="4" s="1"/>
  <c r="F315" i="4" a="1"/>
  <c r="F315" i="4" s="1"/>
  <c r="L315" i="4" s="1"/>
  <c r="F316" i="4" a="1"/>
  <c r="F316" i="4" s="1"/>
  <c r="L316" i="4" s="1"/>
  <c r="F317" i="4" a="1"/>
  <c r="F317" i="4" s="1"/>
  <c r="L317" i="4" s="1"/>
  <c r="F318" i="4" a="1"/>
  <c r="F318" i="4" s="1"/>
  <c r="L318" i="4" s="1"/>
  <c r="F319" i="4" a="1"/>
  <c r="F319" i="4" s="1"/>
  <c r="L319" i="4" s="1"/>
  <c r="F320" i="4" a="1"/>
  <c r="F320" i="4" s="1"/>
  <c r="L320" i="4" s="1"/>
  <c r="F321" i="4" a="1"/>
  <c r="F321" i="4" s="1"/>
  <c r="L321" i="4" s="1"/>
  <c r="F322" i="4" a="1"/>
  <c r="F322" i="4" s="1"/>
  <c r="L322" i="4" s="1"/>
  <c r="F323" i="4" a="1"/>
  <c r="F323" i="4" s="1"/>
  <c r="L323" i="4" s="1"/>
  <c r="F324" i="4" a="1"/>
  <c r="F324" i="4" s="1"/>
  <c r="L324" i="4" s="1"/>
  <c r="F325" i="4" a="1"/>
  <c r="F325" i="4" s="1"/>
  <c r="L325" i="4" s="1"/>
  <c r="F326" i="4" a="1"/>
  <c r="F326" i="4" s="1"/>
  <c r="L326" i="4" s="1"/>
  <c r="F327" i="4" a="1"/>
  <c r="F327" i="4" s="1"/>
  <c r="L327" i="4" s="1"/>
  <c r="F328" i="4" a="1"/>
  <c r="F328" i="4" s="1"/>
  <c r="L328" i="4" s="1"/>
  <c r="F329" i="4" a="1"/>
  <c r="F329" i="4" s="1"/>
  <c r="L329" i="4" s="1"/>
  <c r="F330" i="4" a="1"/>
  <c r="F330" i="4" s="1"/>
  <c r="L330" i="4" s="1"/>
  <c r="F331" i="4" a="1"/>
  <c r="F331" i="4" s="1"/>
  <c r="L331" i="4" s="1"/>
  <c r="F332" i="4" a="1"/>
  <c r="F332" i="4" s="1"/>
  <c r="L332" i="4" s="1"/>
  <c r="F333" i="4" a="1"/>
  <c r="F333" i="4" s="1"/>
  <c r="L333" i="4" s="1"/>
  <c r="F334" i="4" a="1"/>
  <c r="F334" i="4"/>
  <c r="L334" i="4" s="1"/>
  <c r="F335" i="4" a="1"/>
  <c r="F335" i="4" s="1"/>
  <c r="L335" i="4" s="1"/>
  <c r="F336" i="4" a="1"/>
  <c r="F336" i="4" s="1"/>
  <c r="L336" i="4" s="1"/>
  <c r="F337" i="4" a="1"/>
  <c r="F337" i="4" s="1"/>
  <c r="L337" i="4" s="1"/>
  <c r="F338" i="4" a="1"/>
  <c r="F338" i="4" s="1"/>
  <c r="L338" i="4" s="1"/>
  <c r="F339" i="4" a="1"/>
  <c r="F339" i="4" s="1"/>
  <c r="L339" i="4" s="1"/>
  <c r="F340" i="4" a="1"/>
  <c r="F340" i="4" s="1"/>
  <c r="L340" i="4" s="1"/>
  <c r="F341" i="4" a="1"/>
  <c r="F341" i="4" s="1"/>
  <c r="L341" i="4" s="1"/>
  <c r="F342" i="4" a="1"/>
  <c r="F342" i="4" s="1"/>
  <c r="L342" i="4" s="1"/>
  <c r="F343" i="4" a="1"/>
  <c r="F343" i="4" s="1"/>
  <c r="L343" i="4" s="1"/>
  <c r="F344" i="4" a="1"/>
  <c r="F344" i="4" s="1"/>
  <c r="L344" i="4" s="1"/>
  <c r="F345" i="4" a="1"/>
  <c r="F345" i="4" s="1"/>
  <c r="L345" i="4" s="1"/>
  <c r="F346" i="4" a="1"/>
  <c r="F346" i="4" s="1"/>
  <c r="L346" i="4" s="1"/>
  <c r="F347" i="4" a="1"/>
  <c r="F347" i="4" s="1"/>
  <c r="L347" i="4" s="1"/>
  <c r="F348" i="4" a="1"/>
  <c r="F348" i="4" s="1"/>
  <c r="L348" i="4" s="1"/>
  <c r="F349" i="4" a="1"/>
  <c r="F349" i="4" s="1"/>
  <c r="L349" i="4" s="1"/>
  <c r="F350" i="4" a="1"/>
  <c r="F350" i="4" s="1"/>
  <c r="L350" i="4" s="1"/>
  <c r="F351" i="4" a="1"/>
  <c r="F351" i="4" s="1"/>
  <c r="L351" i="4" s="1"/>
  <c r="F352" i="4" a="1"/>
  <c r="F352" i="4" s="1"/>
  <c r="L352" i="4" s="1"/>
  <c r="F353" i="4" a="1"/>
  <c r="F353" i="4" s="1"/>
  <c r="L353" i="4" s="1"/>
  <c r="F354" i="4" a="1"/>
  <c r="F354" i="4" s="1"/>
  <c r="L354" i="4" s="1"/>
  <c r="F355" i="4" a="1"/>
  <c r="F355" i="4" s="1"/>
  <c r="L355" i="4" s="1"/>
  <c r="F356" i="4" a="1"/>
  <c r="F356" i="4" s="1"/>
  <c r="L356" i="4" s="1"/>
  <c r="F357" i="4" a="1"/>
  <c r="F357" i="4" s="1"/>
  <c r="L357" i="4" s="1"/>
  <c r="F358" i="4" a="1"/>
  <c r="F358" i="4" s="1"/>
  <c r="L358" i="4" s="1"/>
  <c r="F359" i="4" a="1"/>
  <c r="F359" i="4" s="1"/>
  <c r="L359" i="4" s="1"/>
  <c r="F360" i="4" a="1"/>
  <c r="F360" i="4" s="1"/>
  <c r="L360" i="4" s="1"/>
  <c r="F361" i="4" a="1"/>
  <c r="F361" i="4" s="1"/>
  <c r="F362" i="4" a="1"/>
  <c r="F362" i="4" s="1"/>
  <c r="L362" i="4" s="1"/>
  <c r="F363" i="4" a="1"/>
  <c r="F363" i="4" s="1"/>
  <c r="L363" i="4" s="1"/>
  <c r="F364" i="4" a="1"/>
  <c r="F364" i="4" s="1"/>
  <c r="L364" i="4" s="1"/>
  <c r="F365" i="4" a="1"/>
  <c r="F365" i="4" s="1"/>
  <c r="L365" i="4" s="1"/>
  <c r="F366" i="4" a="1"/>
  <c r="F366" i="4" s="1"/>
  <c r="L366" i="4" s="1"/>
  <c r="F367" i="4" a="1"/>
  <c r="F367" i="4" s="1"/>
  <c r="L367" i="4" s="1"/>
  <c r="F368" i="4" a="1"/>
  <c r="F368" i="4" s="1"/>
  <c r="L368" i="4" s="1"/>
  <c r="F369" i="4" a="1"/>
  <c r="F369" i="4" s="1"/>
  <c r="L369" i="4" s="1"/>
  <c r="F370" i="4" a="1"/>
  <c r="F370" i="4" s="1"/>
  <c r="L370" i="4" s="1"/>
  <c r="F371" i="4" a="1"/>
  <c r="F371" i="4" s="1"/>
  <c r="L371" i="4" s="1"/>
  <c r="F372" i="4" a="1"/>
  <c r="F372" i="4" s="1"/>
  <c r="L372" i="4" s="1"/>
  <c r="F373" i="4" a="1"/>
  <c r="F373" i="4" s="1"/>
  <c r="L373" i="4" s="1"/>
  <c r="F374" i="4" a="1"/>
  <c r="F374" i="4" s="1"/>
  <c r="L374" i="4" s="1"/>
  <c r="F375" i="4" a="1"/>
  <c r="F375" i="4"/>
  <c r="L375" i="4" s="1"/>
  <c r="F376" i="4" a="1"/>
  <c r="F376" i="4" s="1"/>
  <c r="L376" i="4" s="1"/>
  <c r="F377" i="4" a="1"/>
  <c r="F377" i="4" s="1"/>
  <c r="L377" i="4" s="1"/>
  <c r="F378" i="4" a="1"/>
  <c r="F378" i="4" s="1"/>
  <c r="L378" i="4" s="1"/>
  <c r="F379" i="4" a="1"/>
  <c r="F379" i="4" s="1"/>
  <c r="L379" i="4" s="1"/>
  <c r="F380" i="4" a="1"/>
  <c r="F380" i="4" s="1"/>
  <c r="L380" i="4" s="1"/>
  <c r="F381" i="4" a="1"/>
  <c r="F381" i="4" s="1"/>
  <c r="L381" i="4" s="1"/>
  <c r="F382" i="4" a="1"/>
  <c r="F382" i="4" s="1"/>
  <c r="L382" i="4" s="1"/>
  <c r="F383" i="4" a="1"/>
  <c r="F383" i="4" s="1"/>
  <c r="L383" i="4" s="1"/>
  <c r="F384" i="4" a="1"/>
  <c r="F384" i="4" s="1"/>
  <c r="L384" i="4" s="1"/>
  <c r="F385" i="4" a="1"/>
  <c r="F385" i="4" s="1"/>
  <c r="L385" i="4" s="1"/>
  <c r="F386" i="4" a="1"/>
  <c r="F386" i="4" s="1"/>
  <c r="L386" i="4" s="1"/>
  <c r="F387" i="4" a="1"/>
  <c r="F387" i="4" s="1"/>
  <c r="L387" i="4" s="1"/>
  <c r="F388" i="4" a="1"/>
  <c r="F388" i="4" s="1"/>
  <c r="L388" i="4" s="1"/>
  <c r="F389" i="4" a="1"/>
  <c r="F389" i="4" s="1"/>
  <c r="L389" i="4" s="1"/>
  <c r="F390" i="4" a="1"/>
  <c r="F390" i="4" s="1"/>
  <c r="L390" i="4" s="1"/>
  <c r="F391" i="4" a="1"/>
  <c r="F391" i="4" s="1"/>
  <c r="L391" i="4" s="1"/>
  <c r="F392" i="4" a="1"/>
  <c r="F392" i="4" s="1"/>
  <c r="L392" i="4" s="1"/>
  <c r="F393" i="4" a="1"/>
  <c r="F393" i="4" s="1"/>
  <c r="L393" i="4" s="1"/>
  <c r="F394" i="4" a="1"/>
  <c r="F394" i="4" s="1"/>
  <c r="L394" i="4" s="1"/>
  <c r="F395" i="4" a="1"/>
  <c r="F395" i="4" s="1"/>
  <c r="L395" i="4" s="1"/>
  <c r="F396" i="4" a="1"/>
  <c r="F396" i="4" s="1"/>
  <c r="L396" i="4" s="1"/>
  <c r="F397" i="4" a="1"/>
  <c r="F397" i="4" s="1"/>
  <c r="L397" i="4" s="1"/>
  <c r="F398" i="4" a="1"/>
  <c r="F398" i="4" s="1"/>
  <c r="L398" i="4" s="1"/>
  <c r="F399" i="4" a="1"/>
  <c r="F399" i="4" s="1"/>
  <c r="L399" i="4" s="1"/>
  <c r="F400" i="4" a="1"/>
  <c r="F400" i="4" s="1"/>
  <c r="L400" i="4" s="1"/>
  <c r="F401" i="4" a="1"/>
  <c r="F401" i="4" s="1"/>
  <c r="L401" i="4" s="1"/>
  <c r="F402" i="4" a="1"/>
  <c r="F402" i="4" s="1"/>
  <c r="L402" i="4" s="1"/>
  <c r="F403" i="4" a="1"/>
  <c r="F403" i="4" s="1"/>
  <c r="L403" i="4" s="1"/>
  <c r="F404" i="4" a="1"/>
  <c r="F404" i="4" s="1"/>
  <c r="L404" i="4" s="1"/>
  <c r="F405" i="4" a="1"/>
  <c r="F405" i="4" s="1"/>
  <c r="L405" i="4" s="1"/>
  <c r="F406" i="4" a="1"/>
  <c r="F406" i="4"/>
  <c r="L406" i="4" s="1"/>
  <c r="F407" i="4" a="1"/>
  <c r="F407" i="4" s="1"/>
  <c r="L407" i="4" s="1"/>
  <c r="F408" i="4" a="1"/>
  <c r="F408" i="4" s="1"/>
  <c r="L408" i="4" s="1"/>
  <c r="F409" i="4" a="1"/>
  <c r="F409" i="4" s="1"/>
  <c r="L409" i="4" s="1"/>
  <c r="F410" i="4" a="1"/>
  <c r="F410" i="4" s="1"/>
  <c r="L410" i="4" s="1"/>
  <c r="F411" i="4" a="1"/>
  <c r="F411" i="4" s="1"/>
  <c r="L411" i="4" s="1"/>
  <c r="F412" i="4" a="1"/>
  <c r="F412" i="4" s="1"/>
  <c r="L412" i="4" s="1"/>
  <c r="F413" i="4" a="1"/>
  <c r="F413" i="4" s="1"/>
  <c r="L413" i="4" s="1"/>
  <c r="F414" i="4" a="1"/>
  <c r="F414" i="4" s="1"/>
  <c r="L414" i="4" s="1"/>
  <c r="F415" i="4" a="1"/>
  <c r="F415" i="4" s="1"/>
  <c r="L415" i="4" s="1"/>
  <c r="F416" i="4" a="1"/>
  <c r="F416" i="4" s="1"/>
  <c r="L416" i="4" s="1"/>
  <c r="F417" i="4" a="1"/>
  <c r="F417" i="4" s="1"/>
  <c r="L417" i="4" s="1"/>
  <c r="F418" i="4" a="1"/>
  <c r="F418" i="4" s="1"/>
  <c r="L418" i="4" s="1"/>
  <c r="F419" i="4" a="1"/>
  <c r="F419" i="4" s="1"/>
  <c r="L419" i="4" s="1"/>
  <c r="F420" i="4" a="1"/>
  <c r="F420" i="4" s="1"/>
  <c r="L420" i="4" s="1"/>
  <c r="F421" i="4" a="1"/>
  <c r="F421" i="4" s="1"/>
  <c r="L421" i="4" s="1"/>
  <c r="F422" i="4" a="1"/>
  <c r="F422" i="4" s="1"/>
  <c r="L422" i="4" s="1"/>
  <c r="F423" i="4" a="1"/>
  <c r="F423" i="4" s="1"/>
  <c r="L423" i="4" s="1"/>
  <c r="F424" i="4" a="1"/>
  <c r="F424" i="4" s="1"/>
  <c r="L424" i="4" s="1"/>
  <c r="F425" i="4" a="1"/>
  <c r="F425" i="4" s="1"/>
  <c r="L425" i="4" s="1"/>
  <c r="F426" i="4" a="1"/>
  <c r="F426" i="4" s="1"/>
  <c r="L426" i="4" s="1"/>
  <c r="F427" i="4" a="1"/>
  <c r="F427" i="4" s="1"/>
  <c r="L427" i="4" s="1"/>
  <c r="F428" i="4" a="1"/>
  <c r="F428" i="4" s="1"/>
  <c r="L428" i="4" s="1"/>
  <c r="F429" i="4" a="1"/>
  <c r="F429" i="4" s="1"/>
  <c r="L429" i="4" s="1"/>
  <c r="F430" i="4" a="1"/>
  <c r="F430" i="4" s="1"/>
  <c r="L430" i="4" s="1"/>
  <c r="F431" i="4" a="1"/>
  <c r="F431" i="4" s="1"/>
  <c r="L431" i="4" s="1"/>
  <c r="F432" i="4" a="1"/>
  <c r="F432" i="4" s="1"/>
  <c r="L432" i="4" s="1"/>
  <c r="F433" i="4" a="1"/>
  <c r="F433" i="4" s="1"/>
  <c r="L433" i="4" s="1"/>
  <c r="F434" i="4" a="1"/>
  <c r="F434" i="4" s="1"/>
  <c r="L434" i="4" s="1"/>
  <c r="F435" i="4" a="1"/>
  <c r="F435" i="4" s="1"/>
  <c r="L435" i="4" s="1"/>
  <c r="F436" i="4" a="1"/>
  <c r="F436" i="4" s="1"/>
  <c r="L436" i="4" s="1"/>
  <c r="F437" i="4" a="1"/>
  <c r="F437" i="4" s="1"/>
  <c r="L437" i="4" s="1"/>
  <c r="F438" i="4" a="1"/>
  <c r="F438" i="4" s="1"/>
  <c r="L438" i="4" s="1"/>
  <c r="F439" i="4" a="1"/>
  <c r="F439" i="4"/>
  <c r="L439" i="4" s="1"/>
  <c r="F440" i="4" a="1"/>
  <c r="F440" i="4" s="1"/>
  <c r="L440" i="4" s="1"/>
  <c r="F441" i="4" a="1"/>
  <c r="F441" i="4" s="1"/>
  <c r="L441" i="4" s="1"/>
  <c r="F442" i="4" a="1"/>
  <c r="F442" i="4" s="1"/>
  <c r="L442" i="4" s="1"/>
  <c r="F443" i="4" a="1"/>
  <c r="F443" i="4" s="1"/>
  <c r="L443" i="4" s="1"/>
  <c r="F444" i="4" a="1"/>
  <c r="F444" i="4" s="1"/>
  <c r="L444" i="4" s="1"/>
  <c r="F445" i="4" a="1"/>
  <c r="F445" i="4" s="1"/>
  <c r="L445" i="4" s="1"/>
  <c r="F446" i="4" a="1"/>
  <c r="F446" i="4" s="1"/>
  <c r="L446" i="4" s="1"/>
  <c r="F447" i="4" a="1"/>
  <c r="F447" i="4" s="1"/>
  <c r="L447" i="4" s="1"/>
  <c r="F448" i="4" a="1"/>
  <c r="F448" i="4"/>
  <c r="L448" i="4" s="1"/>
  <c r="F449" i="4" a="1"/>
  <c r="F449" i="4" s="1"/>
  <c r="L449" i="4" s="1"/>
  <c r="F450" i="4" a="1"/>
  <c r="F450" i="4" s="1"/>
  <c r="L450" i="4" s="1"/>
  <c r="F451" i="4" a="1"/>
  <c r="F451" i="4" s="1"/>
  <c r="L451" i="4" s="1"/>
  <c r="F452" i="4" a="1"/>
  <c r="F452" i="4" s="1"/>
  <c r="L452" i="4" s="1"/>
  <c r="F453" i="4" a="1"/>
  <c r="F453" i="4" s="1"/>
  <c r="L453" i="4" s="1"/>
  <c r="F454" i="4" a="1"/>
  <c r="F454" i="4" s="1"/>
  <c r="L454" i="4" s="1"/>
  <c r="F455" i="4" a="1"/>
  <c r="F455" i="4" s="1"/>
  <c r="L455" i="4" s="1"/>
  <c r="F456" i="4" a="1"/>
  <c r="F456" i="4" s="1"/>
  <c r="L456" i="4" s="1"/>
  <c r="F457" i="4" a="1"/>
  <c r="F457" i="4" s="1"/>
  <c r="L457" i="4" s="1"/>
  <c r="F458" i="4" a="1"/>
  <c r="F458" i="4" s="1"/>
  <c r="L458" i="4" s="1"/>
  <c r="F459" i="4" a="1"/>
  <c r="F459" i="4" s="1"/>
  <c r="L459" i="4" s="1"/>
  <c r="F460" i="4" a="1"/>
  <c r="F460" i="4" s="1"/>
  <c r="L460" i="4" s="1"/>
  <c r="F461" i="4" a="1"/>
  <c r="F461" i="4" s="1"/>
  <c r="L461" i="4" s="1"/>
  <c r="F462" i="4" a="1"/>
  <c r="F462" i="4" s="1"/>
  <c r="L462" i="4" s="1"/>
  <c r="F463" i="4" a="1"/>
  <c r="F463" i="4" s="1"/>
  <c r="L463" i="4" s="1"/>
  <c r="F464" i="4" a="1"/>
  <c r="F464" i="4" s="1"/>
  <c r="L464" i="4" s="1"/>
  <c r="F465" i="4" a="1"/>
  <c r="F465" i="4" s="1"/>
  <c r="L465" i="4" s="1"/>
  <c r="F466" i="4" a="1"/>
  <c r="F466" i="4" s="1"/>
  <c r="L466" i="4" s="1"/>
  <c r="F467" i="4" a="1"/>
  <c r="F467" i="4" s="1"/>
  <c r="L467" i="4" s="1"/>
  <c r="F468" i="4" a="1"/>
  <c r="F468" i="4" s="1"/>
  <c r="L468" i="4" s="1"/>
  <c r="F469" i="4" a="1"/>
  <c r="F469" i="4" s="1"/>
  <c r="L469" i="4" s="1"/>
  <c r="F470" i="4" a="1"/>
  <c r="F470" i="4" s="1"/>
  <c r="L470" i="4" s="1"/>
  <c r="F471" i="4" a="1"/>
  <c r="F471" i="4" s="1"/>
  <c r="L471" i="4" s="1"/>
  <c r="F472" i="4" a="1"/>
  <c r="F472" i="4" s="1"/>
  <c r="L472" i="4" s="1"/>
  <c r="F473" i="4" a="1"/>
  <c r="F473" i="4" s="1"/>
  <c r="L473" i="4" s="1"/>
  <c r="F474" i="4" a="1"/>
  <c r="F474" i="4" s="1"/>
  <c r="L474" i="4" s="1"/>
  <c r="F475" i="4" a="1"/>
  <c r="F475" i="4" s="1"/>
  <c r="L475" i="4" s="1"/>
  <c r="F476" i="4" a="1"/>
  <c r="F476" i="4" s="1"/>
  <c r="L476" i="4" s="1"/>
  <c r="F477" i="4" a="1"/>
  <c r="F477" i="4" s="1"/>
  <c r="L477" i="4" s="1"/>
  <c r="F478" i="4" a="1"/>
  <c r="F478" i="4" s="1"/>
  <c r="L478" i="4" s="1"/>
  <c r="F479" i="4" a="1"/>
  <c r="F479" i="4" s="1"/>
  <c r="L479" i="4" s="1"/>
  <c r="F480" i="4" a="1"/>
  <c r="F480" i="4" s="1"/>
  <c r="L480" i="4" s="1"/>
  <c r="F481" i="4" a="1"/>
  <c r="F481" i="4" s="1"/>
  <c r="L481" i="4" s="1"/>
  <c r="F482" i="4" a="1"/>
  <c r="F482" i="4" s="1"/>
  <c r="L482" i="4" s="1"/>
  <c r="F483" i="4" a="1"/>
  <c r="F483" i="4" s="1"/>
  <c r="L483" i="4" s="1"/>
  <c r="F484" i="4" a="1"/>
  <c r="F484" i="4" s="1"/>
  <c r="L484" i="4" s="1"/>
  <c r="F485" i="4" a="1"/>
  <c r="F485" i="4" s="1"/>
  <c r="L485" i="4" s="1"/>
  <c r="F486" i="4" a="1"/>
  <c r="F486" i="4"/>
  <c r="L486" i="4" s="1"/>
  <c r="F487" i="4" a="1"/>
  <c r="F487" i="4" s="1"/>
  <c r="L487" i="4" s="1"/>
  <c r="F488" i="4" a="1"/>
  <c r="F488" i="4" s="1"/>
  <c r="L488" i="4" s="1"/>
  <c r="F489" i="4" a="1"/>
  <c r="F489" i="4" s="1"/>
  <c r="L489" i="4" s="1"/>
  <c r="F490" i="4" a="1"/>
  <c r="F490" i="4" s="1"/>
  <c r="L490" i="4" s="1"/>
  <c r="F491" i="4" a="1"/>
  <c r="F491" i="4" s="1"/>
  <c r="L491" i="4" s="1"/>
  <c r="F492" i="4" a="1"/>
  <c r="F492" i="4" s="1"/>
  <c r="L492" i="4" s="1"/>
  <c r="F493" i="4" a="1"/>
  <c r="F493" i="4" s="1"/>
  <c r="L493" i="4" s="1"/>
  <c r="F494" i="4" a="1"/>
  <c r="F494" i="4" s="1"/>
  <c r="L494" i="4" s="1"/>
  <c r="F495" i="4" a="1"/>
  <c r="F495" i="4" s="1"/>
  <c r="L495" i="4" s="1"/>
  <c r="F496" i="4" a="1"/>
  <c r="F496" i="4" s="1"/>
  <c r="L496" i="4" s="1"/>
  <c r="F497" i="4" a="1"/>
  <c r="F497" i="4" s="1"/>
  <c r="L497" i="4" s="1"/>
  <c r="F498" i="4" a="1"/>
  <c r="F498" i="4" s="1"/>
  <c r="L498" i="4" s="1"/>
  <c r="F499" i="4" a="1"/>
  <c r="F499" i="4" s="1"/>
  <c r="L499" i="4" s="1"/>
  <c r="F500" i="4" a="1"/>
  <c r="F500" i="4" s="1"/>
  <c r="L500" i="4" s="1"/>
  <c r="F501" i="4" a="1"/>
  <c r="F501" i="4" s="1"/>
  <c r="L501" i="4" s="1"/>
  <c r="F502" i="4" a="1"/>
  <c r="F502" i="4" s="1"/>
  <c r="L502" i="4" s="1"/>
  <c r="F503" i="4" a="1"/>
  <c r="F503" i="4" s="1"/>
  <c r="L503" i="4" s="1"/>
  <c r="F504" i="4" a="1"/>
  <c r="F504" i="4" s="1"/>
  <c r="L504" i="4" s="1"/>
  <c r="F505" i="4" a="1"/>
  <c r="F505" i="4" s="1"/>
  <c r="L505" i="4" s="1"/>
  <c r="F506" i="4" a="1"/>
  <c r="F506" i="4" s="1"/>
  <c r="L506" i="4" s="1"/>
  <c r="F507" i="4" a="1"/>
  <c r="F507" i="4" s="1"/>
  <c r="L507" i="4" s="1"/>
  <c r="F508" i="4" a="1"/>
  <c r="F508" i="4" s="1"/>
  <c r="L508" i="4" s="1"/>
  <c r="F509" i="4" a="1"/>
  <c r="F509" i="4" s="1"/>
  <c r="L509" i="4" s="1"/>
  <c r="F510" i="4" a="1"/>
  <c r="F510" i="4" s="1"/>
  <c r="L510" i="4" s="1"/>
  <c r="F511" i="4" a="1"/>
  <c r="F511" i="4" s="1"/>
  <c r="L511" i="4" s="1"/>
  <c r="F512" i="4" a="1"/>
  <c r="F512" i="4" s="1"/>
  <c r="L512" i="4" s="1"/>
  <c r="F513" i="4" a="1"/>
  <c r="F513" i="4" s="1"/>
  <c r="L513" i="4" s="1"/>
  <c r="F514" i="4" a="1"/>
  <c r="F514" i="4"/>
  <c r="L514" i="4" s="1"/>
  <c r="F515" i="4" a="1"/>
  <c r="F515" i="4" s="1"/>
  <c r="L515" i="4" s="1"/>
  <c r="F516" i="4" a="1"/>
  <c r="F516" i="4" s="1"/>
  <c r="L516" i="4" s="1"/>
  <c r="F517" i="4" a="1"/>
  <c r="F517" i="4"/>
  <c r="L517" i="4" s="1"/>
  <c r="F518" i="4" a="1"/>
  <c r="F518" i="4" s="1"/>
  <c r="L518" i="4" s="1"/>
  <c r="F519" i="4" a="1"/>
  <c r="F519" i="4" s="1"/>
  <c r="L519" i="4" s="1"/>
  <c r="F520" i="4" a="1"/>
  <c r="F520" i="4" s="1"/>
  <c r="L520" i="4" s="1"/>
  <c r="F521" i="4" a="1"/>
  <c r="F521" i="4" s="1"/>
  <c r="L521" i="4" s="1"/>
  <c r="F522" i="4" a="1"/>
  <c r="F522" i="4" s="1"/>
  <c r="L522" i="4" s="1"/>
  <c r="F523" i="4" a="1"/>
  <c r="F523" i="4" s="1"/>
  <c r="L523" i="4" s="1"/>
  <c r="F524" i="4" a="1"/>
  <c r="F524" i="4" s="1"/>
  <c r="L524" i="4" s="1"/>
  <c r="F525" i="4" a="1"/>
  <c r="F525" i="4" s="1"/>
  <c r="L525" i="4" s="1"/>
  <c r="F526" i="4" a="1"/>
  <c r="F526" i="4" s="1"/>
  <c r="L526" i="4" s="1"/>
  <c r="F527" i="4" a="1"/>
  <c r="F527" i="4" s="1"/>
  <c r="L527" i="4" s="1"/>
  <c r="F528" i="4" a="1"/>
  <c r="F528" i="4" s="1"/>
  <c r="L528" i="4" s="1"/>
  <c r="F529" i="4" a="1"/>
  <c r="F529" i="4" s="1"/>
  <c r="L529" i="4" s="1"/>
  <c r="F530" i="4" a="1"/>
  <c r="F530" i="4" s="1"/>
  <c r="L530" i="4" s="1"/>
  <c r="F531" i="4" a="1"/>
  <c r="F531" i="4" s="1"/>
  <c r="L531" i="4" s="1"/>
  <c r="F532" i="4" a="1"/>
  <c r="F532" i="4" s="1"/>
  <c r="L532" i="4" s="1"/>
  <c r="F533" i="4" a="1"/>
  <c r="F533" i="4" s="1"/>
  <c r="L533" i="4" s="1"/>
  <c r="F534" i="4" a="1"/>
  <c r="F534" i="4" s="1"/>
  <c r="L534" i="4" s="1"/>
  <c r="F535" i="4" a="1"/>
  <c r="F535" i="4" s="1"/>
  <c r="L535" i="4" s="1"/>
  <c r="F536" i="4" a="1"/>
  <c r="F536" i="4" s="1"/>
  <c r="L536" i="4" s="1"/>
  <c r="F537" i="4" a="1"/>
  <c r="F537" i="4" s="1"/>
  <c r="L537" i="4" s="1"/>
  <c r="F538" i="4" a="1"/>
  <c r="F538" i="4" s="1"/>
  <c r="L538" i="4" s="1"/>
  <c r="F539" i="4" a="1"/>
  <c r="F539" i="4" s="1"/>
  <c r="L539" i="4" s="1"/>
  <c r="F540" i="4" a="1"/>
  <c r="F540" i="4" s="1"/>
  <c r="L540" i="4" s="1"/>
  <c r="F541" i="4" a="1"/>
  <c r="F541" i="4" s="1"/>
  <c r="L541" i="4" s="1"/>
  <c r="F542" i="4" a="1"/>
  <c r="F542" i="4" s="1"/>
  <c r="L542" i="4" s="1"/>
  <c r="F543" i="4" a="1"/>
  <c r="F543" i="4" s="1"/>
  <c r="L543" i="4" s="1"/>
  <c r="F544" i="4" a="1"/>
  <c r="F544" i="4" s="1"/>
  <c r="L544" i="4" s="1"/>
  <c r="F545" i="4" a="1"/>
  <c r="F545" i="4" s="1"/>
  <c r="L545" i="4" s="1"/>
  <c r="F546" i="4" a="1"/>
  <c r="F546" i="4" s="1"/>
  <c r="L546" i="4" s="1"/>
  <c r="F547" i="4" a="1"/>
  <c r="F547" i="4" s="1"/>
  <c r="L547" i="4" s="1"/>
  <c r="F548" i="4" a="1"/>
  <c r="F548" i="4" s="1"/>
  <c r="L548" i="4" s="1"/>
  <c r="F549" i="4" a="1"/>
  <c r="F549" i="4" s="1"/>
  <c r="L549" i="4" s="1"/>
  <c r="F550" i="4" a="1"/>
  <c r="F550" i="4" s="1"/>
  <c r="L550" i="4" s="1"/>
  <c r="F551" i="4" a="1"/>
  <c r="F551" i="4" s="1"/>
  <c r="L551" i="4" s="1"/>
  <c r="F552" i="4" a="1"/>
  <c r="F552" i="4" s="1"/>
  <c r="L552" i="4" s="1"/>
  <c r="F553" i="4" a="1"/>
  <c r="F553" i="4" s="1"/>
  <c r="L553" i="4" s="1"/>
  <c r="F554" i="4" a="1"/>
  <c r="F554" i="4" s="1"/>
  <c r="L554" i="4" s="1"/>
  <c r="F555" i="4" a="1"/>
  <c r="F555" i="4" s="1"/>
  <c r="L555" i="4" s="1"/>
  <c r="F556" i="4" a="1"/>
  <c r="F556" i="4" s="1"/>
  <c r="L556" i="4" s="1"/>
  <c r="F557" i="4" a="1"/>
  <c r="F557" i="4" s="1"/>
  <c r="L557" i="4" s="1"/>
  <c r="F558" i="4" a="1"/>
  <c r="F558" i="4" s="1"/>
  <c r="L558" i="4" s="1"/>
  <c r="F559" i="4" a="1"/>
  <c r="F559" i="4" s="1"/>
  <c r="L559" i="4" s="1"/>
  <c r="F560" i="4" a="1"/>
  <c r="F560" i="4" s="1"/>
  <c r="L560" i="4" s="1"/>
  <c r="F561" i="4" a="1"/>
  <c r="F561" i="4" s="1"/>
  <c r="L561" i="4" s="1"/>
  <c r="F562" i="4" a="1"/>
  <c r="F562" i="4" s="1"/>
  <c r="L562" i="4" s="1"/>
  <c r="F563" i="4" a="1"/>
  <c r="F563" i="4" s="1"/>
  <c r="L563" i="4" s="1"/>
  <c r="F564" i="4" a="1"/>
  <c r="F564" i="4" s="1"/>
  <c r="L564" i="4" s="1"/>
  <c r="F565" i="4" a="1"/>
  <c r="F565" i="4" s="1"/>
  <c r="L565" i="4" s="1"/>
  <c r="F566" i="4" a="1"/>
  <c r="F566" i="4" s="1"/>
  <c r="L566" i="4" s="1"/>
  <c r="F567" i="4" a="1"/>
  <c r="F567" i="4" s="1"/>
  <c r="L567" i="4" s="1"/>
  <c r="F568" i="4" a="1"/>
  <c r="F568" i="4" s="1"/>
  <c r="L568" i="4" s="1"/>
  <c r="F569" i="4" a="1"/>
  <c r="F569" i="4" s="1"/>
  <c r="L569" i="4" s="1"/>
  <c r="F570" i="4" a="1"/>
  <c r="F570" i="4" s="1"/>
  <c r="L570" i="4" s="1"/>
  <c r="F571" i="4" a="1"/>
  <c r="F571" i="4" s="1"/>
  <c r="L571" i="4" s="1"/>
  <c r="F572" i="4" a="1"/>
  <c r="F572" i="4" s="1"/>
  <c r="L572" i="4" s="1"/>
  <c r="F573" i="4" a="1"/>
  <c r="F573" i="4" s="1"/>
  <c r="L573" i="4" s="1"/>
  <c r="F574" i="4" a="1"/>
  <c r="F574" i="4" s="1"/>
  <c r="L574" i="4" s="1"/>
  <c r="F575" i="4" a="1"/>
  <c r="F575" i="4" s="1"/>
  <c r="L575" i="4" s="1"/>
  <c r="F576" i="4" a="1"/>
  <c r="F576" i="4" s="1"/>
  <c r="L576" i="4" s="1"/>
  <c r="F577" i="4" a="1"/>
  <c r="F577" i="4" s="1"/>
  <c r="L577" i="4" s="1"/>
  <c r="F578" i="4" a="1"/>
  <c r="F578" i="4" s="1"/>
  <c r="L578" i="4" s="1"/>
  <c r="F579" i="4" a="1"/>
  <c r="F579" i="4" s="1"/>
  <c r="L579" i="4" s="1"/>
  <c r="F580" i="4" a="1"/>
  <c r="F580" i="4" s="1"/>
  <c r="L580" i="4" s="1"/>
  <c r="F581" i="4" a="1"/>
  <c r="F581" i="4" s="1"/>
  <c r="L581" i="4" s="1"/>
  <c r="F582" i="4" a="1"/>
  <c r="F582" i="4" s="1"/>
  <c r="L582" i="4" s="1"/>
  <c r="F583" i="4" a="1"/>
  <c r="F583" i="4" s="1"/>
  <c r="L583" i="4" s="1"/>
  <c r="F584" i="4" a="1"/>
  <c r="F584" i="4" s="1"/>
  <c r="L584" i="4" s="1"/>
  <c r="F585" i="4" a="1"/>
  <c r="F585" i="4" s="1"/>
  <c r="L585" i="4" s="1"/>
  <c r="F586" i="4" a="1"/>
  <c r="F586" i="4" s="1"/>
  <c r="L586" i="4" s="1"/>
  <c r="F587" i="4" a="1"/>
  <c r="F587" i="4" s="1"/>
  <c r="L587" i="4" s="1"/>
  <c r="F588" i="4" a="1"/>
  <c r="F588" i="4" s="1"/>
  <c r="L588" i="4" s="1"/>
  <c r="F589" i="4" a="1"/>
  <c r="F589" i="4" s="1"/>
  <c r="L589" i="4" s="1"/>
  <c r="F590" i="4" a="1"/>
  <c r="F590" i="4" s="1"/>
  <c r="L590" i="4" s="1"/>
  <c r="F591" i="4" a="1"/>
  <c r="F591" i="4" s="1"/>
  <c r="L591" i="4" s="1"/>
  <c r="F592" i="4" a="1"/>
  <c r="F592" i="4" s="1"/>
  <c r="L592" i="4" s="1"/>
  <c r="F593" i="4" a="1"/>
  <c r="F593" i="4" s="1"/>
  <c r="L593" i="4" s="1"/>
  <c r="F594" i="4" a="1"/>
  <c r="F594" i="4" s="1"/>
  <c r="L594" i="4" s="1"/>
  <c r="F595" i="4" a="1"/>
  <c r="F595" i="4" s="1"/>
  <c r="L595" i="4" s="1"/>
  <c r="F596" i="4" a="1"/>
  <c r="F596" i="4" s="1"/>
  <c r="L596" i="4" s="1"/>
  <c r="F597" i="4" a="1"/>
  <c r="F597" i="4" s="1"/>
  <c r="L597" i="4" s="1"/>
  <c r="F598" i="4" a="1"/>
  <c r="F598" i="4" s="1"/>
  <c r="L598" i="4" s="1"/>
  <c r="F599" i="4" a="1"/>
  <c r="F599" i="4" s="1"/>
  <c r="L599" i="4" s="1"/>
  <c r="F600" i="4" a="1"/>
  <c r="F600" i="4" s="1"/>
  <c r="L600" i="4" s="1"/>
  <c r="F601" i="4" a="1"/>
  <c r="F601" i="4" s="1"/>
  <c r="L601" i="4" s="1"/>
  <c r="F602" i="4" a="1"/>
  <c r="F602" i="4" s="1"/>
  <c r="L602" i="4" s="1"/>
  <c r="F603" i="4" a="1"/>
  <c r="F603" i="4" s="1"/>
  <c r="L603" i="4" s="1"/>
  <c r="F604" i="4" a="1"/>
  <c r="F604" i="4" s="1"/>
  <c r="L604" i="4" s="1"/>
  <c r="F605" i="4" a="1"/>
  <c r="F605" i="4" s="1"/>
  <c r="L605" i="4" s="1"/>
  <c r="F606" i="4" a="1"/>
  <c r="F606" i="4" s="1"/>
  <c r="L606" i="4" s="1"/>
  <c r="F607" i="4" a="1"/>
  <c r="F607" i="4" s="1"/>
  <c r="L607" i="4" s="1"/>
  <c r="F608" i="4" a="1"/>
  <c r="F608" i="4" s="1"/>
  <c r="L608" i="4" s="1"/>
  <c r="F609" i="4" a="1"/>
  <c r="F609" i="4" s="1"/>
  <c r="L609" i="4" s="1"/>
  <c r="F610" i="4" a="1"/>
  <c r="F610" i="4" s="1"/>
  <c r="L610" i="4" s="1"/>
  <c r="F611" i="4" a="1"/>
  <c r="F611" i="4" s="1"/>
  <c r="L611" i="4" s="1"/>
  <c r="F612" i="4" a="1"/>
  <c r="F612" i="4" s="1"/>
  <c r="L612" i="4" s="1"/>
  <c r="F613" i="4" a="1"/>
  <c r="F613" i="4" s="1"/>
  <c r="L613" i="4" s="1"/>
  <c r="F614" i="4" a="1"/>
  <c r="F614" i="4" s="1"/>
  <c r="L614" i="4" s="1"/>
  <c r="F615" i="4" a="1"/>
  <c r="F615" i="4" s="1"/>
  <c r="L615" i="4" s="1"/>
  <c r="F616" i="4" a="1"/>
  <c r="F616" i="4" s="1"/>
  <c r="L616" i="4" s="1"/>
  <c r="F617" i="4" a="1"/>
  <c r="F617" i="4" s="1"/>
  <c r="L617" i="4" s="1"/>
  <c r="F618" i="4" a="1"/>
  <c r="F618" i="4" s="1"/>
  <c r="L618" i="4" s="1"/>
  <c r="F619" i="4" a="1"/>
  <c r="F619" i="4" s="1"/>
  <c r="L619" i="4" s="1"/>
  <c r="F620" i="4" a="1"/>
  <c r="F620" i="4" s="1"/>
  <c r="L620" i="4" s="1"/>
  <c r="F621" i="4" a="1"/>
  <c r="F621" i="4" s="1"/>
  <c r="L621" i="4" s="1"/>
  <c r="F622" i="4" a="1"/>
  <c r="F622" i="4" s="1"/>
  <c r="L622" i="4" s="1"/>
  <c r="F623" i="4" a="1"/>
  <c r="F623" i="4" s="1"/>
  <c r="L623" i="4" s="1"/>
  <c r="F624" i="4" a="1"/>
  <c r="F624" i="4" s="1"/>
  <c r="L624" i="4" s="1"/>
  <c r="F625" i="4" a="1"/>
  <c r="F625" i="4" s="1"/>
  <c r="L625" i="4" s="1"/>
  <c r="F626" i="4" a="1"/>
  <c r="F626" i="4" s="1"/>
  <c r="L626" i="4" s="1"/>
  <c r="F627" i="4" a="1"/>
  <c r="F627" i="4" s="1"/>
  <c r="L627" i="4" s="1"/>
  <c r="F628" i="4" a="1"/>
  <c r="F628" i="4" s="1"/>
  <c r="L628" i="4" s="1"/>
  <c r="F629" i="4" a="1"/>
  <c r="F629" i="4" s="1"/>
  <c r="L629" i="4" s="1"/>
  <c r="F630" i="4" a="1"/>
  <c r="F630" i="4" s="1"/>
  <c r="L630" i="4" s="1"/>
  <c r="F631" i="4" a="1"/>
  <c r="F631" i="4" s="1"/>
  <c r="L631" i="4" s="1"/>
  <c r="F632" i="4" a="1"/>
  <c r="F632" i="4" s="1"/>
  <c r="L632" i="4" s="1"/>
  <c r="F633" i="4" a="1"/>
  <c r="F633" i="4" s="1"/>
  <c r="L633" i="4" s="1"/>
  <c r="F634" i="4" a="1"/>
  <c r="F634" i="4" s="1"/>
  <c r="L634" i="4" s="1"/>
  <c r="F635" i="4" a="1"/>
  <c r="F635" i="4" s="1"/>
  <c r="L635" i="4" s="1"/>
  <c r="F636" i="4" a="1"/>
  <c r="F636" i="4" s="1"/>
  <c r="L636" i="4" s="1"/>
  <c r="F637" i="4" a="1"/>
  <c r="F637" i="4" s="1"/>
  <c r="L637" i="4" s="1"/>
  <c r="F638" i="4" a="1"/>
  <c r="F638" i="4" s="1"/>
  <c r="L638" i="4" s="1"/>
  <c r="F639" i="4" a="1"/>
  <c r="F639" i="4" s="1"/>
  <c r="L639" i="4" s="1"/>
  <c r="F640" i="4" a="1"/>
  <c r="F640" i="4" s="1"/>
  <c r="L640" i="4" s="1"/>
  <c r="F641" i="4" a="1"/>
  <c r="F641" i="4" s="1"/>
  <c r="L641" i="4" s="1"/>
  <c r="F642" i="4" a="1"/>
  <c r="F642" i="4" s="1"/>
  <c r="L642" i="4" s="1"/>
  <c r="F643" i="4" a="1"/>
  <c r="F643" i="4" s="1"/>
  <c r="L643" i="4" s="1"/>
  <c r="F644" i="4" a="1"/>
  <c r="F644" i="4" s="1"/>
  <c r="L644" i="4" s="1"/>
  <c r="F645" i="4" a="1"/>
  <c r="F645" i="4" s="1"/>
  <c r="L645" i="4" s="1"/>
  <c r="F646" i="4" a="1"/>
  <c r="F646" i="4" s="1"/>
  <c r="L646" i="4" s="1"/>
  <c r="F647" i="4" a="1"/>
  <c r="F647" i="4" s="1"/>
  <c r="L647" i="4" s="1"/>
  <c r="F648" i="4" a="1"/>
  <c r="F648" i="4" s="1"/>
  <c r="L648" i="4" s="1"/>
  <c r="F649" i="4" a="1"/>
  <c r="F649" i="4" s="1"/>
  <c r="L649" i="4" s="1"/>
  <c r="F650" i="4" a="1"/>
  <c r="F650" i="4" s="1"/>
  <c r="L650" i="4" s="1"/>
  <c r="F651" i="4" a="1"/>
  <c r="F651" i="4" s="1"/>
  <c r="L651" i="4" s="1"/>
  <c r="F652" i="4" a="1"/>
  <c r="F652" i="4" s="1"/>
  <c r="L652" i="4" s="1"/>
  <c r="F653" i="4" a="1"/>
  <c r="F653" i="4" s="1"/>
  <c r="L653" i="4" s="1"/>
  <c r="F654" i="4" a="1"/>
  <c r="F654" i="4" s="1"/>
  <c r="L654" i="4" s="1"/>
  <c r="F655" i="4" a="1"/>
  <c r="F655" i="4" s="1"/>
  <c r="L655" i="4" s="1"/>
  <c r="F656" i="4" a="1"/>
  <c r="F656" i="4" s="1"/>
  <c r="L656" i="4" s="1"/>
  <c r="F657" i="4" a="1"/>
  <c r="F657" i="4" s="1"/>
  <c r="L657" i="4" s="1"/>
  <c r="F658" i="4" a="1"/>
  <c r="F658" i="4" s="1"/>
  <c r="L658" i="4" s="1"/>
  <c r="F659" i="4" a="1"/>
  <c r="F659" i="4" s="1"/>
  <c r="L659" i="4" s="1"/>
  <c r="F660" i="4" a="1"/>
  <c r="F660" i="4" s="1"/>
  <c r="L660" i="4" s="1"/>
  <c r="F661" i="4" a="1"/>
  <c r="F661" i="4" s="1"/>
  <c r="L661" i="4" s="1"/>
  <c r="F662" i="4" a="1"/>
  <c r="F662" i="4" s="1"/>
  <c r="L662" i="4" s="1"/>
  <c r="F663" i="4" a="1"/>
  <c r="F663" i="4" s="1"/>
  <c r="L663" i="4" s="1"/>
  <c r="F664" i="4" a="1"/>
  <c r="F664" i="4" s="1"/>
  <c r="L664" i="4" s="1"/>
  <c r="F665" i="4" a="1"/>
  <c r="F665" i="4" s="1"/>
  <c r="L665" i="4" s="1"/>
  <c r="F666" i="4" a="1"/>
  <c r="F666" i="4" s="1"/>
  <c r="L666" i="4" s="1"/>
  <c r="F667" i="4" a="1"/>
  <c r="F667" i="4" s="1"/>
  <c r="L667" i="4" s="1"/>
  <c r="F668" i="4" a="1"/>
  <c r="F668" i="4" s="1"/>
  <c r="L668" i="4" s="1"/>
  <c r="F669" i="4" a="1"/>
  <c r="F669" i="4" s="1"/>
  <c r="L669" i="4" s="1"/>
  <c r="F670" i="4" a="1"/>
  <c r="F670" i="4" s="1"/>
  <c r="L670" i="4" s="1"/>
  <c r="F671" i="4" a="1"/>
  <c r="F671" i="4" s="1"/>
  <c r="L671" i="4" s="1"/>
  <c r="F672" i="4" a="1"/>
  <c r="F672" i="4" s="1"/>
  <c r="L672" i="4" s="1"/>
  <c r="F673" i="4" a="1"/>
  <c r="F673" i="4" s="1"/>
  <c r="L673" i="4" s="1"/>
  <c r="F674" i="4" a="1"/>
  <c r="F674" i="4" s="1"/>
  <c r="L674" i="4" s="1"/>
  <c r="F675" i="4" a="1"/>
  <c r="F675" i="4" s="1"/>
  <c r="L675" i="4" s="1"/>
  <c r="F676" i="4" a="1"/>
  <c r="F676" i="4" s="1"/>
  <c r="L676" i="4" s="1"/>
  <c r="F677" i="4" a="1"/>
  <c r="F677" i="4" s="1"/>
  <c r="L677" i="4" s="1"/>
  <c r="F678" i="4" a="1"/>
  <c r="F678" i="4" s="1"/>
  <c r="L678" i="4" s="1"/>
  <c r="F679" i="4" a="1"/>
  <c r="F679" i="4" s="1"/>
  <c r="L679" i="4" s="1"/>
  <c r="F680" i="4" a="1"/>
  <c r="F680" i="4" s="1"/>
  <c r="L680" i="4" s="1"/>
  <c r="F681" i="4" a="1"/>
  <c r="F681" i="4" s="1"/>
  <c r="L681" i="4" s="1"/>
  <c r="F682" i="4" a="1"/>
  <c r="F682" i="4" s="1"/>
  <c r="L682" i="4" s="1"/>
  <c r="F683" i="4" a="1"/>
  <c r="F683" i="4" s="1"/>
  <c r="L683" i="4" s="1"/>
  <c r="F684" i="4" a="1"/>
  <c r="F684" i="4" s="1"/>
  <c r="L684" i="4" s="1"/>
  <c r="F685" i="4" a="1"/>
  <c r="F685" i="4" s="1"/>
  <c r="L685" i="4" s="1"/>
  <c r="F686" i="4" a="1"/>
  <c r="F686" i="4" s="1"/>
  <c r="L686" i="4" s="1"/>
  <c r="F687" i="4" a="1"/>
  <c r="F687" i="4" s="1"/>
  <c r="L687" i="4" s="1"/>
  <c r="F688" i="4" a="1"/>
  <c r="F688" i="4" s="1"/>
  <c r="L688" i="4" s="1"/>
  <c r="F689" i="4" a="1"/>
  <c r="F689" i="4" s="1"/>
  <c r="L689" i="4" s="1"/>
  <c r="F690" i="4" a="1"/>
  <c r="F690" i="4" s="1"/>
  <c r="L690" i="4" s="1"/>
  <c r="F691" i="4" a="1"/>
  <c r="F691" i="4" s="1"/>
  <c r="L691" i="4" s="1"/>
  <c r="F692" i="4" a="1"/>
  <c r="F692" i="4" s="1"/>
  <c r="L692" i="4" s="1"/>
  <c r="F693" i="4" a="1"/>
  <c r="F693" i="4" s="1"/>
  <c r="L693" i="4" s="1"/>
  <c r="F694" i="4" a="1"/>
  <c r="F694" i="4" s="1"/>
  <c r="L694" i="4" s="1"/>
  <c r="F695" i="4" a="1"/>
  <c r="F695" i="4" s="1"/>
  <c r="L695" i="4" s="1"/>
  <c r="F696" i="4" a="1"/>
  <c r="F696" i="4" s="1"/>
  <c r="L696" i="4" s="1"/>
  <c r="F697" i="4" a="1"/>
  <c r="F697" i="4" s="1"/>
  <c r="L697" i="4" s="1"/>
  <c r="F698" i="4" a="1"/>
  <c r="F698" i="4" s="1"/>
  <c r="L698" i="4" s="1"/>
  <c r="F699" i="4" a="1"/>
  <c r="F699" i="4" s="1"/>
  <c r="L699" i="4" s="1"/>
  <c r="F700" i="4" a="1"/>
  <c r="F700" i="4" s="1"/>
  <c r="L700" i="4" s="1"/>
  <c r="F701" i="4" a="1"/>
  <c r="F701" i="4" s="1"/>
  <c r="L701" i="4" s="1"/>
  <c r="F702" i="4" a="1"/>
  <c r="F702" i="4" s="1"/>
  <c r="L702" i="4" s="1"/>
  <c r="F703" i="4" a="1"/>
  <c r="F703" i="4" s="1"/>
  <c r="L703" i="4" s="1"/>
  <c r="F704" i="4" a="1"/>
  <c r="F704" i="4" s="1"/>
  <c r="L704" i="4" s="1"/>
  <c r="F705" i="4" a="1"/>
  <c r="F705" i="4" s="1"/>
  <c r="L705" i="4" s="1"/>
  <c r="F706" i="4" a="1"/>
  <c r="F706" i="4" s="1"/>
  <c r="L706" i="4" s="1"/>
  <c r="F707" i="4" a="1"/>
  <c r="F707" i="4" s="1"/>
  <c r="L707" i="4" s="1"/>
  <c r="F708" i="4" a="1"/>
  <c r="F708" i="4" s="1"/>
  <c r="L708" i="4" s="1"/>
  <c r="F709" i="4" a="1"/>
  <c r="F709" i="4" s="1"/>
  <c r="L709" i="4" s="1"/>
  <c r="F710" i="4" a="1"/>
  <c r="F710" i="4" s="1"/>
  <c r="L710" i="4" s="1"/>
  <c r="F711" i="4" a="1"/>
  <c r="F711" i="4" s="1"/>
  <c r="L711" i="4" s="1"/>
  <c r="F712" i="4" a="1"/>
  <c r="F712" i="4" s="1"/>
  <c r="L712" i="4" s="1"/>
  <c r="F713" i="4" a="1"/>
  <c r="F713" i="4" s="1"/>
  <c r="L713" i="4" s="1"/>
  <c r="F714" i="4" a="1"/>
  <c r="F714" i="4" s="1"/>
  <c r="L714" i="4" s="1"/>
  <c r="F715" i="4" a="1"/>
  <c r="F715" i="4" s="1"/>
  <c r="L715" i="4" s="1"/>
  <c r="F716" i="4" a="1"/>
  <c r="F716" i="4" s="1"/>
  <c r="L716" i="4" s="1"/>
  <c r="F717" i="4" a="1"/>
  <c r="F717" i="4" s="1"/>
  <c r="L717" i="4" s="1"/>
  <c r="F718" i="4" a="1"/>
  <c r="F718" i="4" s="1"/>
  <c r="L718" i="4" s="1"/>
  <c r="F719" i="4" a="1"/>
  <c r="F719" i="4" s="1"/>
  <c r="L719" i="4" s="1"/>
  <c r="F720" i="4" a="1"/>
  <c r="F720" i="4" s="1"/>
  <c r="L720" i="4" s="1"/>
  <c r="F721" i="4" a="1"/>
  <c r="F721" i="4" s="1"/>
  <c r="L721" i="4" s="1"/>
  <c r="F722" i="4" a="1"/>
  <c r="F722" i="4" s="1"/>
  <c r="L722" i="4" s="1"/>
  <c r="F723" i="4" a="1"/>
  <c r="F723" i="4" s="1"/>
  <c r="L723" i="4" s="1"/>
  <c r="F724" i="4" a="1"/>
  <c r="F724" i="4" s="1"/>
  <c r="L724" i="4" s="1"/>
  <c r="F725" i="4" a="1"/>
  <c r="F725" i="4" s="1"/>
  <c r="L725" i="4" s="1"/>
  <c r="F726" i="4" a="1"/>
  <c r="F726" i="4" s="1"/>
  <c r="L726" i="4" s="1"/>
  <c r="F727" i="4" a="1"/>
  <c r="F727" i="4" s="1"/>
  <c r="L727" i="4" s="1"/>
  <c r="F728" i="4" a="1"/>
  <c r="F728" i="4" s="1"/>
  <c r="L728" i="4" s="1"/>
  <c r="F729" i="4" a="1"/>
  <c r="F729" i="4" s="1"/>
  <c r="L729" i="4" s="1"/>
  <c r="F730" i="4" a="1"/>
  <c r="F730" i="4" s="1"/>
  <c r="L730" i="4" s="1"/>
  <c r="F731" i="4" a="1"/>
  <c r="F731" i="4" s="1"/>
  <c r="L731" i="4" s="1"/>
  <c r="F732" i="4" a="1"/>
  <c r="F732" i="4" s="1"/>
  <c r="L732" i="4" s="1"/>
  <c r="F733" i="4" a="1"/>
  <c r="F733" i="4" s="1"/>
  <c r="L733" i="4" s="1"/>
  <c r="F734" i="4" a="1"/>
  <c r="F734" i="4" s="1"/>
  <c r="L734" i="4" s="1"/>
  <c r="F735" i="4" a="1"/>
  <c r="F735" i="4" s="1"/>
  <c r="L735" i="4" s="1"/>
  <c r="F736" i="4" a="1"/>
  <c r="F736" i="4" s="1"/>
  <c r="L736" i="4" s="1"/>
  <c r="F737" i="4" a="1"/>
  <c r="F737" i="4" s="1"/>
  <c r="L737" i="4" s="1"/>
  <c r="F738" i="4" a="1"/>
  <c r="F738" i="4" s="1"/>
  <c r="L738" i="4" s="1"/>
  <c r="F739" i="4" a="1"/>
  <c r="F739" i="4" s="1"/>
  <c r="L739" i="4" s="1"/>
  <c r="F740" i="4" a="1"/>
  <c r="F740" i="4" s="1"/>
  <c r="L740" i="4" s="1"/>
  <c r="F741" i="4" a="1"/>
  <c r="F741" i="4" s="1"/>
  <c r="L741" i="4" s="1"/>
  <c r="F742" i="4" a="1"/>
  <c r="F742" i="4" s="1"/>
  <c r="L742" i="4" s="1"/>
  <c r="F743" i="4" a="1"/>
  <c r="F743" i="4" s="1"/>
  <c r="L743" i="4" s="1"/>
  <c r="F744" i="4" a="1"/>
  <c r="F744" i="4" s="1"/>
  <c r="L744" i="4" s="1"/>
  <c r="F745" i="4" a="1"/>
  <c r="F745" i="4" s="1"/>
  <c r="L745" i="4" s="1"/>
  <c r="F746" i="4" a="1"/>
  <c r="F746" i="4" s="1"/>
  <c r="L746" i="4" s="1"/>
  <c r="F747" i="4" a="1"/>
  <c r="F747" i="4" s="1"/>
  <c r="L747" i="4" s="1"/>
  <c r="F748" i="4" a="1"/>
  <c r="F748" i="4" s="1"/>
  <c r="L748" i="4" s="1"/>
  <c r="F749" i="4" a="1"/>
  <c r="F749" i="4" s="1"/>
  <c r="L749" i="4" s="1"/>
  <c r="F750" i="4" a="1"/>
  <c r="F750" i="4" s="1"/>
  <c r="L750" i="4" s="1"/>
  <c r="F751" i="4" a="1"/>
  <c r="F751" i="4" s="1"/>
  <c r="L751" i="4" s="1"/>
  <c r="F752" i="4" a="1"/>
  <c r="F752" i="4" s="1"/>
  <c r="L752" i="4" s="1"/>
  <c r="F753" i="4" a="1"/>
  <c r="F753" i="4" s="1"/>
  <c r="L753" i="4" s="1"/>
  <c r="F754" i="4" a="1"/>
  <c r="F754" i="4" s="1"/>
  <c r="L754" i="4" s="1"/>
  <c r="F755" i="4" a="1"/>
  <c r="F755" i="4" s="1"/>
  <c r="L755" i="4" s="1"/>
  <c r="F756" i="4" a="1"/>
  <c r="F756" i="4" s="1"/>
  <c r="L756" i="4" s="1"/>
  <c r="F757" i="4" a="1"/>
  <c r="F757" i="4" s="1"/>
  <c r="L757" i="4" s="1"/>
  <c r="F758" i="4" a="1"/>
  <c r="F758" i="4" s="1"/>
  <c r="L758" i="4" s="1"/>
  <c r="F759" i="4" a="1"/>
  <c r="F759" i="4" s="1"/>
  <c r="L759" i="4" s="1"/>
  <c r="F760" i="4" a="1"/>
  <c r="F760" i="4" s="1"/>
  <c r="L760" i="4" s="1"/>
  <c r="F761" i="4" a="1"/>
  <c r="F761" i="4" s="1"/>
  <c r="L761" i="4" s="1"/>
  <c r="F762" i="4" a="1"/>
  <c r="F762" i="4" s="1"/>
  <c r="L762" i="4" s="1"/>
  <c r="F763" i="4" a="1"/>
  <c r="F763" i="4" s="1"/>
  <c r="L763" i="4" s="1"/>
  <c r="F764" i="4" a="1"/>
  <c r="F764" i="4" s="1"/>
  <c r="L764" i="4" s="1"/>
  <c r="F765" i="4" a="1"/>
  <c r="F765" i="4" s="1"/>
  <c r="L765" i="4" s="1"/>
  <c r="F766" i="4" a="1"/>
  <c r="F766" i="4" s="1"/>
  <c r="L766" i="4" s="1"/>
  <c r="F767" i="4" a="1"/>
  <c r="F767" i="4" s="1"/>
  <c r="L767" i="4" s="1"/>
  <c r="F768" i="4" a="1"/>
  <c r="F768" i="4" s="1"/>
  <c r="L768" i="4" s="1"/>
  <c r="F769" i="4" a="1"/>
  <c r="F769" i="4" s="1"/>
  <c r="L769" i="4" s="1"/>
  <c r="F770" i="4" a="1"/>
  <c r="F770" i="4" s="1"/>
  <c r="L770" i="4" s="1"/>
  <c r="F771" i="4" a="1"/>
  <c r="F771" i="4" s="1"/>
  <c r="L771" i="4" s="1"/>
  <c r="F772" i="4" a="1"/>
  <c r="F772" i="4" s="1"/>
  <c r="L772" i="4" s="1"/>
  <c r="F773" i="4" a="1"/>
  <c r="F773" i="4" s="1"/>
  <c r="L773" i="4" s="1"/>
  <c r="F774" i="4" a="1"/>
  <c r="F774" i="4" s="1"/>
  <c r="L774" i="4" s="1"/>
  <c r="F775" i="4" a="1"/>
  <c r="F775" i="4" s="1"/>
  <c r="L775" i="4" s="1"/>
  <c r="F776" i="4" a="1"/>
  <c r="F776" i="4" s="1"/>
  <c r="L776" i="4" s="1"/>
  <c r="F777" i="4" a="1"/>
  <c r="F777" i="4" s="1"/>
  <c r="L777" i="4" s="1"/>
  <c r="F778" i="4" a="1"/>
  <c r="F778" i="4" s="1"/>
  <c r="L778" i="4" s="1"/>
  <c r="F779" i="4" a="1"/>
  <c r="F779" i="4" s="1"/>
  <c r="L779" i="4" s="1"/>
  <c r="F780" i="4" a="1"/>
  <c r="F780" i="4" s="1"/>
  <c r="L780" i="4" s="1"/>
  <c r="F781" i="4" a="1"/>
  <c r="F781" i="4" s="1"/>
  <c r="L781" i="4" s="1"/>
  <c r="F782" i="4" a="1"/>
  <c r="F782" i="4" s="1"/>
  <c r="L782" i="4" s="1"/>
  <c r="F783" i="4" a="1"/>
  <c r="F783" i="4" s="1"/>
  <c r="L783" i="4" s="1"/>
  <c r="F784" i="4" a="1"/>
  <c r="F784" i="4" s="1"/>
  <c r="L784" i="4" s="1"/>
  <c r="F785" i="4" a="1"/>
  <c r="F785" i="4" s="1"/>
  <c r="L785" i="4" s="1"/>
  <c r="F786" i="4" a="1"/>
  <c r="F786" i="4" s="1"/>
  <c r="L786" i="4" s="1"/>
  <c r="F787" i="4" a="1"/>
  <c r="F787" i="4" s="1"/>
  <c r="L787" i="4" s="1"/>
  <c r="F788" i="4" a="1"/>
  <c r="F788" i="4" s="1"/>
  <c r="L788" i="4" s="1"/>
  <c r="F789" i="4" a="1"/>
  <c r="F789" i="4" s="1"/>
  <c r="L789" i="4" s="1"/>
  <c r="F790" i="4" a="1"/>
  <c r="F790" i="4" s="1"/>
  <c r="L790" i="4" s="1"/>
  <c r="F791" i="4" a="1"/>
  <c r="F791" i="4" s="1"/>
  <c r="L791" i="4" s="1"/>
  <c r="F792" i="4" a="1"/>
  <c r="F792" i="4" s="1"/>
  <c r="L792" i="4" s="1"/>
  <c r="F793" i="4" a="1"/>
  <c r="F793" i="4" s="1"/>
  <c r="L793" i="4" s="1"/>
  <c r="F794" i="4" a="1"/>
  <c r="F794" i="4" s="1"/>
  <c r="L794" i="4" s="1"/>
  <c r="F795" i="4" a="1"/>
  <c r="F795" i="4" s="1"/>
  <c r="L795" i="4" s="1"/>
  <c r="F796" i="4" a="1"/>
  <c r="F796" i="4" s="1"/>
  <c r="L796" i="4" s="1"/>
  <c r="F797" i="4" a="1"/>
  <c r="F797" i="4" s="1"/>
  <c r="L797" i="4" s="1"/>
  <c r="F798" i="4" a="1"/>
  <c r="F798" i="4" s="1"/>
  <c r="L798" i="4" s="1"/>
  <c r="F799" i="4" a="1"/>
  <c r="F799" i="4" s="1"/>
  <c r="L799" i="4" s="1"/>
  <c r="F800" i="4" a="1"/>
  <c r="F800" i="4" s="1"/>
  <c r="L800" i="4" s="1"/>
  <c r="F801" i="4" a="1"/>
  <c r="F801" i="4" s="1"/>
  <c r="L801" i="4" s="1"/>
  <c r="F802" i="4" a="1"/>
  <c r="F802" i="4" s="1"/>
  <c r="L802" i="4" s="1"/>
  <c r="F803" i="4" a="1"/>
  <c r="F803" i="4" s="1"/>
  <c r="L803" i="4" s="1"/>
  <c r="F804" i="4" a="1"/>
  <c r="F804" i="4" s="1"/>
  <c r="L804" i="4" s="1"/>
  <c r="F805" i="4" a="1"/>
  <c r="F805" i="4" s="1"/>
  <c r="L805" i="4" s="1"/>
  <c r="F806" i="4" a="1"/>
  <c r="F806" i="4" s="1"/>
  <c r="L806" i="4" s="1"/>
  <c r="F807" i="4" a="1"/>
  <c r="F807" i="4" s="1"/>
  <c r="L807" i="4" s="1"/>
  <c r="F808" i="4" a="1"/>
  <c r="F808" i="4" s="1"/>
  <c r="L808" i="4" s="1"/>
  <c r="F809" i="4" a="1"/>
  <c r="F809" i="4" s="1"/>
  <c r="L809" i="4" s="1"/>
  <c r="F810" i="4" a="1"/>
  <c r="F810" i="4" s="1"/>
  <c r="L810" i="4" s="1"/>
  <c r="F811" i="4" a="1"/>
  <c r="F811" i="4" s="1"/>
  <c r="L811" i="4" s="1"/>
  <c r="F812" i="4" a="1"/>
  <c r="F812" i="4" s="1"/>
  <c r="L812" i="4" s="1"/>
  <c r="F813" i="4" a="1"/>
  <c r="F813" i="4" s="1"/>
  <c r="L813" i="4" s="1"/>
  <c r="F814" i="4" a="1"/>
  <c r="F814" i="4" s="1"/>
  <c r="L814" i="4" s="1"/>
  <c r="F815" i="4" a="1"/>
  <c r="F815" i="4" s="1"/>
  <c r="L815" i="4" s="1"/>
  <c r="F816" i="4" a="1"/>
  <c r="F816" i="4" s="1"/>
  <c r="L816" i="4" s="1"/>
  <c r="F817" i="4" a="1"/>
  <c r="F817" i="4" s="1"/>
  <c r="L817" i="4" s="1"/>
  <c r="F818" i="4" a="1"/>
  <c r="F818" i="4" s="1"/>
  <c r="L818" i="4" s="1"/>
  <c r="F819" i="4" a="1"/>
  <c r="F819" i="4" s="1"/>
  <c r="L819" i="4" s="1"/>
  <c r="F820" i="4" a="1"/>
  <c r="F820" i="4" s="1"/>
  <c r="L820" i="4" s="1"/>
  <c r="F821" i="4" a="1"/>
  <c r="F821" i="4" s="1"/>
  <c r="L821" i="4" s="1"/>
  <c r="F822" i="4" a="1"/>
  <c r="F822" i="4" s="1"/>
  <c r="L822" i="4" s="1"/>
  <c r="F823" i="4" a="1"/>
  <c r="F823" i="4" s="1"/>
  <c r="L823" i="4" s="1"/>
  <c r="F824" i="4" a="1"/>
  <c r="F824" i="4" s="1"/>
  <c r="L824" i="4" s="1"/>
  <c r="F825" i="4" a="1"/>
  <c r="F825" i="4" s="1"/>
  <c r="L825" i="4" s="1"/>
  <c r="F826" i="4" a="1"/>
  <c r="F826" i="4" s="1"/>
  <c r="L826" i="4" s="1"/>
  <c r="F827" i="4" a="1"/>
  <c r="F827" i="4" s="1"/>
  <c r="L827" i="4" s="1"/>
  <c r="F828" i="4" a="1"/>
  <c r="F828" i="4" s="1"/>
  <c r="L828" i="4" s="1"/>
  <c r="F829" i="4" a="1"/>
  <c r="F829" i="4" s="1"/>
  <c r="L829" i="4" s="1"/>
  <c r="F830" i="4" a="1"/>
  <c r="F830" i="4" s="1"/>
  <c r="L830" i="4" s="1"/>
  <c r="F831" i="4" a="1"/>
  <c r="F831" i="4" s="1"/>
  <c r="L831" i="4" s="1"/>
  <c r="F832" i="4" a="1"/>
  <c r="F832" i="4" s="1"/>
  <c r="L832" i="4" s="1"/>
  <c r="F833" i="4" a="1"/>
  <c r="F833" i="4" s="1"/>
  <c r="L833" i="4" s="1"/>
  <c r="F834" i="4" a="1"/>
  <c r="F834" i="4" s="1"/>
  <c r="L834" i="4" s="1"/>
  <c r="F835" i="4" a="1"/>
  <c r="F835" i="4" s="1"/>
  <c r="L835" i="4" s="1"/>
  <c r="F836" i="4" a="1"/>
  <c r="F836" i="4" s="1"/>
  <c r="L836" i="4" s="1"/>
  <c r="F837" i="4" a="1"/>
  <c r="F837" i="4" s="1"/>
  <c r="L837" i="4" s="1"/>
  <c r="F838" i="4" a="1"/>
  <c r="F838" i="4" s="1"/>
  <c r="L838" i="4" s="1"/>
  <c r="F839" i="4" a="1"/>
  <c r="F839" i="4" s="1"/>
  <c r="L839" i="4" s="1"/>
  <c r="F840" i="4" a="1"/>
  <c r="F840" i="4" s="1"/>
  <c r="L840" i="4" s="1"/>
  <c r="F841" i="4" a="1"/>
  <c r="F841" i="4" s="1"/>
  <c r="L841" i="4" s="1"/>
  <c r="F842" i="4" a="1"/>
  <c r="F842" i="4" s="1"/>
  <c r="L842" i="4" s="1"/>
  <c r="F843" i="4" a="1"/>
  <c r="F843" i="4" s="1"/>
  <c r="L843" i="4" s="1"/>
  <c r="F844" i="4" a="1"/>
  <c r="F844" i="4" s="1"/>
  <c r="L844" i="4" s="1"/>
  <c r="F845" i="4" a="1"/>
  <c r="F845" i="4" s="1"/>
  <c r="L845" i="4" s="1"/>
  <c r="F846" i="4" a="1"/>
  <c r="F846" i="4" s="1"/>
  <c r="L846" i="4" s="1"/>
  <c r="F847" i="4" a="1"/>
  <c r="F847" i="4" s="1"/>
  <c r="L847" i="4" s="1"/>
  <c r="F848" i="4" a="1"/>
  <c r="F848" i="4" s="1"/>
  <c r="L848" i="4" s="1"/>
  <c r="F849" i="4" a="1"/>
  <c r="F849" i="4" s="1"/>
  <c r="L849" i="4" s="1"/>
  <c r="F850" i="4" a="1"/>
  <c r="F850" i="4" s="1"/>
  <c r="L850" i="4" s="1"/>
  <c r="F851" i="4" a="1"/>
  <c r="F851" i="4" s="1"/>
  <c r="L851" i="4" s="1"/>
  <c r="F852" i="4" a="1"/>
  <c r="F852" i="4" s="1"/>
  <c r="L852" i="4" s="1"/>
  <c r="F853" i="4" a="1"/>
  <c r="F853" i="4" s="1"/>
  <c r="L853" i="4" s="1"/>
  <c r="F854" i="4" a="1"/>
  <c r="F854" i="4" s="1"/>
  <c r="L854" i="4" s="1"/>
  <c r="F855" i="4" a="1"/>
  <c r="F855" i="4" s="1"/>
  <c r="L855" i="4" s="1"/>
  <c r="F856" i="4" a="1"/>
  <c r="F856" i="4" s="1"/>
  <c r="L856" i="4" s="1"/>
  <c r="F857" i="4" a="1"/>
  <c r="F857" i="4" s="1"/>
  <c r="L857" i="4" s="1"/>
  <c r="F858" i="4" a="1"/>
  <c r="F858" i="4" s="1"/>
  <c r="L858" i="4" s="1"/>
  <c r="F859" i="4" a="1"/>
  <c r="F859" i="4" s="1"/>
  <c r="L859" i="4" s="1"/>
  <c r="F860" i="4" a="1"/>
  <c r="F860" i="4" s="1"/>
  <c r="L860" i="4" s="1"/>
  <c r="F861" i="4" a="1"/>
  <c r="F861" i="4" s="1"/>
  <c r="L861" i="4" s="1"/>
  <c r="F862" i="4" a="1"/>
  <c r="F862" i="4" s="1"/>
  <c r="L862" i="4" s="1"/>
  <c r="F863" i="4" a="1"/>
  <c r="F863" i="4" s="1"/>
  <c r="L863" i="4" s="1"/>
  <c r="F864" i="4" a="1"/>
  <c r="F864" i="4" s="1"/>
  <c r="L864" i="4" s="1"/>
  <c r="F865" i="4" a="1"/>
  <c r="F865" i="4" s="1"/>
  <c r="L865" i="4" s="1"/>
  <c r="F866" i="4" a="1"/>
  <c r="F866" i="4" s="1"/>
  <c r="L866" i="4" s="1"/>
  <c r="F867" i="4" a="1"/>
  <c r="F867" i="4" s="1"/>
  <c r="L867" i="4" s="1"/>
  <c r="F868" i="4" a="1"/>
  <c r="F868" i="4" s="1"/>
  <c r="L868" i="4" s="1"/>
  <c r="F869" i="4" a="1"/>
  <c r="F869" i="4" s="1"/>
  <c r="L869" i="4" s="1"/>
  <c r="F870" i="4" a="1"/>
  <c r="F870" i="4" s="1"/>
  <c r="L870" i="4" s="1"/>
  <c r="F871" i="4" a="1"/>
  <c r="F871" i="4" s="1"/>
  <c r="L871" i="4" s="1"/>
  <c r="F872" i="4" a="1"/>
  <c r="F872" i="4" s="1"/>
  <c r="L872" i="4" s="1"/>
  <c r="F873" i="4" a="1"/>
  <c r="F873" i="4" s="1"/>
  <c r="L873" i="4" s="1"/>
  <c r="F874" i="4" a="1"/>
  <c r="F874" i="4" s="1"/>
  <c r="L874" i="4" s="1"/>
  <c r="F875" i="4" a="1"/>
  <c r="F875" i="4" s="1"/>
  <c r="L875" i="4" s="1"/>
  <c r="F876" i="4" a="1"/>
  <c r="F876" i="4" s="1"/>
  <c r="L876" i="4" s="1"/>
  <c r="F877" i="4" a="1"/>
  <c r="F877" i="4" s="1"/>
  <c r="L877" i="4" s="1"/>
  <c r="F878" i="4" a="1"/>
  <c r="F878" i="4" s="1"/>
  <c r="L878" i="4" s="1"/>
  <c r="F879" i="4" a="1"/>
  <c r="F879" i="4" s="1"/>
  <c r="L879" i="4" s="1"/>
  <c r="F880" i="4" a="1"/>
  <c r="F880" i="4" s="1"/>
  <c r="L880" i="4" s="1"/>
  <c r="F881" i="4" a="1"/>
  <c r="F881" i="4" s="1"/>
  <c r="L881" i="4" s="1"/>
  <c r="F882" i="4" a="1"/>
  <c r="F882" i="4" s="1"/>
  <c r="L882" i="4" s="1"/>
  <c r="F883" i="4" a="1"/>
  <c r="F883" i="4" s="1"/>
  <c r="L883" i="4" s="1"/>
  <c r="F884" i="4" a="1"/>
  <c r="F884" i="4" s="1"/>
  <c r="L884" i="4" s="1"/>
  <c r="F885" i="4" a="1"/>
  <c r="F885" i="4" s="1"/>
  <c r="L885" i="4" s="1"/>
  <c r="F886" i="4" a="1"/>
  <c r="F886" i="4" s="1"/>
  <c r="L886" i="4" s="1"/>
  <c r="F887" i="4" a="1"/>
  <c r="F887" i="4" s="1"/>
  <c r="L887" i="4" s="1"/>
  <c r="F888" i="4" a="1"/>
  <c r="F888" i="4" s="1"/>
  <c r="L888" i="4" s="1"/>
  <c r="F2" i="4" a="1"/>
  <c r="F2" i="4" s="1"/>
  <c r="L2" i="4" s="1"/>
  <c r="Q9" i="4" a="1"/>
  <c r="Q9" i="4" s="1"/>
  <c r="M16" i="2"/>
  <c r="L16" i="2" l="1"/>
  <c r="I24" i="2"/>
  <c r="H24" i="2"/>
  <c r="G24" i="2"/>
  <c r="M12" i="2"/>
  <c r="A20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<sst xmlns="http://schemas.openxmlformats.org/spreadsheetml/2006/main" count="5487" uniqueCount="1888">
  <si>
    <t>sales</t>
  </si>
  <si>
    <t>newspaper</t>
  </si>
  <si>
    <t>radio</t>
  </si>
  <si>
    <t>TV</t>
  </si>
  <si>
    <t>Index</t>
  </si>
  <si>
    <t>Survived</t>
  </si>
  <si>
    <t>Name</t>
  </si>
  <si>
    <t>Sex</t>
  </si>
  <si>
    <t>Age</t>
  </si>
  <si>
    <t>Siblings/Spouses Aboard</t>
  </si>
  <si>
    <t>Parents/Children Aboard</t>
  </si>
  <si>
    <t>Pclass</t>
  </si>
  <si>
    <t>Fare</t>
  </si>
  <si>
    <t>Mr. Owen Harris Braund</t>
  </si>
  <si>
    <t>male</t>
  </si>
  <si>
    <t>Mrs. John Bradley (Florence Briggs Thayer) Cumings</t>
  </si>
  <si>
    <t>female</t>
  </si>
  <si>
    <t>Miss. Laina Heikkinen</t>
  </si>
  <si>
    <t>Mrs. Jacques Heath (Lily May Peel) Futrelle</t>
  </si>
  <si>
    <t>Mr. William Henry Allen</t>
  </si>
  <si>
    <t>Mr. James Moran</t>
  </si>
  <si>
    <t>Mr. Timothy J McCarthy</t>
  </si>
  <si>
    <t>Master. Gosta Leonard Palsson</t>
  </si>
  <si>
    <t>Mrs. Oscar W (Elisabeth Vilhelmina Berg) Johnson</t>
  </si>
  <si>
    <t>Mrs. Nicholas (Adele Achem) Nasser</t>
  </si>
  <si>
    <t>Miss. Marguerite Rut Sandstrom</t>
  </si>
  <si>
    <t>Miss. Elizabeth Bonnell</t>
  </si>
  <si>
    <t>Mr. William Henry Saundercock</t>
  </si>
  <si>
    <t>Mr. Anders Johan Andersson</t>
  </si>
  <si>
    <t>Miss. Hulda Amanda Adolfina Vestrom</t>
  </si>
  <si>
    <t>Mrs. (Mary D Kingcome) Hewlett</t>
  </si>
  <si>
    <t>Master. Eugene Rice</t>
  </si>
  <si>
    <t>Mr. Charles Eugene Williams</t>
  </si>
  <si>
    <t>Mrs. Julius (Emelia Maria Vandemoortele) Vander Planke</t>
  </si>
  <si>
    <t>Mrs. Fatima Masselmani</t>
  </si>
  <si>
    <t>Mr. Joseph J Fynney</t>
  </si>
  <si>
    <t>Mr. Lawrence Beesley</t>
  </si>
  <si>
    <t>Miss. Anna McGowan</t>
  </si>
  <si>
    <t>Mr. William Thompson Sloper</t>
  </si>
  <si>
    <t>Miss. Torborg Danira Palsson</t>
  </si>
  <si>
    <t>Mrs. Carl Oscar (Selma Augusta Emilia Johansson) Asplund</t>
  </si>
  <si>
    <t>Mr. Farred Chehab Emir</t>
  </si>
  <si>
    <t>Mr. Charles Alexander Fortune</t>
  </si>
  <si>
    <t>Miss. Ellen O'Dwyer</t>
  </si>
  <si>
    <t>Mr. Lalio Todoroff</t>
  </si>
  <si>
    <t>Don. Manuel E Uruchurtu</t>
  </si>
  <si>
    <t>Mrs. William Augustus (Marie Eugenie) Spencer</t>
  </si>
  <si>
    <t>Miss. Mary Agatha Glynn</t>
  </si>
  <si>
    <t>Mr. Edward H Wheadon</t>
  </si>
  <si>
    <t>Mr. Edgar Joseph Meyer</t>
  </si>
  <si>
    <t>Mr. Alexander Oskar Holverson</t>
  </si>
  <si>
    <t>Mr. Hanna Mamee</t>
  </si>
  <si>
    <t>Mr. Ernest Charles Cann</t>
  </si>
  <si>
    <t>Miss. Augusta Maria Vander Planke</t>
  </si>
  <si>
    <t>Miss. Jamila Nicola-Yarred</t>
  </si>
  <si>
    <t>Mrs. Johan (Johanna Persdotter Larsson) Ahlin</t>
  </si>
  <si>
    <t>Mrs. William John Robert (Dorothy Ann Wonnacott) Turpin</t>
  </si>
  <si>
    <t>Miss. Simonne Marie Anne Andree Laroche</t>
  </si>
  <si>
    <t>Miss. Margaret Delia Devaney</t>
  </si>
  <si>
    <t>Mr. William John Rogers</t>
  </si>
  <si>
    <t>Mr. Denis Lennon</t>
  </si>
  <si>
    <t>Miss. Bridget O'Driscoll</t>
  </si>
  <si>
    <t>Mr. Youssef Samaan</t>
  </si>
  <si>
    <t>Mrs. Josef (Josefine Franchi) Arnold-Franchi</t>
  </si>
  <si>
    <t>Master. Juha Niilo Panula</t>
  </si>
  <si>
    <t>Mr. Richard Cater Nosworthy</t>
  </si>
  <si>
    <t>Mrs. Henry Sleeper (Myna Haxtun) Harper</t>
  </si>
  <si>
    <t>Mrs. Lizzie (Elizabeth Anne Wilkinson) Faunthorpe</t>
  </si>
  <si>
    <t>Mr. Engelhart Cornelius Ostby</t>
  </si>
  <si>
    <t>Mr. Hugh Woolner</t>
  </si>
  <si>
    <t>Miss. Emily Rugg</t>
  </si>
  <si>
    <t>Mr. Mansouer Novel</t>
  </si>
  <si>
    <t>Miss. Constance Mirium West</t>
  </si>
  <si>
    <t>Master. William Frederick Goodwin</t>
  </si>
  <si>
    <t>Mr. Orsen Sirayanian</t>
  </si>
  <si>
    <t>Miss. Amelie Icard</t>
  </si>
  <si>
    <t>Mr. Henry Birkhardt Harris</t>
  </si>
  <si>
    <t>Master. Harald Skoog</t>
  </si>
  <si>
    <t>Mr. Albert A Stewart</t>
  </si>
  <si>
    <t>Master. Gerios Moubarek</t>
  </si>
  <si>
    <t>Mrs. (Elizabeth Ramell) Nye</t>
  </si>
  <si>
    <t>Mr. Ernest James Crease</t>
  </si>
  <si>
    <t>Miss. Erna Alexandra Andersson</t>
  </si>
  <si>
    <t>Mr. Vincenz Kink</t>
  </si>
  <si>
    <t>Mr. Stephen Curnow Jenkin</t>
  </si>
  <si>
    <t>Miss. Lillian Amy Goodwin</t>
  </si>
  <si>
    <t>Mr. Ambrose Jr Hood</t>
  </si>
  <si>
    <t>Mr. Apostolos Chronopoulos</t>
  </si>
  <si>
    <t>Mr. Lee Bing</t>
  </si>
  <si>
    <t>Mr. Sigurd Hansen Moen</t>
  </si>
  <si>
    <t>Mr. Ivan Staneff</t>
  </si>
  <si>
    <t>Mr. Rahamin Haim Moutal</t>
  </si>
  <si>
    <t>Master. Alden Gates Caldwell</t>
  </si>
  <si>
    <t>Miss. Elizabeth Dowdell</t>
  </si>
  <si>
    <t>Mr. Achille Waelens</t>
  </si>
  <si>
    <t>Mr. Jan Baptist Sheerlinck</t>
  </si>
  <si>
    <t>Miss. Brigdet Delia McDermott</t>
  </si>
  <si>
    <t>Mr. Francisco M Carrau</t>
  </si>
  <si>
    <t>Miss. Bertha Ilett</t>
  </si>
  <si>
    <t>Mrs. Karl Alfred (Maria Mathilda Gustafsson) Backstrom</t>
  </si>
  <si>
    <t>Mr. William Neal Ford</t>
  </si>
  <si>
    <t>Mr. Selman Francis Slocovski</t>
  </si>
  <si>
    <t>Miss. Mabel Helen Fortune</t>
  </si>
  <si>
    <t>Mr. Francesco Celotti</t>
  </si>
  <si>
    <t>Mr. Emil Christmann</t>
  </si>
  <si>
    <t>Mr. Paul Edvin Andreasson</t>
  </si>
  <si>
    <t>Mr. Herbert Fuller Chaffee</t>
  </si>
  <si>
    <t>Mr. Bertram Frank Dean</t>
  </si>
  <si>
    <t>Mr. Daniel Coxon</t>
  </si>
  <si>
    <t>Mr. Charles Joseph Shorney</t>
  </si>
  <si>
    <t>Mr. George B Goldschmidt</t>
  </si>
  <si>
    <t>Mr. William Bertram Greenfield</t>
  </si>
  <si>
    <t>Mrs. John T (Ada Julia Bone) Doling</t>
  </si>
  <si>
    <t>Mr. Sinai Kantor</t>
  </si>
  <si>
    <t>Miss. Matilda Petranec</t>
  </si>
  <si>
    <t>Mr. Pastcho Petroff</t>
  </si>
  <si>
    <t>Mr. Richard Frasar White</t>
  </si>
  <si>
    <t>Mr. Gustaf Joel Johansson</t>
  </si>
  <si>
    <t>Mr. Anders Vilhelm Gustafsson</t>
  </si>
  <si>
    <t>Mr. Stoytcho Mionoff</t>
  </si>
  <si>
    <t>Miss. Anna Kristine Salkjelsvik</t>
  </si>
  <si>
    <t>Mr. Albert Johan Moss</t>
  </si>
  <si>
    <t>Mr. Tido Rekic</t>
  </si>
  <si>
    <t>Miss. Bertha Moran</t>
  </si>
  <si>
    <t>Mr. Walter Chamberlain Porter</t>
  </si>
  <si>
    <t>Miss. Hileni Zabour</t>
  </si>
  <si>
    <t>Mr. David John Barton</t>
  </si>
  <si>
    <t>Miss. Katriina Jussila</t>
  </si>
  <si>
    <t>Miss. Malake Attalah</t>
  </si>
  <si>
    <t>Mr. Edvard Pekoniemi</t>
  </si>
  <si>
    <t>Mr. Patrick Connors</t>
  </si>
  <si>
    <t>Mr. William John Robert Turpin</t>
  </si>
  <si>
    <t>Mr. Quigg Edmond Baxter</t>
  </si>
  <si>
    <t>Miss. Ellis Anna Maria Andersson</t>
  </si>
  <si>
    <t>Mr. Stanley George Hickman</t>
  </si>
  <si>
    <t>Mr. Leonard Charles Moore</t>
  </si>
  <si>
    <t>Mr. Nicholas Nasser</t>
  </si>
  <si>
    <t>Miss. Susan Webber</t>
  </si>
  <si>
    <t>Mr. Percival Wayland White</t>
  </si>
  <si>
    <t>Master. Elias Nicola-Yarred</t>
  </si>
  <si>
    <t>Mr. Martin McMahon</t>
  </si>
  <si>
    <t>Mr. Fridtjof Arne Madsen</t>
  </si>
  <si>
    <t>Miss. Anna Peter</t>
  </si>
  <si>
    <t>Mr. Johan Ekstrom</t>
  </si>
  <si>
    <t>Mr. Jozef Drazenoic</t>
  </si>
  <si>
    <t>Mr. Domingos Fernandeo Coelho</t>
  </si>
  <si>
    <t>Mrs. Alexander A (Grace Charity Laury) Robins</t>
  </si>
  <si>
    <t>Mrs. Leopold (Mathilde Francoise Pede) Weisz</t>
  </si>
  <si>
    <t>Mr. Samuel James Hayden Sobey</t>
  </si>
  <si>
    <t>Mr. Emile Richard</t>
  </si>
  <si>
    <t>Miss. Helen Monypeny Newsom</t>
  </si>
  <si>
    <t>Mr. Jacques Heath Futrelle</t>
  </si>
  <si>
    <t>Mr. Olaf Elon Osen</t>
  </si>
  <si>
    <t>Mr. Victor Giglio</t>
  </si>
  <si>
    <t>Mrs. Joseph (Sultana) Boulos</t>
  </si>
  <si>
    <t>Miss. Anna Sofia Nysten</t>
  </si>
  <si>
    <t>Mrs. Pekka Pietari (Elin Matilda Dolck) Hakkarainen</t>
  </si>
  <si>
    <t>Mr. Jeremiah Burke</t>
  </si>
  <si>
    <t>Mr. Edgardo Samuel Andrew</t>
  </si>
  <si>
    <t>Mr. Joseph Charles Nicholls</t>
  </si>
  <si>
    <t>Mr. August Edvard Andersson</t>
  </si>
  <si>
    <t>Miss. Robina Maggie Ford</t>
  </si>
  <si>
    <t>Mr. Michel Navratil</t>
  </si>
  <si>
    <t>Rev. Thomas Roussel Davids Byles</t>
  </si>
  <si>
    <t>Rev. Robert James Bateman</t>
  </si>
  <si>
    <t>Mrs. Thomas (Edith Wearne) Pears</t>
  </si>
  <si>
    <t>Mr. Alfonzo Meo</t>
  </si>
  <si>
    <t>Mr. Austin Blyler van Billiard</t>
  </si>
  <si>
    <t>Mr. Ole Martin Olsen</t>
  </si>
  <si>
    <t>Mr. Charles Duane Williams</t>
  </si>
  <si>
    <t>Miss. Katherine Gilnagh</t>
  </si>
  <si>
    <t>Mr. Harry Corn</t>
  </si>
  <si>
    <t>Mr. Mile Smiljanic</t>
  </si>
  <si>
    <t>Master. Thomas Henry Sage</t>
  </si>
  <si>
    <t>Mr. John Hatfield Cribb</t>
  </si>
  <si>
    <t>Mrs. James (Elizabeth Inglis Milne) Watt</t>
  </si>
  <si>
    <t>Mr. John Viktor Bengtsson</t>
  </si>
  <si>
    <t>Mr. Jovo Calic</t>
  </si>
  <si>
    <t>Master. Eino Viljami Panula</t>
  </si>
  <si>
    <t>Master. Frank John William Goldsmith</t>
  </si>
  <si>
    <t>Mrs. (Edith Martha Bowerman) Chibnall</t>
  </si>
  <si>
    <t>Mrs. William (Anna Bernhardina Karlsson) Skoog</t>
  </si>
  <si>
    <t>Mr. John D Baumann</t>
  </si>
  <si>
    <t>Mr. Lee Ling</t>
  </si>
  <si>
    <t>Mr. Wyckoff Van der hoef</t>
  </si>
  <si>
    <t>Master. Arthur Rice</t>
  </si>
  <si>
    <t>Miss. Eleanor Ileen Johnson</t>
  </si>
  <si>
    <t>Mr. Antti Wilhelm Sivola</t>
  </si>
  <si>
    <t>Mr. James Clinch Smith</t>
  </si>
  <si>
    <t>Mr. Klas Albin Klasen</t>
  </si>
  <si>
    <t>Master. Henry Forbes Lefebre</t>
  </si>
  <si>
    <t>Miss. Ann Elizabeth Isham</t>
  </si>
  <si>
    <t>Mr. Reginald Hale</t>
  </si>
  <si>
    <t>Mr. Lionel Leonard</t>
  </si>
  <si>
    <t>Miss. Constance Gladys Sage</t>
  </si>
  <si>
    <t>Mr. Rene Pernot</t>
  </si>
  <si>
    <t>Master. Clarence Gustaf Hugo Asplund</t>
  </si>
  <si>
    <t>Master. Richard F Becker</t>
  </si>
  <si>
    <t>Miss. Luise Gretchen Kink-Heilmann</t>
  </si>
  <si>
    <t>Mr. Hugh Roscoe Rood</t>
  </si>
  <si>
    <t>Mrs. Thomas (Johanna Godfrey) O'Brien</t>
  </si>
  <si>
    <t>Mr. Charles Hallace Romaine</t>
  </si>
  <si>
    <t>Mr. John Bourke</t>
  </si>
  <si>
    <t>Mr. Stjepan Turcin</t>
  </si>
  <si>
    <t>Mrs. (Rosa) Pinsky</t>
  </si>
  <si>
    <t>Mr. William Carbines</t>
  </si>
  <si>
    <t>Miss. Carla Christine Nielsine Andersen-Jensen</t>
  </si>
  <si>
    <t>Master. Michel M Navratil</t>
  </si>
  <si>
    <t>Mrs. James Joseph (Margaret Tobin) Brown</t>
  </si>
  <si>
    <t>Miss. Elise Lurette</t>
  </si>
  <si>
    <t>Mr. Robert Mernagh</t>
  </si>
  <si>
    <t>Mr. Karl Siegwart Andreas Olsen</t>
  </si>
  <si>
    <t>Miss. Margaret Madigan</t>
  </si>
  <si>
    <t>Miss. Henriette Yrois</t>
  </si>
  <si>
    <t>Mr. Nestor Cyriel Vande Walle</t>
  </si>
  <si>
    <t>Mr. Frederick Sage</t>
  </si>
  <si>
    <t>Mr. Jakob Alfred Johanson</t>
  </si>
  <si>
    <t>Mr. Gerious Youseff</t>
  </si>
  <si>
    <t>Mr. Gurshon Cohen</t>
  </si>
  <si>
    <t>Miss. Telma Matilda Strom</t>
  </si>
  <si>
    <t>Mr. Karl Alfred Backstrom</t>
  </si>
  <si>
    <t>Mr. Nassef Cassem Albimona</t>
  </si>
  <si>
    <t>Miss. Helen Carr</t>
  </si>
  <si>
    <t>Mr. Henry Blank</t>
  </si>
  <si>
    <t>Mr. Ahmed Ali</t>
  </si>
  <si>
    <t>Miss. Clear Annie Cameron</t>
  </si>
  <si>
    <t>Mr. John Henry Perkin</t>
  </si>
  <si>
    <t>Mr. Hans Kristensen Givard</t>
  </si>
  <si>
    <t>Mr. Philip Kiernan</t>
  </si>
  <si>
    <t>Miss. Madeleine Newell</t>
  </si>
  <si>
    <t>Miss. Eliina Honkanen</t>
  </si>
  <si>
    <t>Mr. Sidney Samuel Jacobsohn</t>
  </si>
  <si>
    <t>Miss. Albina Bazzani</t>
  </si>
  <si>
    <t>Mr. Walter Harris</t>
  </si>
  <si>
    <t>Mr. Victor Francis Sunderland</t>
  </si>
  <si>
    <t>Mr. James H Bracken</t>
  </si>
  <si>
    <t>Mr. George Henry Green</t>
  </si>
  <si>
    <t>Mr. Christo Nenkoff</t>
  </si>
  <si>
    <t>Mr. Frederick Maxfield Hoyt</t>
  </si>
  <si>
    <t>Mr. Karl Ivar Sven Berglund</t>
  </si>
  <si>
    <t>Mr. William John Mellors</t>
  </si>
  <si>
    <t>Mr. John Hall Lovell</t>
  </si>
  <si>
    <t>Mr. Arne Jonas Fahlstrom</t>
  </si>
  <si>
    <t>Miss. Mathilde Lefebre</t>
  </si>
  <si>
    <t>Mrs. Henry Birkhardt (Irene Wallach) Harris</t>
  </si>
  <si>
    <t>Mr. Bengt Edvin Larsson</t>
  </si>
  <si>
    <t>Mr. Ernst Adolf Sjostedt</t>
  </si>
  <si>
    <t>Miss. Lillian Gertrud Asplund</t>
  </si>
  <si>
    <t>Mr. Robert William Norman Leyson</t>
  </si>
  <si>
    <t>Miss. Alice Phoebe Harknett</t>
  </si>
  <si>
    <t>Mr. Stephen Hold</t>
  </si>
  <si>
    <t>Miss. Marjorie Collyer</t>
  </si>
  <si>
    <t>Mr. Frederick William Pengelly</t>
  </si>
  <si>
    <t>Mr. George Henry Hunt</t>
  </si>
  <si>
    <t>Miss. Thamine Zabour</t>
  </si>
  <si>
    <t>Miss. Katherine Murphy</t>
  </si>
  <si>
    <t>Mr. Reginald Charles Coleridge</t>
  </si>
  <si>
    <t>Mr. Matti Alexanteri Maenpaa</t>
  </si>
  <si>
    <t>Mr. Sleiman Attalah</t>
  </si>
  <si>
    <t>Dr. William Edward Minahan</t>
  </si>
  <si>
    <t>Miss. Agda Thorilda Viktoria Lindahl</t>
  </si>
  <si>
    <t>Mrs. William (Anna) Hamalainen</t>
  </si>
  <si>
    <t>Mr. Richard Leonard Beckwith</t>
  </si>
  <si>
    <t>Rev. Ernest Courtenay Carter</t>
  </si>
  <si>
    <t>Mr. James George Reed</t>
  </si>
  <si>
    <t>Mrs. Wilhelm (Elna Matilda Persson) Strom</t>
  </si>
  <si>
    <t>Mr. William Thomas Stead</t>
  </si>
  <si>
    <t>Mr. William Arthur Lobb</t>
  </si>
  <si>
    <t>Mrs. Viktor (Helena Wilhelmina) Rosblom</t>
  </si>
  <si>
    <t>Mrs. Darwis (Hanne Youssef Razi) Touma</t>
  </si>
  <si>
    <t>Mrs. Gertrude Maybelle Thorne</t>
  </si>
  <si>
    <t>Miss. Gladys Cherry</t>
  </si>
  <si>
    <t>Miss. Anna Ward</t>
  </si>
  <si>
    <t>Mrs. (Lutie Davis) Parrish</t>
  </si>
  <si>
    <t>Master. Edvin Rojj Felix Asplund</t>
  </si>
  <si>
    <t>Mr. Emil Taussig</t>
  </si>
  <si>
    <t>Mr. William Harrison</t>
  </si>
  <si>
    <t>Miss. Delia Henry</t>
  </si>
  <si>
    <t>Mr. David Reeves</t>
  </si>
  <si>
    <t>Mr. Ernesti Arvid Panula</t>
  </si>
  <si>
    <t>Mr. Ernst Ulrik Persson</t>
  </si>
  <si>
    <t>Mrs. William Thompson (Edith Junkins) Graham</t>
  </si>
  <si>
    <t>Miss. Amelia Bissette</t>
  </si>
  <si>
    <t>Mr. Alexander Cairns</t>
  </si>
  <si>
    <t>Mr. William Henry Tornquist</t>
  </si>
  <si>
    <t>Mrs. (Elizabeth Anne Maidment) Mellinger</t>
  </si>
  <si>
    <t>Mr. Charles H Natsch</t>
  </si>
  <si>
    <t>Miss. Hanora Healy</t>
  </si>
  <si>
    <t>Miss. Kornelia Theodosia Andrews</t>
  </si>
  <si>
    <t>Miss. Augusta Charlotta Lindblom</t>
  </si>
  <si>
    <t>Mr. Francis Parkes</t>
  </si>
  <si>
    <t>Master. Eric Rice</t>
  </si>
  <si>
    <t>Mrs. Stanton (Rosa Hunt) Abbott</t>
  </si>
  <si>
    <t>Mr. Frank Duane</t>
  </si>
  <si>
    <t>Mr. Nils Johan Goransson Olsson</t>
  </si>
  <si>
    <t>Mr. Alfons de Pelsmaeker</t>
  </si>
  <si>
    <t>Mr. Edward Arthur Dorking</t>
  </si>
  <si>
    <t>Mr. Richard William Smith</t>
  </si>
  <si>
    <t>Mr. Ivan Stankovic</t>
  </si>
  <si>
    <t>Mr. Theodore de Mulder</t>
  </si>
  <si>
    <t>Mr. Penko Naidenoff</t>
  </si>
  <si>
    <t>Mr. Masabumi Hosono</t>
  </si>
  <si>
    <t>Miss. Kate Connolly</t>
  </si>
  <si>
    <t>Miss. Ellen Barber</t>
  </si>
  <si>
    <t>Mrs. Dickinson H (Helen Walton) Bishop</t>
  </si>
  <si>
    <t>Mr. Rene Jacques Levy</t>
  </si>
  <si>
    <t>Miss. Aloisia Haas</t>
  </si>
  <si>
    <t>Mr. Ivan Mineff</t>
  </si>
  <si>
    <t>Mr. Ervin G Lewy</t>
  </si>
  <si>
    <t>Mr. Mansour Hanna</t>
  </si>
  <si>
    <t>Miss. Helen Loraine Allison</t>
  </si>
  <si>
    <t>Mr. Adolphe Saalfeld</t>
  </si>
  <si>
    <t>Mrs. James (Helene DeLaudeniere Chaput) Baxter</t>
  </si>
  <si>
    <t>Miss. Anna Katherine Kelly</t>
  </si>
  <si>
    <t>Mr. Bernard McCoy</t>
  </si>
  <si>
    <t>Mr. William Cahoone Jr Johnson</t>
  </si>
  <si>
    <t>Miss. Nora A Keane</t>
  </si>
  <si>
    <t>Mr. Howard Hugh Williams</t>
  </si>
  <si>
    <t>Master. Hudson Trevor Allison</t>
  </si>
  <si>
    <t>Miss. Margaret Fleming</t>
  </si>
  <si>
    <t>Mrs. Victor de Satode (Maria Josefa Perez de Soto y Vallejo) Penasco y Castellana</t>
  </si>
  <si>
    <t>Mr. Samuel Abelson</t>
  </si>
  <si>
    <t>Miss. Laura Mabel Francatelli</t>
  </si>
  <si>
    <t>Miss. Margaret Bechstein Hays</t>
  </si>
  <si>
    <t>Miss. Emily Borie Ryerson</t>
  </si>
  <si>
    <t>Mrs. William (Anna Sylfven) Lahtinen</t>
  </si>
  <si>
    <t>Mr. Ignjac Hendekovic</t>
  </si>
  <si>
    <t>Mr. Benjamin Hart</t>
  </si>
  <si>
    <t>Miss. Helmina Josefina Nilsson</t>
  </si>
  <si>
    <t>Mrs. Sinai (Miriam Sternin) Kantor</t>
  </si>
  <si>
    <t>Dr. Ernest Moraweck</t>
  </si>
  <si>
    <t>Miss. Mary Natalie Wick</t>
  </si>
  <si>
    <t>Mrs. Frederic Oakley (Margaretta Corning Stone) Spedden</t>
  </si>
  <si>
    <t>Mr. Samuel Dennis</t>
  </si>
  <si>
    <t>Mr. Yoto Danoff</t>
  </si>
  <si>
    <t>Miss. Hilda Mary Slayter</t>
  </si>
  <si>
    <t>Mrs. Albert Francis (Sylvia Mae Harbaugh) Caldwell</t>
  </si>
  <si>
    <t>Mr. George John Jr Sage</t>
  </si>
  <si>
    <t>Miss. Marie Grice Young</t>
  </si>
  <si>
    <t>Mr. Johan Hansen Nysveen</t>
  </si>
  <si>
    <t>Mrs. (Ada E Hall) Ball</t>
  </si>
  <si>
    <t>Mrs. Frank John (Emily Alice Brown) Goldsmith</t>
  </si>
  <si>
    <t>Miss. Jean Gertrude Hippach</t>
  </si>
  <si>
    <t>Miss. Agnes McCoy</t>
  </si>
  <si>
    <t>Mr. Austen Partner</t>
  </si>
  <si>
    <t>Mr. George Edward Graham</t>
  </si>
  <si>
    <t>Mr. Leo Edmondus Vander Planke</t>
  </si>
  <si>
    <t>Mrs. Henry William (Clara Heinsheimer) Frauenthal</t>
  </si>
  <si>
    <t>Mr. Mitto Denkoff</t>
  </si>
  <si>
    <t>Mr. Thomas Clinton Pears</t>
  </si>
  <si>
    <t>Miss. Elizabeth Margaret Burns</t>
  </si>
  <si>
    <t>Mr. Karl Edwart Dahl</t>
  </si>
  <si>
    <t>Mr. Stephen Weart Blackwell</t>
  </si>
  <si>
    <t>Master. Edmond Roger Navratil</t>
  </si>
  <si>
    <t>Miss. Alice Elizabeth Fortune</t>
  </si>
  <si>
    <t>Mr. Erik Gustaf Collander</t>
  </si>
  <si>
    <t>Mr. Charles Frederick Waddington Sedgwick</t>
  </si>
  <si>
    <t>Mr. Stanley Hubert Fox</t>
  </si>
  <si>
    <t>Miss. Amelia Brown</t>
  </si>
  <si>
    <t>Miss. Marion Elsie Smith</t>
  </si>
  <si>
    <t>Mrs. Thomas Henry (Mary E Finck) Davison</t>
  </si>
  <si>
    <t>Master. William Loch Coutts</t>
  </si>
  <si>
    <t>Mr. Jovan Dimic</t>
  </si>
  <si>
    <t>Mr. Nils Martin Odahl</t>
  </si>
  <si>
    <t>Mr. Fletcher Fellows Williams-Lambert</t>
  </si>
  <si>
    <t>Mr. Tannous Elias</t>
  </si>
  <si>
    <t>Mr. Josef Arnold-Franchi</t>
  </si>
  <si>
    <t>Mr. Wazli Yousif</t>
  </si>
  <si>
    <t>Mr. Leo Peter Vanden Steen</t>
  </si>
  <si>
    <t>Miss. Elsie Edith Bowerman</t>
  </si>
  <si>
    <t>Miss. Annie Clemmer Funk</t>
  </si>
  <si>
    <t>Miss. Mary McGovern</t>
  </si>
  <si>
    <t>Miss. Helen Mary Mockler</t>
  </si>
  <si>
    <t>Mr. Wilhelm Skoog</t>
  </si>
  <si>
    <t>Mr. Sebastiano del Carlo</t>
  </si>
  <si>
    <t>Mrs. (Catherine David) Barbara</t>
  </si>
  <si>
    <t>Mr. Adola Asim</t>
  </si>
  <si>
    <t>Mr. Thomas O'Brien</t>
  </si>
  <si>
    <t>Mr. Mauritz Nils Martin Adahl</t>
  </si>
  <si>
    <t>Mrs. Frank Manley (Anna Sophia Atkinson) Warren</t>
  </si>
  <si>
    <t>Mrs. (Mantoura Boulos) Moussa</t>
  </si>
  <si>
    <t>Miss. Annie Jermyn</t>
  </si>
  <si>
    <t>Mme. Leontine Pauline Aubart</t>
  </si>
  <si>
    <t>Mr. George Achilles Harder</t>
  </si>
  <si>
    <t>Mr. Jakob Alfred Wiklund</t>
  </si>
  <si>
    <t>Mr. William Thomas Beavan</t>
  </si>
  <si>
    <t>Mr. Sante Ringhini</t>
  </si>
  <si>
    <t>Miss. Stina Viola Palsson</t>
  </si>
  <si>
    <t>Mrs. Edgar Joseph (Leila Saks) Meyer</t>
  </si>
  <si>
    <t>Miss. Aurora Adelia Landergren</t>
  </si>
  <si>
    <t>Mr. Harry Elkins Widener</t>
  </si>
  <si>
    <t>Mr. Tannous Betros</t>
  </si>
  <si>
    <t>Mr. Karl Gideon Gustafsson</t>
  </si>
  <si>
    <t>Miss. Rosalie Bidois</t>
  </si>
  <si>
    <t>Miss. Maria Nakid</t>
  </si>
  <si>
    <t>Mr. Juho Tikkanen</t>
  </si>
  <si>
    <t>Mrs. Alexander Oskar (Mary Aline Towner) Holverson</t>
  </si>
  <si>
    <t>Mr. Vasil Plotcharsky</t>
  </si>
  <si>
    <t>Mr. Charles Henry Davies</t>
  </si>
  <si>
    <t>Master. Sidney Leonard Goodwin</t>
  </si>
  <si>
    <t>Miss. Kate Buss</t>
  </si>
  <si>
    <t>Mr. Matthew Sadlier</t>
  </si>
  <si>
    <t>Miss. Bertha Lehmann</t>
  </si>
  <si>
    <t>Mr. William Ernest Carter</t>
  </si>
  <si>
    <t>Mr. Carl Olof Jansson</t>
  </si>
  <si>
    <t>Mr. Johan Birger Gustafsson</t>
  </si>
  <si>
    <t>Miss. Marjorie Newell</t>
  </si>
  <si>
    <t>Mrs. Hjalmar (Agnes Charlotta Bengtsson) Sandstrom</t>
  </si>
  <si>
    <t>Mr. Erik Johansson</t>
  </si>
  <si>
    <t>Miss. Elina Olsson</t>
  </si>
  <si>
    <t>Mr. Peter David McKane</t>
  </si>
  <si>
    <t>Dr. Alfred Pain</t>
  </si>
  <si>
    <t>Mrs. William H (Jessie L) Trout</t>
  </si>
  <si>
    <t>Mr. Juha Niskanen</t>
  </si>
  <si>
    <t>Mr. John Adams</t>
  </si>
  <si>
    <t>Miss. Mari Aina Jussila</t>
  </si>
  <si>
    <t>Mr. Pekka Pietari Hakkarainen</t>
  </si>
  <si>
    <t>Miss. Marija Oreskovic</t>
  </si>
  <si>
    <t>Mr. Shadrach Gale</t>
  </si>
  <si>
    <t>Mr. Carl/Charles Peter Widegren</t>
  </si>
  <si>
    <t>Master. William Rowe Richards</t>
  </si>
  <si>
    <t>Mr. Hans Martin Monsen Birkeland</t>
  </si>
  <si>
    <t>Miss. Ida Lefebre</t>
  </si>
  <si>
    <t>Mr. Todor Sdycoff</t>
  </si>
  <si>
    <t>Mr. Henry Hart</t>
  </si>
  <si>
    <t>Miss. Daisy E Minahan</t>
  </si>
  <si>
    <t>Mr. Alfred Fleming Cunningham</t>
  </si>
  <si>
    <t>Mr. Johan Julian Sundman</t>
  </si>
  <si>
    <t>Mrs. Thomas (Annie Louise Rowley) Meek</t>
  </si>
  <si>
    <t>Mrs. James Vivian (Lulu Thorne Christian) Drew</t>
  </si>
  <si>
    <t>Miss. Lyyli Karoliina Silven</t>
  </si>
  <si>
    <t>Mr. William John Matthews</t>
  </si>
  <si>
    <t>Miss. Catharina Van Impe</t>
  </si>
  <si>
    <t>Mr. David Charters</t>
  </si>
  <si>
    <t>Mr. Leo Zimmerman</t>
  </si>
  <si>
    <t>Mrs. Ernst Gilbert (Anna Sigrid Maria Brogren) Danbom</t>
  </si>
  <si>
    <t>Mr. Viktor Richard Rosblom</t>
  </si>
  <si>
    <t>Mr. Phillippe Wiseman</t>
  </si>
  <si>
    <t>Mrs. Charles V (Ada Maria Winfield) Clarke</t>
  </si>
  <si>
    <t>Miss. Kate Florence Phillips</t>
  </si>
  <si>
    <t>Mr. James Flynn</t>
  </si>
  <si>
    <t>Mr. Berk (Berk Trembisky) Pickard</t>
  </si>
  <si>
    <t>Mr. Mauritz Hakan Bjornstrom-Steffansson</t>
  </si>
  <si>
    <t>Mrs. Percival (Florence Kate White) Thorneycroft</t>
  </si>
  <si>
    <t>Mrs. Charles Alexander (Alice Adelaide Slow) Louch</t>
  </si>
  <si>
    <t>Mr. Nikolai Erland Kallio</t>
  </si>
  <si>
    <t>Mr. William Baird Silvey</t>
  </si>
  <si>
    <t>Miss. Lucile Polk Carter</t>
  </si>
  <si>
    <t>Miss. Doolina Margaret Ford</t>
  </si>
  <si>
    <t>Mrs. Sidney (Emily Hocking) Richards</t>
  </si>
  <si>
    <t>Mr. Mark Fortune</t>
  </si>
  <si>
    <t>Mr. Johan Henrik Johannesson Kvillner</t>
  </si>
  <si>
    <t>Mrs. Benjamin (Esther Ada Bloomfield) Hart</t>
  </si>
  <si>
    <t>Mr. Leon Hampe</t>
  </si>
  <si>
    <t>Mr. Johan Emil Petterson</t>
  </si>
  <si>
    <t>Ms. Encarnacion Reynaldo</t>
  </si>
  <si>
    <t>Mr. Bernt Johannesen-Bratthammer</t>
  </si>
  <si>
    <t>Master. Washington Dodge</t>
  </si>
  <si>
    <t>Miss. Madeleine Violet Mellinger</t>
  </si>
  <si>
    <t>Mr. Frederic Kimber Seward</t>
  </si>
  <si>
    <t>Miss. Marie Catherine Baclini</t>
  </si>
  <si>
    <t>Major. Arthur Godfrey Peuchen</t>
  </si>
  <si>
    <t>Mr. Edwy Arthur West</t>
  </si>
  <si>
    <t>Mr. Ingvald Olai Olsen Hagland</t>
  </si>
  <si>
    <t>Mr. Benjamin Laventall Foreman</t>
  </si>
  <si>
    <t>Mr. Samuel L Goldenberg</t>
  </si>
  <si>
    <t>Mr. Joseph Peduzzi</t>
  </si>
  <si>
    <t>Mr. Ivan Jalsevac</t>
  </si>
  <si>
    <t>Mr. Francis Davis Millet</t>
  </si>
  <si>
    <t>Mrs. Frederick R (Marion) Kenyon</t>
  </si>
  <si>
    <t>Miss. Ellen Toomey</t>
  </si>
  <si>
    <t>Mr. Maurice O'Connor</t>
  </si>
  <si>
    <t>Mr. Harry Anderson</t>
  </si>
  <si>
    <t>Mr. William Morley</t>
  </si>
  <si>
    <t>Mr. Arthur H Gee</t>
  </si>
  <si>
    <t>Mr. Jacob Christian Milling</t>
  </si>
  <si>
    <t>Mr. Simon Maisner</t>
  </si>
  <si>
    <t>Mr. Manuel Estanslas Goncalves</t>
  </si>
  <si>
    <t>Mr. William Campbell</t>
  </si>
  <si>
    <t>Mr. John Montgomery Smart</t>
  </si>
  <si>
    <t>Mr. James Scanlan</t>
  </si>
  <si>
    <t>Miss. Helene Barbara Baclini</t>
  </si>
  <si>
    <t>Mr. Arthur Keefe</t>
  </si>
  <si>
    <t>Mr. Luka Cacic</t>
  </si>
  <si>
    <t>Mrs. Edwy Arthur (Ada Mary Worth) West</t>
  </si>
  <si>
    <t>Mrs. Amin S (Marie Marthe Thuillard) Jerwan</t>
  </si>
  <si>
    <t>Miss. Ida Sofia Strandberg</t>
  </si>
  <si>
    <t>Mr. George Quincy Clifford</t>
  </si>
  <si>
    <t>Mr. Peter Henry Renouf</t>
  </si>
  <si>
    <t>Mr. Lewis Richard Braund</t>
  </si>
  <si>
    <t>Mr. Nils August Karlsson</t>
  </si>
  <si>
    <t>Miss. Hildur E Hirvonen</t>
  </si>
  <si>
    <t>Master. Harold Victor Goodwin</t>
  </si>
  <si>
    <t>Mr. Anthony Wood Frost</t>
  </si>
  <si>
    <t>Mr. Richard Henry Rouse</t>
  </si>
  <si>
    <t>Mrs. (Hedwig) Turkula</t>
  </si>
  <si>
    <t>Mr. Dickinson H Bishop</t>
  </si>
  <si>
    <t>Miss. Jeannie Lefebre</t>
  </si>
  <si>
    <t>Mrs. Frederick Maxfield (Jane Anne Forby) Hoyt</t>
  </si>
  <si>
    <t>Mr. Edward Austin Kent</t>
  </si>
  <si>
    <t>Mr. Francis William Somerton</t>
  </si>
  <si>
    <t>Master. Eden Leslie Coutts</t>
  </si>
  <si>
    <t>Mr. Konrad Mathias Reiersen Hagland</t>
  </si>
  <si>
    <t>Mr. Einar Windelov</t>
  </si>
  <si>
    <t>Mr. Harry Markland Molson</t>
  </si>
  <si>
    <t>Mr. Ramon Artagaveytia</t>
  </si>
  <si>
    <t>Mr. Edward Roland Stanley</t>
  </si>
  <si>
    <t>Mr. Gerious Yousseff</t>
  </si>
  <si>
    <t>Miss. Elizabeth Mussey Eustis</t>
  </si>
  <si>
    <t>Mr. Frederick William Shellard</t>
  </si>
  <si>
    <t>Mrs. Hudson J C (Bessie Waldo Daniels) Allison</t>
  </si>
  <si>
    <t>Mr. Olof Svensson</t>
  </si>
  <si>
    <t>Mr. Petar Calic</t>
  </si>
  <si>
    <t>Miss. Mary Canavan</t>
  </si>
  <si>
    <t>Miss. Bridget Mary O'Sullivan</t>
  </si>
  <si>
    <t>Miss. Kristina Sofia Laitinen</t>
  </si>
  <si>
    <t>Miss. Roberta Maioni</t>
  </si>
  <si>
    <t>Mr. Victor de Satode Penasco y Castellana</t>
  </si>
  <si>
    <t>Mrs. Frederick Charles (Jane Richards) Quick</t>
  </si>
  <si>
    <t>Mr. George Bradley</t>
  </si>
  <si>
    <t>Mr. Henry Margido Olsen</t>
  </si>
  <si>
    <t>Mr. Fang Lang</t>
  </si>
  <si>
    <t>Mr. Eugene Patrick Daly</t>
  </si>
  <si>
    <t>Mr. James Webber</t>
  </si>
  <si>
    <t>Mr. James Robert McGough</t>
  </si>
  <si>
    <t>Mrs. Martin (Elizabeth L. Barrett) Rothschild</t>
  </si>
  <si>
    <t>Mr. Satio Coleff</t>
  </si>
  <si>
    <t>Mr. William Anderson Walker</t>
  </si>
  <si>
    <t>Mrs. (Amelia Milley) Lemore</t>
  </si>
  <si>
    <t>Mr. Patrick Ryan</t>
  </si>
  <si>
    <t>Mrs. William A (Florence Agnes Hughes) Angle</t>
  </si>
  <si>
    <t>Mr. Stefo Pavlovic</t>
  </si>
  <si>
    <t>Miss. Anne Perreault</t>
  </si>
  <si>
    <t>Mr. Janko Vovk</t>
  </si>
  <si>
    <t>Mr. Sarkis Lahoud</t>
  </si>
  <si>
    <t>Mrs. Louis Albert (Ida Sophia Fischer) Hippach</t>
  </si>
  <si>
    <t>Mr. Fared Kassem</t>
  </si>
  <si>
    <t>Mr. James Farrell</t>
  </si>
  <si>
    <t>Miss. Lucy Ridsdale</t>
  </si>
  <si>
    <t>Mr. John Farthing</t>
  </si>
  <si>
    <t>Mr. Johan Werner Salonen</t>
  </si>
  <si>
    <t>Mr. Richard George Hocking</t>
  </si>
  <si>
    <t>Miss. Phyllis May Quick</t>
  </si>
  <si>
    <t>Mr. Nakli Toufik</t>
  </si>
  <si>
    <t>Mr. Joseph Jr Elias</t>
  </si>
  <si>
    <t>Mrs. Catherine (Catherine Rizk) Peter</t>
  </si>
  <si>
    <t>Miss. Marija Cacic</t>
  </si>
  <si>
    <t>Miss. Eva Miriam Hart</t>
  </si>
  <si>
    <t>Major. Archibald Willingham Butt</t>
  </si>
  <si>
    <t>Miss. Bertha LeRoy</t>
  </si>
  <si>
    <t>Mr. Samuel Beard Risien</t>
  </si>
  <si>
    <t>Miss. Hedwig Margaritha Frolicher</t>
  </si>
  <si>
    <t>Miss. Harriet R Crosby</t>
  </si>
  <si>
    <t>Miss. Ingeborg Constanzia Andersson</t>
  </si>
  <si>
    <t>Miss. Sigrid Elisabeth Andersson</t>
  </si>
  <si>
    <t>Mr. Edward Beane</t>
  </si>
  <si>
    <t>Mr. Walter Donald Douglas</t>
  </si>
  <si>
    <t>Mr. Arthur Ernest Nicholson</t>
  </si>
  <si>
    <t>Mrs. Edward (Ethel Clarke) Beane</t>
  </si>
  <si>
    <t>Mr. Julian Padro y Manent</t>
  </si>
  <si>
    <t>Mr. Frank John Goldsmith</t>
  </si>
  <si>
    <t>Master. John Morgan Jr Davies</t>
  </si>
  <si>
    <t>Mr. John Borland Jr Thayer</t>
  </si>
  <si>
    <t>Mr. Percival James R Sharp</t>
  </si>
  <si>
    <t>Mr. Timothy O'Brien</t>
  </si>
  <si>
    <t>Mr. Fahim Leeni</t>
  </si>
  <si>
    <t>Miss. Velin Ohman</t>
  </si>
  <si>
    <t>Mr. George Wright</t>
  </si>
  <si>
    <t>Lady. (Lucille Christiana Sutherland)Duff Gordon</t>
  </si>
  <si>
    <t>Mr. Victor Robbins</t>
  </si>
  <si>
    <t>Mrs. Emil (Tillie Mandelbaum) Taussig</t>
  </si>
  <si>
    <t>Mrs. Guillaume Joseph (Emma) de Messemaeker</t>
  </si>
  <si>
    <t>Mr. Thomas Rowan Morrow</t>
  </si>
  <si>
    <t>Mr. Husein Sivic</t>
  </si>
  <si>
    <t>Mr. Robert Douglas Norman</t>
  </si>
  <si>
    <t>Mr. John Simmons</t>
  </si>
  <si>
    <t>Miss. (Marion Ogden) Meanwell</t>
  </si>
  <si>
    <t>Mr. Alfred J Davies</t>
  </si>
  <si>
    <t>Mr. Ilia Stoytcheff</t>
  </si>
  <si>
    <t>Mrs. Nils (Alma Cornelia Berglund) Palsson</t>
  </si>
  <si>
    <t>Mr. Tannous Doharr</t>
  </si>
  <si>
    <t>Mr. Carl Jonsson</t>
  </si>
  <si>
    <t>Mr. George Harris</t>
  </si>
  <si>
    <t>Mrs. Edward Dale (Charlotte Lamson) Appleton</t>
  </si>
  <si>
    <t>Mr. John Irwin Flynn</t>
  </si>
  <si>
    <t>Miss. Mary Kelly</t>
  </si>
  <si>
    <t>Mr. Alfred George John Rush</t>
  </si>
  <si>
    <t>Mr. George Patchett</t>
  </si>
  <si>
    <t>Miss. Ethel Garside</t>
  </si>
  <si>
    <t>Mrs. William Baird (Alice Munger) Silvey</t>
  </si>
  <si>
    <t>Mrs. Joseph (Maria Elias) Caram</t>
  </si>
  <si>
    <t>Mr. Eiriik Jussila</t>
  </si>
  <si>
    <t>Miss. Julie Rachel Christy</t>
  </si>
  <si>
    <t>Mrs. John Borland (Marian Longstreth Morris) Thayer</t>
  </si>
  <si>
    <t>Mr. William James Downton</t>
  </si>
  <si>
    <t>Mr. John Hugo Ross</t>
  </si>
  <si>
    <t>Mr. Uscher Paulner</t>
  </si>
  <si>
    <t>Miss. Ruth Taussig</t>
  </si>
  <si>
    <t>Mr. John Denzil Jarvis</t>
  </si>
  <si>
    <t>Mr. Maxmillian Frolicher-Stehli</t>
  </si>
  <si>
    <t>Mr. Eliezer Gilinski</t>
  </si>
  <si>
    <t>Mr. Joseph Murdlin</t>
  </si>
  <si>
    <t>Mr. Matti Rintamaki</t>
  </si>
  <si>
    <t>Mrs. Walter Bertram (Martha Eustis) Stephenson</t>
  </si>
  <si>
    <t>Mr. William James Elsbury</t>
  </si>
  <si>
    <t>Miss. Mary Bourke</t>
  </si>
  <si>
    <t>Mr. John Henry Chapman</t>
  </si>
  <si>
    <t>Mr. Jean Baptiste Van Impe</t>
  </si>
  <si>
    <t>Miss. Jessie Wills Leitch</t>
  </si>
  <si>
    <t>Mr. Alfred Johnson</t>
  </si>
  <si>
    <t>Mr. Hanna Boulos</t>
  </si>
  <si>
    <t>Sir. Cosmo Edmund Duff Gordon</t>
  </si>
  <si>
    <t>Mrs. Sidney Samuel (Amy Frances Christy) Jacobsohn</t>
  </si>
  <si>
    <t>Mr. Petco Slabenoff</t>
  </si>
  <si>
    <t>Mr. Charles H Harrington</t>
  </si>
  <si>
    <t>Mr. Ernst William Torber</t>
  </si>
  <si>
    <t>Mr. Harry Homer</t>
  </si>
  <si>
    <t>Mr. Edvard Bengtsson Lindell</t>
  </si>
  <si>
    <t>Mr. Milan Karaic</t>
  </si>
  <si>
    <t>Mr. Robert Williams Daniel</t>
  </si>
  <si>
    <t>Mrs. Joseph (Juliette Marie Louise Lafargue) Laroche</t>
  </si>
  <si>
    <t>Miss. Elizabeth W Shutes</t>
  </si>
  <si>
    <t>Mrs. Anders Johan (Alfrida Konstantia Brogren) Andersson</t>
  </si>
  <si>
    <t>Mr. Jose Neto Jardin</t>
  </si>
  <si>
    <t>Miss. Margaret Jane Murphy</t>
  </si>
  <si>
    <t>Mr. John Horgan</t>
  </si>
  <si>
    <t>Mr. William Alfred Brocklebank</t>
  </si>
  <si>
    <t>Miss. Alice Herman</t>
  </si>
  <si>
    <t>Mr. Ernst Gilbert Danbom</t>
  </si>
  <si>
    <t>Mrs. William Arthur (Cordelia K Stanlick) Lobb</t>
  </si>
  <si>
    <t>Miss. Marion Louise Becker</t>
  </si>
  <si>
    <t>Mr. Lawrence Gavey</t>
  </si>
  <si>
    <t>Mr. Antoni Yasbeck</t>
  </si>
  <si>
    <t>Mr. Edwin Nelson Jr Kimball</t>
  </si>
  <si>
    <t>Mr. Sahid Nakid</t>
  </si>
  <si>
    <t>Mr. Henry Damsgaard Hansen</t>
  </si>
  <si>
    <t>Mr. David John Bowen</t>
  </si>
  <si>
    <t>Mr. Frederick Sutton</t>
  </si>
  <si>
    <t>Rev. Charles Leonard Kirkland</t>
  </si>
  <si>
    <t>Miss. Gretchen Fiske Longley</t>
  </si>
  <si>
    <t>Mr. Guentcho Bostandyeff</t>
  </si>
  <si>
    <t>Mr. Patrick D O'Connell</t>
  </si>
  <si>
    <t>Mr. Algernon Henry Wilson Barkworth</t>
  </si>
  <si>
    <t>Mr. Johan Svensson Lundahl</t>
  </si>
  <si>
    <t>Dr. Max Stahelin-Maeglin</t>
  </si>
  <si>
    <t>Mr. William Henry Marsh Parr</t>
  </si>
  <si>
    <t>Miss. Mabel Skoog</t>
  </si>
  <si>
    <t>Miss. Mary Davis</t>
  </si>
  <si>
    <t>Mr. Antti Gustaf Leinonen</t>
  </si>
  <si>
    <t>Mr. Harvey Collyer</t>
  </si>
  <si>
    <t>Mrs. Juha (Maria Emilia Ojala) Panula</t>
  </si>
  <si>
    <t>Mr. Percival Thorneycroft</t>
  </si>
  <si>
    <t>Mr. Hans Peder Jensen</t>
  </si>
  <si>
    <t>Mlle. Emma Sagesser</t>
  </si>
  <si>
    <t>Miss. Margit Elizabeth Skoog</t>
  </si>
  <si>
    <t>Mr. Choong Foo</t>
  </si>
  <si>
    <t>Miss. Eugenie Baclini</t>
  </si>
  <si>
    <t>Mr. Henry Sleeper Harper</t>
  </si>
  <si>
    <t>Mr. Liudevit Cor</t>
  </si>
  <si>
    <t>Col. Oberst Alfons Simonius-Blumer</t>
  </si>
  <si>
    <t>Mr. Edward Willey</t>
  </si>
  <si>
    <t>Miss. Amy Zillah Elsie Stanley</t>
  </si>
  <si>
    <t>Mr. Mito Mitkoff</t>
  </si>
  <si>
    <t>Miss. Elsie Doling</t>
  </si>
  <si>
    <t>Mr. Johannes Halvorsen Kalvik</t>
  </si>
  <si>
    <t>Miss. Hanora O'Leary</t>
  </si>
  <si>
    <t>Miss. Hanora Hegarty</t>
  </si>
  <si>
    <t>Mr. Leonard Mark Hickman</t>
  </si>
  <si>
    <t>Mr. Alexander Radeff</t>
  </si>
  <si>
    <t>Mrs. John (Catherine) Bourke</t>
  </si>
  <si>
    <t>Mr. George Floyd Eitemiller</t>
  </si>
  <si>
    <t>Mr. Arthur Webster Newell</t>
  </si>
  <si>
    <t>Dr. Henry William Frauenthal</t>
  </si>
  <si>
    <t>Mr. Mohamed Badt</t>
  </si>
  <si>
    <t>Mr. Edward Pomeroy Colley</t>
  </si>
  <si>
    <t>Mr. Peju Coleff</t>
  </si>
  <si>
    <t>Mr. Eino William Lindqvist</t>
  </si>
  <si>
    <t>Mr. Lewis Hickman</t>
  </si>
  <si>
    <t>Mr. Reginald Fenton Butler</t>
  </si>
  <si>
    <t>Mr. Knud Paust Rommetvedt</t>
  </si>
  <si>
    <t>Mr. Jacob Cook</t>
  </si>
  <si>
    <t>Mrs. Elmer Zebley (Juliet Cummins Wright) Taylor</t>
  </si>
  <si>
    <t>Mrs. Thomas William Solomon (Elizabeth Catherine Ford) Brown</t>
  </si>
  <si>
    <t>Mr. Thornton Davidson</t>
  </si>
  <si>
    <t>Mr. Henry Michael Mitchell</t>
  </si>
  <si>
    <t>Mr. Charles Wilhelms</t>
  </si>
  <si>
    <t>Mr. Ennis Hastings Watson</t>
  </si>
  <si>
    <t>Mr. Gustaf Hjalmar Edvardsson</t>
  </si>
  <si>
    <t>Mr. Frederick Charles Sawyer</t>
  </si>
  <si>
    <t>Miss. Anna Sofia Turja</t>
  </si>
  <si>
    <t>Mrs. Frederick (Augusta Tyler) Goodwin</t>
  </si>
  <si>
    <t>Mr. Thomas Drake Martinez Cardeza</t>
  </si>
  <si>
    <t>Miss. Katie Peters</t>
  </si>
  <si>
    <t>Mr. Hammad Hassab</t>
  </si>
  <si>
    <t>Mr. Thor Anderson Olsvigen</t>
  </si>
  <si>
    <t>Mr. Charles Edward Goodwin</t>
  </si>
  <si>
    <t>Mr. Thomas William Solomon Brown</t>
  </si>
  <si>
    <t>Mr. Joseph Philippe Lemercier Laroche</t>
  </si>
  <si>
    <t>Mr. Jaako Arnold Panula</t>
  </si>
  <si>
    <t>Mr. Branko Dakic</t>
  </si>
  <si>
    <t>Mr. Eberhard Thelander Fischer</t>
  </si>
  <si>
    <t>Miss. Georgette Alexandra Madill</t>
  </si>
  <si>
    <t>Mr. Albert Adrian Dick</t>
  </si>
  <si>
    <t>Miss. Manca Karun</t>
  </si>
  <si>
    <t>Mr. Ali Lam</t>
  </si>
  <si>
    <t>Mr. Khalil Saad</t>
  </si>
  <si>
    <t>Col. John Weir</t>
  </si>
  <si>
    <t>Mr. Charles Henry Chapman</t>
  </si>
  <si>
    <t>Mr. James Kelly</t>
  </si>
  <si>
    <t>Miss. Katherine Mullens</t>
  </si>
  <si>
    <t>Mr. John Borland Thayer</t>
  </si>
  <si>
    <t>Mr. Adolf Mathias Nicolai Olsen Humblen</t>
  </si>
  <si>
    <t>Mrs. John Jacob (Madeleine Talmadge Force) Astor</t>
  </si>
  <si>
    <t>Mr. Spencer Victor Silverthorne</t>
  </si>
  <si>
    <t>Miss. Saiide Barbara</t>
  </si>
  <si>
    <t>Mr. Martin Gallagher</t>
  </si>
  <si>
    <t>Mr. Henrik Juul Hansen</t>
  </si>
  <si>
    <t>Mr. Henry Samuel Morley</t>
  </si>
  <si>
    <t>Mrs. Florence Kelly</t>
  </si>
  <si>
    <t>Mr. Edward Pennington Calderhead</t>
  </si>
  <si>
    <t>Miss. Alice Cleaver</t>
  </si>
  <si>
    <t>Master. Halim Gonios Moubarek</t>
  </si>
  <si>
    <t>Mlle. Berthe Antonine Mayne</t>
  </si>
  <si>
    <t>Mr. Herman Klaber</t>
  </si>
  <si>
    <t>Mr. Elmer Zebley Taylor</t>
  </si>
  <si>
    <t>Mr. August Viktor Larsson</t>
  </si>
  <si>
    <t>Mr. Samuel Greenberg</t>
  </si>
  <si>
    <t>Mr. Peter Andreas Lauritz Andersen Soholt</t>
  </si>
  <si>
    <t>Miss. Caroline Louise Endres</t>
  </si>
  <si>
    <t>Miss. Edwina Celia Troutt</t>
  </si>
  <si>
    <t>Mr. Malkolm Joackim Johnson</t>
  </si>
  <si>
    <t>Miss. Annie Jessie Harper</t>
  </si>
  <si>
    <t>Mr. Svend Lauritz Jensen</t>
  </si>
  <si>
    <t>Mr. William Henry Gillespie</t>
  </si>
  <si>
    <t>Mr. Henry Price Hodges</t>
  </si>
  <si>
    <t>Mr. Norman Campbell Chambers</t>
  </si>
  <si>
    <t>Mr. Luka Oreskovic</t>
  </si>
  <si>
    <t>Mrs. Peter Henry (Lillian Jefferys) Renouf</t>
  </si>
  <si>
    <t>Miss. Margareth Mannion</t>
  </si>
  <si>
    <t>Mr. Kurt Arnold Gottfrid Bryhl</t>
  </si>
  <si>
    <t>Miss. Pieta Sofia Ilmakangas</t>
  </si>
  <si>
    <t>Miss. Elisabeth Walton Allen</t>
  </si>
  <si>
    <t>Mr. Houssein G N Hassan</t>
  </si>
  <si>
    <t>Mr. Robert J Knight</t>
  </si>
  <si>
    <t>Mr. William John Berriman</t>
  </si>
  <si>
    <t>Mr. Moses Aaron Troupiansky</t>
  </si>
  <si>
    <t>Mr. Leslie Williams</t>
  </si>
  <si>
    <t>Mrs. Edward (Margaret Ann Watson) Ford</t>
  </si>
  <si>
    <t>Mr. Gustave J Lesurer</t>
  </si>
  <si>
    <t>Mr. Kanio Ivanoff</t>
  </si>
  <si>
    <t>Mr. Minko Nankoff</t>
  </si>
  <si>
    <t>Mr. Walter James Hawksford</t>
  </si>
  <si>
    <t>Mr. Tyrell William Cavendish</t>
  </si>
  <si>
    <t>Miss. Susan Parker Ryerson</t>
  </si>
  <si>
    <t>Mr. Neal McNamee</t>
  </si>
  <si>
    <t>Mr. Juho Stranden</t>
  </si>
  <si>
    <t>Capt. Edward Gifford Crosby</t>
  </si>
  <si>
    <t>Mr. Rossmore Edward Abbott</t>
  </si>
  <si>
    <t>Miss. Anna Sinkkonen</t>
  </si>
  <si>
    <t>Mr. Daniel Warner Marvin</t>
  </si>
  <si>
    <t>Mr. Michael Connaghton</t>
  </si>
  <si>
    <t>Miss. Joan Wells</t>
  </si>
  <si>
    <t>Master. Meier Moor</t>
  </si>
  <si>
    <t>Mr. Johannes Joseph Vande Velde</t>
  </si>
  <si>
    <t>Mr. Lalio Jonkoff</t>
  </si>
  <si>
    <t>Mrs. Samuel (Jane Laver) Herman</t>
  </si>
  <si>
    <t>Master. Viljo Hamalainen</t>
  </si>
  <si>
    <t>Mr. August Sigfrid Carlsson</t>
  </si>
  <si>
    <t>Mr. Percy Andrew Bailey</t>
  </si>
  <si>
    <t>Mr. Thomas Leonard Theobald</t>
  </si>
  <si>
    <t>the Countess. of (Lucy Noel Martha Dyer-Edwards) Rothes</t>
  </si>
  <si>
    <t>Mr. John Garfirth</t>
  </si>
  <si>
    <t>Mr. Iisakki Antino Aijo Nirva</t>
  </si>
  <si>
    <t>Mr. Hanna Assi Barah</t>
  </si>
  <si>
    <t>Mrs. William Ernest (Lucile Polk) Carter</t>
  </si>
  <si>
    <t>Mr. Hans Linus Eklund</t>
  </si>
  <si>
    <t>Mrs. John C (Anna Andrews) Hogeboom</t>
  </si>
  <si>
    <t>Dr. Arthur Jackson Brewe</t>
  </si>
  <si>
    <t>Miss. Mary Mangan</t>
  </si>
  <si>
    <t>Mr. Daniel J Moran</t>
  </si>
  <si>
    <t>Mr. Daniel Danielsen Gronnestad</t>
  </si>
  <si>
    <t>Mr. Rene Aime Lievens</t>
  </si>
  <si>
    <t>Mr. Niels Peder Jensen</t>
  </si>
  <si>
    <t>Mrs. (Mary) Mack</t>
  </si>
  <si>
    <t>Mr. Dibo Elias</t>
  </si>
  <si>
    <t>Mrs. Elizabeth (Eliza Needs) Hocking</t>
  </si>
  <si>
    <t>Mr. Pehr Fabian Oliver Malkolm Myhrman</t>
  </si>
  <si>
    <t>Mr. Roger Tobin</t>
  </si>
  <si>
    <t>Miss. Virginia Ethel Emanuel</t>
  </si>
  <si>
    <t>Mr. Thomas J Kilgannon</t>
  </si>
  <si>
    <t>Mrs. Edward Scott (Elisabeth Walton McMillan) Robert</t>
  </si>
  <si>
    <t>Miss. Banoura Ayoub</t>
  </si>
  <si>
    <t>Mrs. Albert Adrian (Vera Gillespie) Dick</t>
  </si>
  <si>
    <t>Mr. Milton Clyde Long</t>
  </si>
  <si>
    <t>Mr. Andrew G Johnston</t>
  </si>
  <si>
    <t>Mr. William Ali</t>
  </si>
  <si>
    <t>Mr. Abraham (David Lishin) Harmer</t>
  </si>
  <si>
    <t>Miss. Anna Sofia Sjoblom</t>
  </si>
  <si>
    <t>Master. George Hugh Rice</t>
  </si>
  <si>
    <t>Master. Bertram Vere Dean</t>
  </si>
  <si>
    <t>Mr. Benjamin Guggenheim</t>
  </si>
  <si>
    <t>Mr. Andrew Keane</t>
  </si>
  <si>
    <t>Mr. Alfred Gaskell</t>
  </si>
  <si>
    <t>Miss. Stella Anna Sage</t>
  </si>
  <si>
    <t>Mr. William Fisher Hoyt</t>
  </si>
  <si>
    <t>Mr. Ristiu Dantcheff</t>
  </si>
  <si>
    <t>Mr. Richard Otter</t>
  </si>
  <si>
    <t>Dr. Alice (Farnham) Leader</t>
  </si>
  <si>
    <t>Mrs. Mara Osman</t>
  </si>
  <si>
    <t>Mr. Yousseff Ibrahim Shawah</t>
  </si>
  <si>
    <t>Mrs. Jean Baptiste (Rosalie Paula Govaert) Van Impe</t>
  </si>
  <si>
    <t>Mr. Martin Ponesell</t>
  </si>
  <si>
    <t>Mrs. Harvey (Charlotte Annie Tate) Collyer</t>
  </si>
  <si>
    <t>Master. William Thornton II Carter</t>
  </si>
  <si>
    <t>Master. Assad Alexander Thomas</t>
  </si>
  <si>
    <t>Mr. Oskar Arvid Hedman</t>
  </si>
  <si>
    <t>Mr. Karl Johan Johansson</t>
  </si>
  <si>
    <t>Mr. Thomas Jr Andrews</t>
  </si>
  <si>
    <t>Miss. Ellen Natalia Pettersson</t>
  </si>
  <si>
    <t>Mr. August Meyer</t>
  </si>
  <si>
    <t>Mrs. Norman Campbell (Bertha Griggs) Chambers</t>
  </si>
  <si>
    <t>Mr. William Alexander</t>
  </si>
  <si>
    <t>Mr. James Lester</t>
  </si>
  <si>
    <t>Mr. Richard James Slemen</t>
  </si>
  <si>
    <t>Miss. Ebba Iris Alfrida Andersson</t>
  </si>
  <si>
    <t>Mr. Ernest Portage Tomlin</t>
  </si>
  <si>
    <t>Mr. Richard Fry</t>
  </si>
  <si>
    <t>Miss. Wendla Maria Heininen</t>
  </si>
  <si>
    <t>Mr. Albert Mallet</t>
  </si>
  <si>
    <t>Mr. John Fredrik Alexander Holm</t>
  </si>
  <si>
    <t>Master. Karl Thorsten Skoog</t>
  </si>
  <si>
    <t>Mrs. Charles Melville (Clara Jennings Gregg) Hays</t>
  </si>
  <si>
    <t>Mr. Nikola Lulic</t>
  </si>
  <si>
    <t>Jonkheer. John George Reuchlin</t>
  </si>
  <si>
    <t>Mrs. (Beila) Moor</t>
  </si>
  <si>
    <t>Master. Urho Abraham Panula</t>
  </si>
  <si>
    <t>Mr. John Flynn</t>
  </si>
  <si>
    <t>Mr. Len Lam</t>
  </si>
  <si>
    <t>Master. Andre Mallet</t>
  </si>
  <si>
    <t>Mr. Thomas Joseph McCormack</t>
  </si>
  <si>
    <t>Mrs. George Nelson (Martha Evelyn) Stone</t>
  </si>
  <si>
    <t>Mrs. Antoni (Selini Alexander) Yasbeck</t>
  </si>
  <si>
    <t>Master. George Sibley Richards</t>
  </si>
  <si>
    <t>Mr. Amin Saad</t>
  </si>
  <si>
    <t>Mr. Albert Augustsson</t>
  </si>
  <si>
    <t>Mr. Owen George Allum</t>
  </si>
  <si>
    <t>Miss. Sara Rebecca Compton</t>
  </si>
  <si>
    <t>Mr. Jakob Pasic</t>
  </si>
  <si>
    <t>Mr. Maurice Sirota</t>
  </si>
  <si>
    <t>Mr. Chang Chip</t>
  </si>
  <si>
    <t>Mr. Pierre Marechal</t>
  </si>
  <si>
    <t>Mr. Ilmari Rudolf Alhomaki</t>
  </si>
  <si>
    <t>Mr. Thomas Charles Mudd</t>
  </si>
  <si>
    <t>Miss. Augusta Serepeca</t>
  </si>
  <si>
    <t>Mr. Peter L Lemberopolous</t>
  </si>
  <si>
    <t>Mr. Jeso Culumovic</t>
  </si>
  <si>
    <t>Mr. Anthony Abbing</t>
  </si>
  <si>
    <t>Mr. Douglas Bullen Sage</t>
  </si>
  <si>
    <t>Mr. Marin Markoff</t>
  </si>
  <si>
    <t>Rev. John Harper</t>
  </si>
  <si>
    <t>Mrs. Samuel L (Edwiga Grabowska) Goldenberg</t>
  </si>
  <si>
    <t>Master. Sigvard Harald Elias Andersson</t>
  </si>
  <si>
    <t>Mr. Johan Svensson</t>
  </si>
  <si>
    <t>Miss. Nourelain Boulos</t>
  </si>
  <si>
    <t>Miss. Mary Conover Lines</t>
  </si>
  <si>
    <t>Mrs. Ernest Courtenay (Lilian Hughes) Carter</t>
  </si>
  <si>
    <t>Mrs. Sam (Leah Rosen) Aks</t>
  </si>
  <si>
    <t>Mrs. George Dennick (Mary Hitchcock) Wick</t>
  </si>
  <si>
    <t>Mr. Peter Denis Daly</t>
  </si>
  <si>
    <t>Mrs. Solomon (Latifa Qurban) Baclini</t>
  </si>
  <si>
    <t>Mr. Raihed Razi</t>
  </si>
  <si>
    <t>Mr. Claus Peter Hansen</t>
  </si>
  <si>
    <t>Mr. Frederick Edward Giles</t>
  </si>
  <si>
    <t>Mrs. Frederick Joel (Margaret Welles Barron) Swift</t>
  </si>
  <si>
    <t>Miss. Dorothy Edith Sage</t>
  </si>
  <si>
    <t>Mr. John William Gill</t>
  </si>
  <si>
    <t>Mrs. (Karolina) Bystrom</t>
  </si>
  <si>
    <t>Miss. Asuncion Duran y More</t>
  </si>
  <si>
    <t>Mr. Washington Augustus II Roebling</t>
  </si>
  <si>
    <t>Mr. Philemon van Melkebeke</t>
  </si>
  <si>
    <t>Master. Harold Theodor Johnson</t>
  </si>
  <si>
    <t>Mr. Cerin Balkic</t>
  </si>
  <si>
    <t>Mrs. Richard Leonard (Sallie Monypeny) Beckwith</t>
  </si>
  <si>
    <t>Mr. Frans Olof Carlsson</t>
  </si>
  <si>
    <t>Mr. Victor Vander Cruyssen</t>
  </si>
  <si>
    <t>Mrs. Samuel (Hannah Wizosky) Abelson</t>
  </si>
  <si>
    <t>Miss. Adele Kiamie Najib</t>
  </si>
  <si>
    <t>Mr. Alfred Ossian Gustafsson</t>
  </si>
  <si>
    <t>Mr. Nedelio Petroff</t>
  </si>
  <si>
    <t>Mr. Kristo Laleff</t>
  </si>
  <si>
    <t>Mrs. Thomas Jr (Lily Alexenia Wilson) Potter</t>
  </si>
  <si>
    <t>Mrs. William (Imanita Parrish Hall) Shelley</t>
  </si>
  <si>
    <t>Mr. Johann Markun</t>
  </si>
  <si>
    <t>Miss. Gerda Ulrika Dahlberg</t>
  </si>
  <si>
    <t>Mr. Frederick James Banfield</t>
  </si>
  <si>
    <t>Mr. Henry Jr Sutehall</t>
  </si>
  <si>
    <t>Mrs. William (Margaret Norton) Rice</t>
  </si>
  <si>
    <t>Rev. Juozas Montvila</t>
  </si>
  <si>
    <t>Miss. Margaret Edith Graham</t>
  </si>
  <si>
    <t>Miss. Catherine Helen Johnston</t>
  </si>
  <si>
    <t>Mr. Karl Howell Behr</t>
  </si>
  <si>
    <t>Mr. Patrick Dooley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</si>
  <si>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</si>
  <si>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</si>
  <si>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</si>
  <si>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</si>
  <si>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</si>
  <si>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</si>
  <si>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</si>
  <si>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</si>
  <si>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</si>
  <si>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</si>
  <si>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</si>
  <si>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</si>
  <si>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</si>
  <si>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</si>
  <si>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</si>
  <si>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</si>
  <si>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</si>
  <si>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</si>
  <si>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</si>
  <si>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</si>
  <si>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</si>
  <si>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</si>
  <si>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</si>
  <si>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</si>
  <si>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</si>
  <si>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</si>
  <si>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sales</t>
  </si>
  <si>
    <t>Residuals</t>
  </si>
  <si>
    <t>UCI</t>
  </si>
  <si>
    <t>T Stat</t>
  </si>
  <si>
    <t>(t Stat, df, tail)</t>
  </si>
  <si>
    <t>scipy. stats. t. sf(abs(t stat), df=df)</t>
  </si>
  <si>
    <t>survival function or 1 - cdf</t>
  </si>
  <si>
    <t>https://www.freecodecamp.org/news/https-medium-com-sharadvm-how-to-read-a-regression-table-661d391e9bd7-708e75efc560/</t>
  </si>
  <si>
    <r>
      <t>A residual value is </t>
    </r>
    <r>
      <rPr>
        <b/>
        <sz val="8"/>
        <color rgb="FF5F6368"/>
        <rFont val="Roboto"/>
      </rPr>
      <t>a measure of how much a regression line vertically misses a data point</t>
    </r>
    <r>
      <rPr>
        <sz val="8"/>
        <color rgb="FF4D5156"/>
        <rFont val="Roboto"/>
      </rPr>
      <t>. Regression lines are the best fit of a set of data.</t>
    </r>
  </si>
  <si>
    <r>
      <t>Interpreting a coefficient</t>
    </r>
    <r>
      <rPr>
        <sz val="10"/>
        <color rgb="FF212121"/>
        <rFont val="Roboto"/>
      </rPr>
      <t>: $1000 dollars on radio advertising would be associated with an increase of sales by 0.19 * 1000, or 190 units, given spending stays the same.</t>
    </r>
  </si>
  <si>
    <t>Confidence intervals tend to be wider the more variability in a distribution. Confidence intervals tend to be narrower the larger the sample size is. Confidence intervals tend to be narrower when our accuracy is higher.</t>
  </si>
  <si>
    <t>https://www.statology.org/logistic-regression-excel/</t>
  </si>
  <si>
    <t>SS Regression explains variability</t>
  </si>
  <si>
    <t>(yhat - ymean)^2</t>
  </si>
  <si>
    <t>Regression SS</t>
  </si>
  <si>
    <t>Residual SS</t>
  </si>
  <si>
    <t>(y - yhat)^2</t>
  </si>
  <si>
    <t>(yhat-ymean)^2/reg.df</t>
  </si>
  <si>
    <t>(y-yhat)^2/res.df</t>
  </si>
  <si>
    <t>Significance relationship between dependent and independent variables</t>
  </si>
  <si>
    <t>Standard Error is a goodness-of-fit measure that shows the precision of your regression analysis - the smaller the number, the more certain you can be about your regression equation. While R2 represents the percentage of the dependent variables variance that is explained by the model, Standard Error is an absolute measure that shows the average distance that the data points fall from the regression line.</t>
  </si>
  <si>
    <t>The standard deviation of an estimate is called the standard error. The standard error of the coefficient measures how precisely the model estimates the coefficient's unknown value. The standard error of the coefficient is always positive.</t>
  </si>
  <si>
    <t>MS between</t>
  </si>
  <si>
    <t>MS within</t>
  </si>
  <si>
    <t>F Score</t>
  </si>
  <si>
    <t>F Significance</t>
  </si>
  <si>
    <t xml:space="preserve">https://medium.com/@adaoraogbonna/analyses-of-the-titanic-dataset-using-excel-8d1d63d0b177 </t>
  </si>
  <si>
    <t xml:space="preserve">https://support.microsoft.com/en-gb/office/create-and-share-a-dashboard-with-excel-and-microsoft-groups-ad92a34d-38d0-4fdd-b8b1-58379aae746e </t>
  </si>
  <si>
    <t>Mr</t>
  </si>
  <si>
    <t xml:space="preserve"> Owen Harris Braund</t>
  </si>
  <si>
    <t>Mrs</t>
  </si>
  <si>
    <t xml:space="preserve"> John Bradley (Florence Briggs Thayer) Cumings</t>
  </si>
  <si>
    <t>Miss</t>
  </si>
  <si>
    <t xml:space="preserve"> Laina Heikkinen</t>
  </si>
  <si>
    <t xml:space="preserve"> Jacques Heath (Lily May Peel) Futrelle</t>
  </si>
  <si>
    <t xml:space="preserve"> William Henry Allen</t>
  </si>
  <si>
    <t xml:space="preserve"> James Moran</t>
  </si>
  <si>
    <t xml:space="preserve"> Timothy J McCarthy</t>
  </si>
  <si>
    <t>Master</t>
  </si>
  <si>
    <t xml:space="preserve"> Gosta Leonard Palsson</t>
  </si>
  <si>
    <t xml:space="preserve"> Oscar W (Elisabeth Vilhelmina Berg) Johnson</t>
  </si>
  <si>
    <t xml:space="preserve"> Nicholas (Adele Achem) Nasser</t>
  </si>
  <si>
    <t xml:space="preserve"> Marguerite Rut Sandstrom</t>
  </si>
  <si>
    <t xml:space="preserve"> Elizabeth Bonnell</t>
  </si>
  <si>
    <t xml:space="preserve"> William Henry Saundercock</t>
  </si>
  <si>
    <t xml:space="preserve"> Anders Johan Andersson</t>
  </si>
  <si>
    <t xml:space="preserve"> Hulda Amanda Adolfina Vestrom</t>
  </si>
  <si>
    <t xml:space="preserve"> (Mary D Kingcome) Hewlett</t>
  </si>
  <si>
    <t xml:space="preserve"> Eugene Rice</t>
  </si>
  <si>
    <t xml:space="preserve"> Charles Eugene Williams</t>
  </si>
  <si>
    <t xml:space="preserve"> Julius (Emelia Maria Vandemoortele) Vander Planke</t>
  </si>
  <si>
    <t xml:space="preserve"> Fatima Masselmani</t>
  </si>
  <si>
    <t xml:space="preserve"> Joseph J Fynney</t>
  </si>
  <si>
    <t xml:space="preserve"> Lawrence Beesley</t>
  </si>
  <si>
    <t xml:space="preserve"> Anna McGowan</t>
  </si>
  <si>
    <t xml:space="preserve"> William Thompson Sloper</t>
  </si>
  <si>
    <t xml:space="preserve"> Torborg Danira Palsson</t>
  </si>
  <si>
    <t xml:space="preserve"> Carl Oscar (Selma Augusta Emilia Johansson) Asplund</t>
  </si>
  <si>
    <t xml:space="preserve"> Farred Chehab Emir</t>
  </si>
  <si>
    <t xml:space="preserve"> Charles Alexander Fortune</t>
  </si>
  <si>
    <t xml:space="preserve"> Ellen O'Dwyer</t>
  </si>
  <si>
    <t xml:space="preserve"> Lalio Todoroff</t>
  </si>
  <si>
    <t>Don</t>
  </si>
  <si>
    <t xml:space="preserve"> Manuel E Uruchurtu</t>
  </si>
  <si>
    <t xml:space="preserve"> William Augustus (Marie Eugenie) Spencer</t>
  </si>
  <si>
    <t xml:space="preserve"> Mary Agatha Glynn</t>
  </si>
  <si>
    <t xml:space="preserve"> Edward H Wheadon</t>
  </si>
  <si>
    <t xml:space="preserve"> Edgar Joseph Meyer</t>
  </si>
  <si>
    <t xml:space="preserve"> Alexander Oskar Holverson</t>
  </si>
  <si>
    <t xml:space="preserve"> Hanna Mamee</t>
  </si>
  <si>
    <t xml:space="preserve"> Ernest Charles Cann</t>
  </si>
  <si>
    <t xml:space="preserve"> Augusta Maria Vander Planke</t>
  </si>
  <si>
    <t xml:space="preserve"> Jamila Nicola-Yarred</t>
  </si>
  <si>
    <t xml:space="preserve"> Johan (Johanna Persdotter Larsson) Ahlin</t>
  </si>
  <si>
    <t xml:space="preserve"> William John Robert (Dorothy Ann Wonnacott) Turpin</t>
  </si>
  <si>
    <t xml:space="preserve"> Simonne Marie Anne Andree Laroche</t>
  </si>
  <si>
    <t xml:space="preserve"> Margaret Delia Devaney</t>
  </si>
  <si>
    <t xml:space="preserve"> William John Rogers</t>
  </si>
  <si>
    <t xml:space="preserve"> Denis Lennon</t>
  </si>
  <si>
    <t xml:space="preserve"> Bridget O'Driscoll</t>
  </si>
  <si>
    <t xml:space="preserve"> Youssef Samaan</t>
  </si>
  <si>
    <t xml:space="preserve"> Josef (Josefine Franchi) Arnold-Franchi</t>
  </si>
  <si>
    <t xml:space="preserve"> Juha Niilo Panula</t>
  </si>
  <si>
    <t xml:space="preserve"> Richard Cater Nosworthy</t>
  </si>
  <si>
    <t xml:space="preserve"> Henry Sleeper (Myna Haxtun) Harper</t>
  </si>
  <si>
    <t xml:space="preserve"> Lizzie (Elizabeth Anne Wilkinson) Faunthorpe</t>
  </si>
  <si>
    <t xml:space="preserve"> Engelhart Cornelius Ostby</t>
  </si>
  <si>
    <t xml:space="preserve"> Hugh Woolner</t>
  </si>
  <si>
    <t xml:space="preserve"> Emily Rugg</t>
  </si>
  <si>
    <t xml:space="preserve"> Mansouer Novel</t>
  </si>
  <si>
    <t xml:space="preserve"> Constance Mirium West</t>
  </si>
  <si>
    <t xml:space="preserve"> William Frederick Goodwin</t>
  </si>
  <si>
    <t xml:space="preserve"> Orsen Sirayanian</t>
  </si>
  <si>
    <t xml:space="preserve"> Amelie Icard</t>
  </si>
  <si>
    <t xml:space="preserve"> Henry Birkhardt Harris</t>
  </si>
  <si>
    <t xml:space="preserve"> Harald Skoog</t>
  </si>
  <si>
    <t xml:space="preserve"> Albert A Stewart</t>
  </si>
  <si>
    <t xml:space="preserve"> Gerios Moubarek</t>
  </si>
  <si>
    <t xml:space="preserve"> (Elizabeth Ramell) Nye</t>
  </si>
  <si>
    <t xml:space="preserve"> Ernest James Crease</t>
  </si>
  <si>
    <t xml:space="preserve"> Erna Alexandra Andersson</t>
  </si>
  <si>
    <t xml:space="preserve"> Vincenz Kink</t>
  </si>
  <si>
    <t xml:space="preserve"> Stephen Curnow Jenkin</t>
  </si>
  <si>
    <t xml:space="preserve"> Lillian Amy Goodwin</t>
  </si>
  <si>
    <t xml:space="preserve"> Ambrose Jr Hood</t>
  </si>
  <si>
    <t xml:space="preserve"> Apostolos Chronopoulos</t>
  </si>
  <si>
    <t xml:space="preserve"> Lee Bing</t>
  </si>
  <si>
    <t xml:space="preserve"> Sigurd Hansen Moen</t>
  </si>
  <si>
    <t xml:space="preserve"> Ivan Staneff</t>
  </si>
  <si>
    <t xml:space="preserve"> Rahamin Haim Moutal</t>
  </si>
  <si>
    <t xml:space="preserve"> Alden Gates Caldwell</t>
  </si>
  <si>
    <t xml:space="preserve"> Elizabeth Dowdell</t>
  </si>
  <si>
    <t xml:space="preserve"> Achille Waelens</t>
  </si>
  <si>
    <t xml:space="preserve"> Jan Baptist Sheerlinck</t>
  </si>
  <si>
    <t xml:space="preserve"> Brigdet Delia McDermott</t>
  </si>
  <si>
    <t xml:space="preserve"> Francisco M Carrau</t>
  </si>
  <si>
    <t xml:space="preserve"> Bertha Ilett</t>
  </si>
  <si>
    <t xml:space="preserve"> Karl Alfred (Maria Mathilda Gustafsson) Backstrom</t>
  </si>
  <si>
    <t xml:space="preserve"> William Neal Ford</t>
  </si>
  <si>
    <t xml:space="preserve"> Selman Francis Slocovski</t>
  </si>
  <si>
    <t xml:space="preserve"> Mabel Helen Fortune</t>
  </si>
  <si>
    <t xml:space="preserve"> Francesco Celotti</t>
  </si>
  <si>
    <t xml:space="preserve"> Emil Christmann</t>
  </si>
  <si>
    <t xml:space="preserve"> Paul Edvin Andreasson</t>
  </si>
  <si>
    <t xml:space="preserve"> Herbert Fuller Chaffee</t>
  </si>
  <si>
    <t xml:space="preserve"> Bertram Frank Dean</t>
  </si>
  <si>
    <t xml:space="preserve"> Daniel Coxon</t>
  </si>
  <si>
    <t xml:space="preserve"> Charles Joseph Shorney</t>
  </si>
  <si>
    <t xml:space="preserve"> George B Goldschmidt</t>
  </si>
  <si>
    <t xml:space="preserve"> William Bertram Greenfield</t>
  </si>
  <si>
    <t xml:space="preserve"> John T (Ada Julia Bone) Doling</t>
  </si>
  <si>
    <t xml:space="preserve"> Sinai Kantor</t>
  </si>
  <si>
    <t xml:space="preserve"> Matilda Petranec</t>
  </si>
  <si>
    <t xml:space="preserve"> Pastcho Petroff</t>
  </si>
  <si>
    <t xml:space="preserve"> Richard Frasar White</t>
  </si>
  <si>
    <t xml:space="preserve"> Gustaf Joel Johansson</t>
  </si>
  <si>
    <t xml:space="preserve"> Anders Vilhelm Gustafsson</t>
  </si>
  <si>
    <t xml:space="preserve"> Stoytcho Mionoff</t>
  </si>
  <si>
    <t xml:space="preserve"> Anna Kristine Salkjelsvik</t>
  </si>
  <si>
    <t xml:space="preserve"> Albert Johan Moss</t>
  </si>
  <si>
    <t xml:space="preserve"> Tido Rekic</t>
  </si>
  <si>
    <t xml:space="preserve"> Bertha Moran</t>
  </si>
  <si>
    <t xml:space="preserve"> Walter Chamberlain Porter</t>
  </si>
  <si>
    <t xml:space="preserve"> Hileni Zabour</t>
  </si>
  <si>
    <t xml:space="preserve"> David John Barton</t>
  </si>
  <si>
    <t xml:space="preserve"> Katriina Jussila</t>
  </si>
  <si>
    <t xml:space="preserve"> Malake Attalah</t>
  </si>
  <si>
    <t xml:space="preserve"> Edvard Pekoniemi</t>
  </si>
  <si>
    <t xml:space="preserve"> Patrick Connors</t>
  </si>
  <si>
    <t xml:space="preserve"> William John Robert Turpin</t>
  </si>
  <si>
    <t xml:space="preserve"> Quigg Edmond Baxter</t>
  </si>
  <si>
    <t xml:space="preserve"> Ellis Anna Maria Andersson</t>
  </si>
  <si>
    <t xml:space="preserve"> Stanley George Hickman</t>
  </si>
  <si>
    <t xml:space="preserve"> Leonard Charles Moore</t>
  </si>
  <si>
    <t xml:space="preserve"> Nicholas Nasser</t>
  </si>
  <si>
    <t xml:space="preserve"> Susan Webber</t>
  </si>
  <si>
    <t xml:space="preserve"> Percival Wayland White</t>
  </si>
  <si>
    <t xml:space="preserve"> Elias Nicola-Yarred</t>
  </si>
  <si>
    <t xml:space="preserve"> Martin McMahon</t>
  </si>
  <si>
    <t xml:space="preserve"> Fridtjof Arne Madsen</t>
  </si>
  <si>
    <t xml:space="preserve"> Anna Peter</t>
  </si>
  <si>
    <t xml:space="preserve"> Johan Ekstrom</t>
  </si>
  <si>
    <t xml:space="preserve"> Jozef Drazenoic</t>
  </si>
  <si>
    <t xml:space="preserve"> Domingos Fernandeo Coelho</t>
  </si>
  <si>
    <t xml:space="preserve"> Alexander A (Grace Charity Laury) Robins</t>
  </si>
  <si>
    <t xml:space="preserve"> Leopold (Mathilde Francoise Pede) Weisz</t>
  </si>
  <si>
    <t xml:space="preserve"> Samuel James Hayden Sobey</t>
  </si>
  <si>
    <t xml:space="preserve"> Emile Richard</t>
  </si>
  <si>
    <t xml:space="preserve"> Helen Monypeny Newsom</t>
  </si>
  <si>
    <t xml:space="preserve"> Jacques Heath Futrelle</t>
  </si>
  <si>
    <t xml:space="preserve"> Olaf Elon Osen</t>
  </si>
  <si>
    <t xml:space="preserve"> Victor Giglio</t>
  </si>
  <si>
    <t xml:space="preserve"> Joseph (Sultana) Boulos</t>
  </si>
  <si>
    <t xml:space="preserve"> Anna Sofia Nysten</t>
  </si>
  <si>
    <t xml:space="preserve"> Pekka Pietari (Elin Matilda Dolck) Hakkarainen</t>
  </si>
  <si>
    <t xml:space="preserve"> Jeremiah Burke</t>
  </si>
  <si>
    <t xml:space="preserve"> Edgardo Samuel Andrew</t>
  </si>
  <si>
    <t xml:space="preserve"> Joseph Charles Nicholls</t>
  </si>
  <si>
    <t xml:space="preserve"> August Edvard Andersson</t>
  </si>
  <si>
    <t xml:space="preserve"> Robina Maggie Ford</t>
  </si>
  <si>
    <t xml:space="preserve"> Michel Navratil</t>
  </si>
  <si>
    <t>Rev</t>
  </si>
  <si>
    <t xml:space="preserve"> Thomas Roussel Davids Byles</t>
  </si>
  <si>
    <t xml:space="preserve"> Robert James Bateman</t>
  </si>
  <si>
    <t xml:space="preserve"> Thomas (Edith Wearne) Pears</t>
  </si>
  <si>
    <t xml:space="preserve"> Alfonzo Meo</t>
  </si>
  <si>
    <t xml:space="preserve"> Austin Blyler van Billiard</t>
  </si>
  <si>
    <t xml:space="preserve"> Ole Martin Olsen</t>
  </si>
  <si>
    <t xml:space="preserve"> Charles Duane Williams</t>
  </si>
  <si>
    <t xml:space="preserve"> Katherine Gilnagh</t>
  </si>
  <si>
    <t xml:space="preserve"> Harry Corn</t>
  </si>
  <si>
    <t xml:space="preserve"> Mile Smiljanic</t>
  </si>
  <si>
    <t xml:space="preserve"> Thomas Henry Sage</t>
  </si>
  <si>
    <t xml:space="preserve"> John Hatfield Cribb</t>
  </si>
  <si>
    <t xml:space="preserve"> James (Elizabeth Inglis Milne) Watt</t>
  </si>
  <si>
    <t xml:space="preserve"> John Viktor Bengtsson</t>
  </si>
  <si>
    <t xml:space="preserve"> Jovo Calic</t>
  </si>
  <si>
    <t xml:space="preserve"> Eino Viljami Panula</t>
  </si>
  <si>
    <t xml:space="preserve"> Frank John William Goldsmith</t>
  </si>
  <si>
    <t xml:space="preserve"> (Edith Martha Bowerman) Chibnall</t>
  </si>
  <si>
    <t xml:space="preserve"> William (Anna Bernhardina Karlsson) Skoog</t>
  </si>
  <si>
    <t xml:space="preserve"> John D Baumann</t>
  </si>
  <si>
    <t xml:space="preserve"> Lee Ling</t>
  </si>
  <si>
    <t xml:space="preserve"> Wyckoff Van der hoef</t>
  </si>
  <si>
    <t xml:space="preserve"> Arthur Rice</t>
  </si>
  <si>
    <t xml:space="preserve"> Eleanor Ileen Johnson</t>
  </si>
  <si>
    <t xml:space="preserve"> Antti Wilhelm Sivola</t>
  </si>
  <si>
    <t xml:space="preserve"> James Clinch Smith</t>
  </si>
  <si>
    <t xml:space="preserve"> Klas Albin Klasen</t>
  </si>
  <si>
    <t xml:space="preserve"> Henry Forbes Lefebre</t>
  </si>
  <si>
    <t xml:space="preserve"> Ann Elizabeth Isham</t>
  </si>
  <si>
    <t xml:space="preserve"> Reginald Hale</t>
  </si>
  <si>
    <t xml:space="preserve"> Lionel Leonard</t>
  </si>
  <si>
    <t xml:space="preserve"> Constance Gladys Sage</t>
  </si>
  <si>
    <t xml:space="preserve"> Rene Pernot</t>
  </si>
  <si>
    <t xml:space="preserve"> Clarence Gustaf Hugo Asplund</t>
  </si>
  <si>
    <t xml:space="preserve"> Richard F Becker</t>
  </si>
  <si>
    <t xml:space="preserve"> Luise Gretchen Kink-Heilmann</t>
  </si>
  <si>
    <t xml:space="preserve"> Hugh Roscoe Rood</t>
  </si>
  <si>
    <t xml:space="preserve"> Thomas (Johanna Godfrey) O'Brien</t>
  </si>
  <si>
    <t xml:space="preserve"> Charles Hallace Romaine</t>
  </si>
  <si>
    <t xml:space="preserve"> John Bourke</t>
  </si>
  <si>
    <t xml:space="preserve"> Stjepan Turcin</t>
  </si>
  <si>
    <t xml:space="preserve"> (Rosa) Pinsky</t>
  </si>
  <si>
    <t xml:space="preserve"> William Carbines</t>
  </si>
  <si>
    <t xml:space="preserve"> Carla Christine Nielsine Andersen-Jensen</t>
  </si>
  <si>
    <t xml:space="preserve"> Michel M Navratil</t>
  </si>
  <si>
    <t xml:space="preserve"> James Joseph (Margaret Tobin) Brown</t>
  </si>
  <si>
    <t xml:space="preserve"> Elise Lurette</t>
  </si>
  <si>
    <t xml:space="preserve"> Robert Mernagh</t>
  </si>
  <si>
    <t xml:space="preserve"> Karl Siegwart Andreas Olsen</t>
  </si>
  <si>
    <t xml:space="preserve"> Margaret Madigan</t>
  </si>
  <si>
    <t xml:space="preserve"> Henriette Yrois</t>
  </si>
  <si>
    <t xml:space="preserve"> Nestor Cyriel Vande Walle</t>
  </si>
  <si>
    <t xml:space="preserve"> Frederick Sage</t>
  </si>
  <si>
    <t xml:space="preserve"> Jakob Alfred Johanson</t>
  </si>
  <si>
    <t xml:space="preserve"> Gerious Youseff</t>
  </si>
  <si>
    <t xml:space="preserve"> Gurshon Cohen</t>
  </si>
  <si>
    <t xml:space="preserve"> Telma Matilda Strom</t>
  </si>
  <si>
    <t xml:space="preserve"> Karl Alfred Backstrom</t>
  </si>
  <si>
    <t xml:space="preserve"> Nassef Cassem Albimona</t>
  </si>
  <si>
    <t xml:space="preserve"> Helen Carr</t>
  </si>
  <si>
    <t xml:space="preserve"> Henry Blank</t>
  </si>
  <si>
    <t xml:space="preserve"> Ahmed Ali</t>
  </si>
  <si>
    <t xml:space="preserve"> Clear Annie Cameron</t>
  </si>
  <si>
    <t xml:space="preserve"> John Henry Perkin</t>
  </si>
  <si>
    <t xml:space="preserve"> Hans Kristensen Givard</t>
  </si>
  <si>
    <t xml:space="preserve"> Philip Kiernan</t>
  </si>
  <si>
    <t xml:space="preserve"> Madeleine Newell</t>
  </si>
  <si>
    <t xml:space="preserve"> Eliina Honkanen</t>
  </si>
  <si>
    <t xml:space="preserve"> Sidney Samuel Jacobsohn</t>
  </si>
  <si>
    <t xml:space="preserve"> Albina Bazzani</t>
  </si>
  <si>
    <t xml:space="preserve"> Walter Harris</t>
  </si>
  <si>
    <t xml:space="preserve"> Victor Francis Sunderland</t>
  </si>
  <si>
    <t xml:space="preserve"> James H Bracken</t>
  </si>
  <si>
    <t xml:space="preserve"> George Henry Green</t>
  </si>
  <si>
    <t xml:space="preserve"> Christo Nenkoff</t>
  </si>
  <si>
    <t xml:space="preserve"> Frederick Maxfield Hoyt</t>
  </si>
  <si>
    <t xml:space="preserve"> Karl Ivar Sven Berglund</t>
  </si>
  <si>
    <t xml:space="preserve"> William John Mellors</t>
  </si>
  <si>
    <t xml:space="preserve"> John Hall Lovell</t>
  </si>
  <si>
    <t xml:space="preserve"> Arne Jonas Fahlstrom</t>
  </si>
  <si>
    <t xml:space="preserve"> Mathilde Lefebre</t>
  </si>
  <si>
    <t xml:space="preserve"> Henry Birkhardt (Irene Wallach) Harris</t>
  </si>
  <si>
    <t xml:space="preserve"> Bengt Edvin Larsson</t>
  </si>
  <si>
    <t xml:space="preserve"> Ernst Adolf Sjostedt</t>
  </si>
  <si>
    <t xml:space="preserve"> Lillian Gertrud Asplund</t>
  </si>
  <si>
    <t xml:space="preserve"> Robert William Norman Leyson</t>
  </si>
  <si>
    <t xml:space="preserve"> Alice Phoebe Harknett</t>
  </si>
  <si>
    <t xml:space="preserve"> Stephen Hold</t>
  </si>
  <si>
    <t xml:space="preserve"> Marjorie Collyer</t>
  </si>
  <si>
    <t xml:space="preserve"> Frederick William Pengelly</t>
  </si>
  <si>
    <t xml:space="preserve"> George Henry Hunt</t>
  </si>
  <si>
    <t xml:space="preserve"> Thamine Zabour</t>
  </si>
  <si>
    <t xml:space="preserve"> Katherine Murphy</t>
  </si>
  <si>
    <t xml:space="preserve"> Reginald Charles Coleridge</t>
  </si>
  <si>
    <t xml:space="preserve"> Matti Alexanteri Maenpaa</t>
  </si>
  <si>
    <t xml:space="preserve"> Sleiman Attalah</t>
  </si>
  <si>
    <t>Dr</t>
  </si>
  <si>
    <t xml:space="preserve"> William Edward Minahan</t>
  </si>
  <si>
    <t xml:space="preserve"> Agda Thorilda Viktoria Lindahl</t>
  </si>
  <si>
    <t xml:space="preserve"> William (Anna) Hamalainen</t>
  </si>
  <si>
    <t xml:space="preserve"> Richard Leonard Beckwith</t>
  </si>
  <si>
    <t xml:space="preserve"> Ernest Courtenay Carter</t>
  </si>
  <si>
    <t xml:space="preserve"> James George Reed</t>
  </si>
  <si>
    <t xml:space="preserve"> Wilhelm (Elna Matilda Persson) Strom</t>
  </si>
  <si>
    <t xml:space="preserve"> William Thomas Stead</t>
  </si>
  <si>
    <t xml:space="preserve"> William Arthur Lobb</t>
  </si>
  <si>
    <t xml:space="preserve"> Viktor (Helena Wilhelmina) Rosblom</t>
  </si>
  <si>
    <t xml:space="preserve"> Darwis (Hanne Youssef Razi) Touma</t>
  </si>
  <si>
    <t xml:space="preserve"> Gertrude Maybelle Thorne</t>
  </si>
  <si>
    <t xml:space="preserve"> Gladys Cherry</t>
  </si>
  <si>
    <t xml:space="preserve"> Anna Ward</t>
  </si>
  <si>
    <t xml:space="preserve"> (Lutie Davis) Parrish</t>
  </si>
  <si>
    <t xml:space="preserve"> Edvin Rojj Felix Asplund</t>
  </si>
  <si>
    <t xml:space="preserve"> Emil Taussig</t>
  </si>
  <si>
    <t xml:space="preserve"> William Harrison</t>
  </si>
  <si>
    <t xml:space="preserve"> Delia Henry</t>
  </si>
  <si>
    <t xml:space="preserve"> David Reeves</t>
  </si>
  <si>
    <t xml:space="preserve"> Ernesti Arvid Panula</t>
  </si>
  <si>
    <t xml:space="preserve"> Ernst Ulrik Persson</t>
  </si>
  <si>
    <t xml:space="preserve"> William Thompson (Edith Junkins) Graham</t>
  </si>
  <si>
    <t xml:space="preserve"> Amelia Bissette</t>
  </si>
  <si>
    <t xml:space="preserve"> Alexander Cairns</t>
  </si>
  <si>
    <t xml:space="preserve"> William Henry Tornquist</t>
  </si>
  <si>
    <t xml:space="preserve"> (Elizabeth Anne Maidment) Mellinger</t>
  </si>
  <si>
    <t xml:space="preserve"> Charles H Natsch</t>
  </si>
  <si>
    <t xml:space="preserve"> Hanora Healy</t>
  </si>
  <si>
    <t xml:space="preserve"> Kornelia Theodosia Andrews</t>
  </si>
  <si>
    <t xml:space="preserve"> Augusta Charlotta Lindblom</t>
  </si>
  <si>
    <t xml:space="preserve"> Francis Parkes</t>
  </si>
  <si>
    <t xml:space="preserve"> Eric Rice</t>
  </si>
  <si>
    <t xml:space="preserve"> Stanton (Rosa Hunt) Abbott</t>
  </si>
  <si>
    <t xml:space="preserve"> Frank Duane</t>
  </si>
  <si>
    <t xml:space="preserve"> Nils Johan Goransson Olsson</t>
  </si>
  <si>
    <t xml:space="preserve"> Alfons de Pelsmaeker</t>
  </si>
  <si>
    <t xml:space="preserve"> Edward Arthur Dorking</t>
  </si>
  <si>
    <t xml:space="preserve"> Richard William Smith</t>
  </si>
  <si>
    <t xml:space="preserve"> Ivan Stankovic</t>
  </si>
  <si>
    <t xml:space="preserve"> Theodore de Mulder</t>
  </si>
  <si>
    <t xml:space="preserve"> Penko Naidenoff</t>
  </si>
  <si>
    <t xml:space="preserve"> Masabumi Hosono</t>
  </si>
  <si>
    <t xml:space="preserve"> Kate Connolly</t>
  </si>
  <si>
    <t xml:space="preserve"> Ellen Barber</t>
  </si>
  <si>
    <t xml:space="preserve"> Dickinson H (Helen Walton) Bishop</t>
  </si>
  <si>
    <t xml:space="preserve"> Rene Jacques Levy</t>
  </si>
  <si>
    <t xml:space="preserve"> Aloisia Haas</t>
  </si>
  <si>
    <t xml:space="preserve"> Ivan Mineff</t>
  </si>
  <si>
    <t xml:space="preserve"> Ervin G Lewy</t>
  </si>
  <si>
    <t xml:space="preserve"> Mansour Hanna</t>
  </si>
  <si>
    <t xml:space="preserve"> Helen Loraine Allison</t>
  </si>
  <si>
    <t xml:space="preserve"> Adolphe Saalfeld</t>
  </si>
  <si>
    <t xml:space="preserve"> James (Helene DeLaudeniere Chaput) Baxter</t>
  </si>
  <si>
    <t xml:space="preserve"> Anna Katherine Kelly</t>
  </si>
  <si>
    <t xml:space="preserve"> Bernard McCoy</t>
  </si>
  <si>
    <t xml:space="preserve"> William Cahoone Jr Johnson</t>
  </si>
  <si>
    <t xml:space="preserve"> Nora A Keane</t>
  </si>
  <si>
    <t xml:space="preserve"> Howard Hugh Williams</t>
  </si>
  <si>
    <t xml:space="preserve"> Hudson Trevor Allison</t>
  </si>
  <si>
    <t xml:space="preserve"> Margaret Fleming</t>
  </si>
  <si>
    <t xml:space="preserve"> Victor de Satode (Maria Josefa Perez de Soto y Vallejo) Penasco y Castellana</t>
  </si>
  <si>
    <t xml:space="preserve"> Samuel Abelson</t>
  </si>
  <si>
    <t xml:space="preserve"> Laura Mabel Francatelli</t>
  </si>
  <si>
    <t xml:space="preserve"> Margaret Bechstein Hays</t>
  </si>
  <si>
    <t xml:space="preserve"> Emily Borie Ryerson</t>
  </si>
  <si>
    <t xml:space="preserve"> William (Anna Sylfven) Lahtinen</t>
  </si>
  <si>
    <t xml:space="preserve"> Ignjac Hendekovic</t>
  </si>
  <si>
    <t xml:space="preserve"> Benjamin Hart</t>
  </si>
  <si>
    <t xml:space="preserve"> Helmina Josefina Nilsson</t>
  </si>
  <si>
    <t xml:space="preserve"> Sinai (Miriam Sternin) Kantor</t>
  </si>
  <si>
    <t xml:space="preserve"> Ernest Moraweck</t>
  </si>
  <si>
    <t xml:space="preserve"> Mary Natalie Wick</t>
  </si>
  <si>
    <t xml:space="preserve"> Frederic Oakley (Margaretta Corning Stone) Spedden</t>
  </si>
  <si>
    <t xml:space="preserve"> Samuel Dennis</t>
  </si>
  <si>
    <t xml:space="preserve"> Yoto Danoff</t>
  </si>
  <si>
    <t xml:space="preserve"> Hilda Mary Slayter</t>
  </si>
  <si>
    <t xml:space="preserve"> Albert Francis (Sylvia Mae Harbaugh) Caldwell</t>
  </si>
  <si>
    <t xml:space="preserve"> George John Jr Sage</t>
  </si>
  <si>
    <t xml:space="preserve"> Marie Grice Young</t>
  </si>
  <si>
    <t xml:space="preserve"> Johan Hansen Nysveen</t>
  </si>
  <si>
    <t xml:space="preserve"> (Ada E Hall) Ball</t>
  </si>
  <si>
    <t xml:space="preserve"> Frank John (Emily Alice Brown) Goldsmith</t>
  </si>
  <si>
    <t xml:space="preserve"> Jean Gertrude Hippach</t>
  </si>
  <si>
    <t xml:space="preserve"> Agnes McCoy</t>
  </si>
  <si>
    <t xml:space="preserve"> Austen Partner</t>
  </si>
  <si>
    <t xml:space="preserve"> George Edward Graham</t>
  </si>
  <si>
    <t xml:space="preserve"> Leo Edmondus Vander Planke</t>
  </si>
  <si>
    <t xml:space="preserve"> Henry William (Clara Heinsheimer) Frauenthal</t>
  </si>
  <si>
    <t xml:space="preserve"> Mitto Denkoff</t>
  </si>
  <si>
    <t xml:space="preserve"> Thomas Clinton Pears</t>
  </si>
  <si>
    <t xml:space="preserve"> Elizabeth Margaret Burns</t>
  </si>
  <si>
    <t xml:space="preserve"> Karl Edwart Dahl</t>
  </si>
  <si>
    <t xml:space="preserve"> Stephen Weart Blackwell</t>
  </si>
  <si>
    <t xml:space="preserve"> Edmond Roger Navratil</t>
  </si>
  <si>
    <t xml:space="preserve"> Alice Elizabeth Fortune</t>
  </si>
  <si>
    <t xml:space="preserve"> Erik Gustaf Collander</t>
  </si>
  <si>
    <t xml:space="preserve"> Charles Frederick Waddington Sedgwick</t>
  </si>
  <si>
    <t xml:space="preserve"> Stanley Hubert Fox</t>
  </si>
  <si>
    <t xml:space="preserve"> Amelia Brown</t>
  </si>
  <si>
    <t xml:space="preserve"> Marion Elsie Smith</t>
  </si>
  <si>
    <t xml:space="preserve"> Thomas Henry (Mary E Finck) Davison</t>
  </si>
  <si>
    <t xml:space="preserve"> William Loch Coutts</t>
  </si>
  <si>
    <t xml:space="preserve"> Jovan Dimic</t>
  </si>
  <si>
    <t xml:space="preserve"> Nils Martin Odahl</t>
  </si>
  <si>
    <t xml:space="preserve"> Fletcher Fellows Williams-Lambert</t>
  </si>
  <si>
    <t xml:space="preserve"> Tannous Elias</t>
  </si>
  <si>
    <t xml:space="preserve"> Josef Arnold-Franchi</t>
  </si>
  <si>
    <t xml:space="preserve"> Wazli Yousif</t>
  </si>
  <si>
    <t xml:space="preserve"> Leo Peter Vanden Steen</t>
  </si>
  <si>
    <t xml:space="preserve"> Elsie Edith Bowerman</t>
  </si>
  <si>
    <t xml:space="preserve"> Annie Clemmer Funk</t>
  </si>
  <si>
    <t xml:space="preserve"> Mary McGovern</t>
  </si>
  <si>
    <t xml:space="preserve"> Helen Mary Mockler</t>
  </si>
  <si>
    <t xml:space="preserve"> Wilhelm Skoog</t>
  </si>
  <si>
    <t xml:space="preserve"> Sebastiano del Carlo</t>
  </si>
  <si>
    <t xml:space="preserve"> (Catherine David) Barbara</t>
  </si>
  <si>
    <t xml:space="preserve"> Adola Asim</t>
  </si>
  <si>
    <t xml:space="preserve"> Thomas O'Brien</t>
  </si>
  <si>
    <t xml:space="preserve"> Mauritz Nils Martin Adahl</t>
  </si>
  <si>
    <t xml:space="preserve"> Frank Manley (Anna Sophia Atkinson) Warren</t>
  </si>
  <si>
    <t xml:space="preserve"> (Mantoura Boulos) Moussa</t>
  </si>
  <si>
    <t xml:space="preserve"> Annie Jermyn</t>
  </si>
  <si>
    <t>Mme</t>
  </si>
  <si>
    <t xml:space="preserve"> Leontine Pauline Aubart</t>
  </si>
  <si>
    <t xml:space="preserve"> George Achilles Harder</t>
  </si>
  <si>
    <t xml:space="preserve"> Jakob Alfred Wiklund</t>
  </si>
  <si>
    <t xml:space="preserve"> William Thomas Beavan</t>
  </si>
  <si>
    <t xml:space="preserve"> Sante Ringhini</t>
  </si>
  <si>
    <t xml:space="preserve"> Stina Viola Palsson</t>
  </si>
  <si>
    <t xml:space="preserve"> Edgar Joseph (Leila Saks) Meyer</t>
  </si>
  <si>
    <t xml:space="preserve"> Aurora Adelia Landergren</t>
  </si>
  <si>
    <t xml:space="preserve"> Harry Elkins Widener</t>
  </si>
  <si>
    <t xml:space="preserve"> Tannous Betros</t>
  </si>
  <si>
    <t xml:space="preserve"> Karl Gideon Gustafsson</t>
  </si>
  <si>
    <t xml:space="preserve"> Rosalie Bidois</t>
  </si>
  <si>
    <t xml:space="preserve"> Maria Nakid</t>
  </si>
  <si>
    <t xml:space="preserve"> Juho Tikkanen</t>
  </si>
  <si>
    <t xml:space="preserve"> Alexander Oskar (Mary Aline Towner) Holverson</t>
  </si>
  <si>
    <t xml:space="preserve"> Vasil Plotcharsky</t>
  </si>
  <si>
    <t xml:space="preserve"> Charles Henry Davies</t>
  </si>
  <si>
    <t xml:space="preserve"> Sidney Leonard Goodwin</t>
  </si>
  <si>
    <t xml:space="preserve"> Kate Buss</t>
  </si>
  <si>
    <t xml:space="preserve"> Matthew Sadlier</t>
  </si>
  <si>
    <t xml:space="preserve"> Bertha Lehmann</t>
  </si>
  <si>
    <t xml:space="preserve"> William Ernest Carter</t>
  </si>
  <si>
    <t xml:space="preserve"> Carl Olof Jansson</t>
  </si>
  <si>
    <t xml:space="preserve"> Johan Birger Gustafsson</t>
  </si>
  <si>
    <t xml:space="preserve"> Marjorie Newell</t>
  </si>
  <si>
    <t xml:space="preserve"> Hjalmar (Agnes Charlotta Bengtsson) Sandstrom</t>
  </si>
  <si>
    <t xml:space="preserve"> Erik Johansson</t>
  </si>
  <si>
    <t xml:space="preserve"> Elina Olsson</t>
  </si>
  <si>
    <t xml:space="preserve"> Peter David McKane</t>
  </si>
  <si>
    <t xml:space="preserve"> Alfred Pain</t>
  </si>
  <si>
    <t xml:space="preserve"> William H (Jessie L) Trout</t>
  </si>
  <si>
    <t xml:space="preserve"> Juha Niskanen</t>
  </si>
  <si>
    <t xml:space="preserve"> John Adams</t>
  </si>
  <si>
    <t xml:space="preserve"> Mari Aina Jussila</t>
  </si>
  <si>
    <t xml:space="preserve"> Pekka Pietari Hakkarainen</t>
  </si>
  <si>
    <t xml:space="preserve"> Marija Oreskovic</t>
  </si>
  <si>
    <t xml:space="preserve"> Shadrach Gale</t>
  </si>
  <si>
    <t xml:space="preserve"> Carl/Charles Peter Widegren</t>
  </si>
  <si>
    <t xml:space="preserve"> William Rowe Richards</t>
  </si>
  <si>
    <t xml:space="preserve"> Hans Martin Monsen Birkeland</t>
  </si>
  <si>
    <t xml:space="preserve"> Ida Lefebre</t>
  </si>
  <si>
    <t xml:space="preserve"> Todor Sdycoff</t>
  </si>
  <si>
    <t xml:space="preserve"> Henry Hart</t>
  </si>
  <si>
    <t xml:space="preserve"> Daisy E Minahan</t>
  </si>
  <si>
    <t xml:space="preserve"> Alfred Fleming Cunningham</t>
  </si>
  <si>
    <t xml:space="preserve"> Johan Julian Sundman</t>
  </si>
  <si>
    <t xml:space="preserve"> Thomas (Annie Louise Rowley) Meek</t>
  </si>
  <si>
    <t xml:space="preserve"> James Vivian (Lulu Thorne Christian) Drew</t>
  </si>
  <si>
    <t xml:space="preserve"> Lyyli Karoliina Silven</t>
  </si>
  <si>
    <t xml:space="preserve"> William John Matthews</t>
  </si>
  <si>
    <t xml:space="preserve"> Catharina Van Impe</t>
  </si>
  <si>
    <t xml:space="preserve"> David Charters</t>
  </si>
  <si>
    <t xml:space="preserve"> Leo Zimmerman</t>
  </si>
  <si>
    <t xml:space="preserve"> Ernst Gilbert (Anna Sigrid Maria Brogren) Danbom</t>
  </si>
  <si>
    <t xml:space="preserve"> Viktor Richard Rosblom</t>
  </si>
  <si>
    <t xml:space="preserve"> Phillippe Wiseman</t>
  </si>
  <si>
    <t xml:space="preserve"> Charles V (Ada Maria Winfield) Clarke</t>
  </si>
  <si>
    <t xml:space="preserve"> Kate Florence Phillips</t>
  </si>
  <si>
    <t xml:space="preserve"> James Flynn</t>
  </si>
  <si>
    <t xml:space="preserve"> Berk (Berk Trembisky) Pickard</t>
  </si>
  <si>
    <t xml:space="preserve"> Mauritz Hakan Bjornstrom-Steffansson</t>
  </si>
  <si>
    <t xml:space="preserve"> Percival (Florence Kate White) Thorneycroft</t>
  </si>
  <si>
    <t xml:space="preserve"> Charles Alexander (Alice Adelaide Slow) Louch</t>
  </si>
  <si>
    <t xml:space="preserve"> Nikolai Erland Kallio</t>
  </si>
  <si>
    <t xml:space="preserve"> William Baird Silvey</t>
  </si>
  <si>
    <t xml:space="preserve"> Lucile Polk Carter</t>
  </si>
  <si>
    <t xml:space="preserve"> Doolina Margaret Ford</t>
  </si>
  <si>
    <t xml:space="preserve"> Sidney (Emily Hocking) Richards</t>
  </si>
  <si>
    <t xml:space="preserve"> Mark Fortune</t>
  </si>
  <si>
    <t xml:space="preserve"> Johan Henrik Johannesson Kvillner</t>
  </si>
  <si>
    <t xml:space="preserve"> Benjamin (Esther Ada Bloomfield) Hart</t>
  </si>
  <si>
    <t xml:space="preserve"> Leon Hampe</t>
  </si>
  <si>
    <t xml:space="preserve"> Johan Emil Petterson</t>
  </si>
  <si>
    <t>Ms</t>
  </si>
  <si>
    <t xml:space="preserve"> Encarnacion Reynaldo</t>
  </si>
  <si>
    <t xml:space="preserve"> Bernt Johannesen-Bratthammer</t>
  </si>
  <si>
    <t xml:space="preserve"> Washington Dodge</t>
  </si>
  <si>
    <t xml:space="preserve"> Madeleine Violet Mellinger</t>
  </si>
  <si>
    <t xml:space="preserve"> Frederic Kimber Seward</t>
  </si>
  <si>
    <t xml:space="preserve"> Marie Catherine Baclini</t>
  </si>
  <si>
    <t>Major</t>
  </si>
  <si>
    <t xml:space="preserve"> Arthur Godfrey Peuchen</t>
  </si>
  <si>
    <t xml:space="preserve"> Edwy Arthur West</t>
  </si>
  <si>
    <t xml:space="preserve"> Ingvald Olai Olsen Hagland</t>
  </si>
  <si>
    <t xml:space="preserve"> Benjamin Laventall Foreman</t>
  </si>
  <si>
    <t xml:space="preserve"> Samuel L Goldenberg</t>
  </si>
  <si>
    <t xml:space="preserve"> Joseph Peduzzi</t>
  </si>
  <si>
    <t xml:space="preserve"> Ivan Jalsevac</t>
  </si>
  <si>
    <t xml:space="preserve"> Francis Davis Millet</t>
  </si>
  <si>
    <t xml:space="preserve"> Frederick R (Marion) Kenyon</t>
  </si>
  <si>
    <t xml:space="preserve"> Ellen Toomey</t>
  </si>
  <si>
    <t xml:space="preserve"> Maurice O'Connor</t>
  </si>
  <si>
    <t xml:space="preserve"> Harry Anderson</t>
  </si>
  <si>
    <t xml:space="preserve"> William Morley</t>
  </si>
  <si>
    <t xml:space="preserve"> Arthur H Gee</t>
  </si>
  <si>
    <t xml:space="preserve"> Jacob Christian Milling</t>
  </si>
  <si>
    <t xml:space="preserve"> Simon Maisner</t>
  </si>
  <si>
    <t xml:space="preserve"> Manuel Estanslas Goncalves</t>
  </si>
  <si>
    <t xml:space="preserve"> William Campbell</t>
  </si>
  <si>
    <t xml:space="preserve"> John Montgomery Smart</t>
  </si>
  <si>
    <t xml:space="preserve"> James Scanlan</t>
  </si>
  <si>
    <t xml:space="preserve"> Helene Barbara Baclini</t>
  </si>
  <si>
    <t xml:space="preserve"> Arthur Keefe</t>
  </si>
  <si>
    <t xml:space="preserve"> Luka Cacic</t>
  </si>
  <si>
    <t xml:space="preserve"> Edwy Arthur (Ada Mary Worth) West</t>
  </si>
  <si>
    <t xml:space="preserve"> Amin S (Marie Marthe Thuillard) Jerwan</t>
  </si>
  <si>
    <t xml:space="preserve"> Ida Sofia Strandberg</t>
  </si>
  <si>
    <t xml:space="preserve"> George Quincy Clifford</t>
  </si>
  <si>
    <t xml:space="preserve"> Peter Henry Renouf</t>
  </si>
  <si>
    <t xml:space="preserve"> Lewis Richard Braund</t>
  </si>
  <si>
    <t xml:space="preserve"> Nils August Karlsson</t>
  </si>
  <si>
    <t xml:space="preserve"> Hildur E Hirvonen</t>
  </si>
  <si>
    <t xml:space="preserve"> Harold Victor Goodwin</t>
  </si>
  <si>
    <t xml:space="preserve"> Anthony Wood Frost</t>
  </si>
  <si>
    <t xml:space="preserve"> Richard Henry Rouse</t>
  </si>
  <si>
    <t xml:space="preserve"> (Hedwig) Turkula</t>
  </si>
  <si>
    <t xml:space="preserve"> Dickinson H Bishop</t>
  </si>
  <si>
    <t xml:space="preserve"> Jeannie Lefebre</t>
  </si>
  <si>
    <t xml:space="preserve"> Frederick Maxfield (Jane Anne Forby) Hoyt</t>
  </si>
  <si>
    <t xml:space="preserve"> Edward Austin Kent</t>
  </si>
  <si>
    <t xml:space="preserve"> Francis William Somerton</t>
  </si>
  <si>
    <t xml:space="preserve"> Eden Leslie Coutts</t>
  </si>
  <si>
    <t xml:space="preserve"> Konrad Mathias Reiersen Hagland</t>
  </si>
  <si>
    <t xml:space="preserve"> Einar Windelov</t>
  </si>
  <si>
    <t xml:space="preserve"> Harry Markland Molson</t>
  </si>
  <si>
    <t xml:space="preserve"> Ramon Artagaveytia</t>
  </si>
  <si>
    <t xml:space="preserve"> Edward Roland Stanley</t>
  </si>
  <si>
    <t xml:space="preserve"> Gerious Yousseff</t>
  </si>
  <si>
    <t xml:space="preserve"> Elizabeth Mussey Eustis</t>
  </si>
  <si>
    <t xml:space="preserve"> Frederick William Shellard</t>
  </si>
  <si>
    <t xml:space="preserve"> Hudson J C (Bessie Waldo Daniels) Allison</t>
  </si>
  <si>
    <t xml:space="preserve"> Olof Svensson</t>
  </si>
  <si>
    <t xml:space="preserve"> Petar Calic</t>
  </si>
  <si>
    <t xml:space="preserve"> Mary Canavan</t>
  </si>
  <si>
    <t xml:space="preserve"> Bridget Mary O'Sullivan</t>
  </si>
  <si>
    <t xml:space="preserve"> Kristina Sofia Laitinen</t>
  </si>
  <si>
    <t xml:space="preserve"> Roberta Maioni</t>
  </si>
  <si>
    <t xml:space="preserve"> Victor de Satode Penasco y Castellana</t>
  </si>
  <si>
    <t xml:space="preserve"> Frederick Charles (Jane Richards) Quick</t>
  </si>
  <si>
    <t xml:space="preserve"> George Bradley</t>
  </si>
  <si>
    <t xml:space="preserve"> Henry Margido Olsen</t>
  </si>
  <si>
    <t xml:space="preserve"> Fang Lang</t>
  </si>
  <si>
    <t xml:space="preserve"> Eugene Patrick Daly</t>
  </si>
  <si>
    <t xml:space="preserve"> James Webber</t>
  </si>
  <si>
    <t xml:space="preserve"> James Robert McGough</t>
  </si>
  <si>
    <t xml:space="preserve"> Martin (Elizabeth L</t>
  </si>
  <si>
    <t xml:space="preserve"> Satio Coleff</t>
  </si>
  <si>
    <t xml:space="preserve"> William Anderson Walker</t>
  </si>
  <si>
    <t xml:space="preserve"> (Amelia Milley) Lemore</t>
  </si>
  <si>
    <t xml:space="preserve"> Patrick Ryan</t>
  </si>
  <si>
    <t xml:space="preserve"> William A (Florence Agnes Hughes) Angle</t>
  </si>
  <si>
    <t xml:space="preserve"> Stefo Pavlovic</t>
  </si>
  <si>
    <t xml:space="preserve"> Anne Perreault</t>
  </si>
  <si>
    <t xml:space="preserve"> Janko Vovk</t>
  </si>
  <si>
    <t xml:space="preserve"> Sarkis Lahoud</t>
  </si>
  <si>
    <t xml:space="preserve"> Louis Albert (Ida Sophia Fischer) Hippach</t>
  </si>
  <si>
    <t xml:space="preserve"> Fared Kassem</t>
  </si>
  <si>
    <t xml:space="preserve"> James Farrell</t>
  </si>
  <si>
    <t xml:space="preserve"> Lucy Ridsdale</t>
  </si>
  <si>
    <t xml:space="preserve"> John Farthing</t>
  </si>
  <si>
    <t xml:space="preserve"> Johan Werner Salonen</t>
  </si>
  <si>
    <t xml:space="preserve"> Richard George Hocking</t>
  </si>
  <si>
    <t xml:space="preserve"> Phyllis May Quick</t>
  </si>
  <si>
    <t xml:space="preserve"> Nakli Toufik</t>
  </si>
  <si>
    <t xml:space="preserve"> Joseph Jr Elias</t>
  </si>
  <si>
    <t xml:space="preserve"> Catherine (Catherine Rizk) Peter</t>
  </si>
  <si>
    <t xml:space="preserve"> Marija Cacic</t>
  </si>
  <si>
    <t xml:space="preserve"> Eva Miriam Hart</t>
  </si>
  <si>
    <t xml:space="preserve"> Archibald Willingham Butt</t>
  </si>
  <si>
    <t xml:space="preserve"> Bertha LeRoy</t>
  </si>
  <si>
    <t xml:space="preserve"> Samuel Beard Risien</t>
  </si>
  <si>
    <t xml:space="preserve"> Hedwig Margaritha Frolicher</t>
  </si>
  <si>
    <t xml:space="preserve"> Harriet R Crosby</t>
  </si>
  <si>
    <t xml:space="preserve"> Ingeborg Constanzia Andersson</t>
  </si>
  <si>
    <t xml:space="preserve"> Sigrid Elisabeth Andersson</t>
  </si>
  <si>
    <t xml:space="preserve"> Edward Beane</t>
  </si>
  <si>
    <t xml:space="preserve"> Walter Donald Douglas</t>
  </si>
  <si>
    <t xml:space="preserve"> Arthur Ernest Nicholson</t>
  </si>
  <si>
    <t xml:space="preserve"> Edward (Ethel Clarke) Beane</t>
  </si>
  <si>
    <t xml:space="preserve"> Julian Padro y Manent</t>
  </si>
  <si>
    <t xml:space="preserve"> Frank John Goldsmith</t>
  </si>
  <si>
    <t xml:space="preserve"> John Morgan Jr Davies</t>
  </si>
  <si>
    <t xml:space="preserve"> John Borland Jr Thayer</t>
  </si>
  <si>
    <t xml:space="preserve"> Percival James R Sharp</t>
  </si>
  <si>
    <t xml:space="preserve"> Timothy O'Brien</t>
  </si>
  <si>
    <t xml:space="preserve"> Fahim Leeni</t>
  </si>
  <si>
    <t xml:space="preserve"> Velin Ohman</t>
  </si>
  <si>
    <t xml:space="preserve"> George Wright</t>
  </si>
  <si>
    <t>Lady</t>
  </si>
  <si>
    <t xml:space="preserve"> (Lucille Christiana Sutherland)Duff Gordon</t>
  </si>
  <si>
    <t xml:space="preserve"> Victor Robbins</t>
  </si>
  <si>
    <t xml:space="preserve"> Emil (Tillie Mandelbaum) Taussig</t>
  </si>
  <si>
    <t xml:space="preserve"> Guillaume Joseph (Emma) de Messemaeker</t>
  </si>
  <si>
    <t xml:space="preserve"> Thomas Rowan Morrow</t>
  </si>
  <si>
    <t xml:space="preserve"> Husein Sivic</t>
  </si>
  <si>
    <t xml:space="preserve"> Robert Douglas Norman</t>
  </si>
  <si>
    <t xml:space="preserve"> John Simmons</t>
  </si>
  <si>
    <t xml:space="preserve"> (Marion Ogden) Meanwell</t>
  </si>
  <si>
    <t xml:space="preserve"> Alfred J Davies</t>
  </si>
  <si>
    <t xml:space="preserve"> Ilia Stoytcheff</t>
  </si>
  <si>
    <t xml:space="preserve"> Nils (Alma Cornelia Berglund) Palsson</t>
  </si>
  <si>
    <t xml:space="preserve"> Tannous Doharr</t>
  </si>
  <si>
    <t xml:space="preserve"> Carl Jonsson</t>
  </si>
  <si>
    <t xml:space="preserve"> George Harris</t>
  </si>
  <si>
    <t xml:space="preserve"> Edward Dale (Charlotte Lamson) Appleton</t>
  </si>
  <si>
    <t xml:space="preserve"> John Irwin Flynn</t>
  </si>
  <si>
    <t xml:space="preserve"> Mary Kelly</t>
  </si>
  <si>
    <t xml:space="preserve"> Alfred George John Rush</t>
  </si>
  <si>
    <t xml:space="preserve"> George Patchett</t>
  </si>
  <si>
    <t xml:space="preserve"> Ethel Garside</t>
  </si>
  <si>
    <t xml:space="preserve"> William Baird (Alice Munger) Silvey</t>
  </si>
  <si>
    <t xml:space="preserve"> Joseph (Maria Elias) Caram</t>
  </si>
  <si>
    <t xml:space="preserve"> Eiriik Jussila</t>
  </si>
  <si>
    <t xml:space="preserve"> Julie Rachel Christy</t>
  </si>
  <si>
    <t xml:space="preserve"> John Borland (Marian Longstreth Morris) Thayer</t>
  </si>
  <si>
    <t xml:space="preserve"> William James Downton</t>
  </si>
  <si>
    <t xml:space="preserve"> John Hugo Ross</t>
  </si>
  <si>
    <t xml:space="preserve"> Uscher Paulner</t>
  </si>
  <si>
    <t xml:space="preserve"> Ruth Taussig</t>
  </si>
  <si>
    <t xml:space="preserve"> John Denzil Jarvis</t>
  </si>
  <si>
    <t xml:space="preserve"> Maxmillian Frolicher-Stehli</t>
  </si>
  <si>
    <t xml:space="preserve"> Eliezer Gilinski</t>
  </si>
  <si>
    <t xml:space="preserve"> Joseph Murdlin</t>
  </si>
  <si>
    <t xml:space="preserve"> Matti Rintamaki</t>
  </si>
  <si>
    <t xml:space="preserve"> Walter Bertram (Martha Eustis) Stephenson</t>
  </si>
  <si>
    <t xml:space="preserve"> William James Elsbury</t>
  </si>
  <si>
    <t xml:space="preserve"> Mary Bourke</t>
  </si>
  <si>
    <t xml:space="preserve"> John Henry Chapman</t>
  </si>
  <si>
    <t xml:space="preserve"> Jean Baptiste Van Impe</t>
  </si>
  <si>
    <t xml:space="preserve"> Jessie Wills Leitch</t>
  </si>
  <si>
    <t xml:space="preserve"> Alfred Johnson</t>
  </si>
  <si>
    <t xml:space="preserve"> Hanna Boulos</t>
  </si>
  <si>
    <t>Sir</t>
  </si>
  <si>
    <t xml:space="preserve"> Cosmo Edmund Duff Gordon</t>
  </si>
  <si>
    <t xml:space="preserve"> Sidney Samuel (Amy Frances Christy) Jacobsohn</t>
  </si>
  <si>
    <t xml:space="preserve"> Petco Slabenoff</t>
  </si>
  <si>
    <t xml:space="preserve"> Charles H Harrington</t>
  </si>
  <si>
    <t xml:space="preserve"> Ernst William Torber</t>
  </si>
  <si>
    <t xml:space="preserve"> Harry Homer</t>
  </si>
  <si>
    <t xml:space="preserve"> Edvard Bengtsson Lindell</t>
  </si>
  <si>
    <t xml:space="preserve"> Milan Karaic</t>
  </si>
  <si>
    <t xml:space="preserve"> Robert Williams Daniel</t>
  </si>
  <si>
    <t xml:space="preserve"> Joseph (Juliette Marie Louise Lafargue) Laroche</t>
  </si>
  <si>
    <t xml:space="preserve"> Elizabeth W Shutes</t>
  </si>
  <si>
    <t xml:space="preserve"> Anders Johan (Alfrida Konstantia Brogren) Andersson</t>
  </si>
  <si>
    <t xml:space="preserve"> Jose Neto Jardin</t>
  </si>
  <si>
    <t xml:space="preserve"> Margaret Jane Murphy</t>
  </si>
  <si>
    <t xml:space="preserve"> John Horgan</t>
  </si>
  <si>
    <t xml:space="preserve"> William Alfred Brocklebank</t>
  </si>
  <si>
    <t xml:space="preserve"> Alice Herman</t>
  </si>
  <si>
    <t xml:space="preserve"> Ernst Gilbert Danbom</t>
  </si>
  <si>
    <t xml:space="preserve"> William Arthur (Cordelia K Stanlick) Lobb</t>
  </si>
  <si>
    <t xml:space="preserve"> Marion Louise Becker</t>
  </si>
  <si>
    <t xml:space="preserve"> Lawrence Gavey</t>
  </si>
  <si>
    <t xml:space="preserve"> Antoni Yasbeck</t>
  </si>
  <si>
    <t xml:space="preserve"> Edwin Nelson Jr Kimball</t>
  </si>
  <si>
    <t xml:space="preserve"> Sahid Nakid</t>
  </si>
  <si>
    <t xml:space="preserve"> Henry Damsgaard Hansen</t>
  </si>
  <si>
    <t xml:space="preserve"> David John Bowen</t>
  </si>
  <si>
    <t xml:space="preserve"> Frederick Sutton</t>
  </si>
  <si>
    <t xml:space="preserve"> Charles Leonard Kirkland</t>
  </si>
  <si>
    <t xml:space="preserve"> Gretchen Fiske Longley</t>
  </si>
  <si>
    <t xml:space="preserve"> Guentcho Bostandyeff</t>
  </si>
  <si>
    <t xml:space="preserve"> Patrick D O'Connell</t>
  </si>
  <si>
    <t xml:space="preserve"> Algernon Henry Wilson Barkworth</t>
  </si>
  <si>
    <t xml:space="preserve"> Johan Svensson Lundahl</t>
  </si>
  <si>
    <t xml:space="preserve"> Max Stahelin-Maeglin</t>
  </si>
  <si>
    <t xml:space="preserve"> William Henry Marsh Parr</t>
  </si>
  <si>
    <t xml:space="preserve"> Mabel Skoog</t>
  </si>
  <si>
    <t xml:space="preserve"> Mary Davis</t>
  </si>
  <si>
    <t xml:space="preserve"> Antti Gustaf Leinonen</t>
  </si>
  <si>
    <t xml:space="preserve"> Harvey Collyer</t>
  </si>
  <si>
    <t xml:space="preserve"> Juha (Maria Emilia Ojala) Panula</t>
  </si>
  <si>
    <t xml:space="preserve"> Percival Thorneycroft</t>
  </si>
  <si>
    <t xml:space="preserve"> Hans Peder Jensen</t>
  </si>
  <si>
    <t>Mlle</t>
  </si>
  <si>
    <t xml:space="preserve"> Emma Sagesser</t>
  </si>
  <si>
    <t xml:space="preserve"> Margit Elizabeth Skoog</t>
  </si>
  <si>
    <t xml:space="preserve"> Choong Foo</t>
  </si>
  <si>
    <t xml:space="preserve"> Eugenie Baclini</t>
  </si>
  <si>
    <t xml:space="preserve"> Henry Sleeper Harper</t>
  </si>
  <si>
    <t xml:space="preserve"> Liudevit Cor</t>
  </si>
  <si>
    <t>Col</t>
  </si>
  <si>
    <t xml:space="preserve"> Oberst Alfons Simonius-Blumer</t>
  </si>
  <si>
    <t xml:space="preserve"> Edward Willey</t>
  </si>
  <si>
    <t xml:space="preserve"> Amy Zillah Elsie Stanley</t>
  </si>
  <si>
    <t xml:space="preserve"> Mito Mitkoff</t>
  </si>
  <si>
    <t xml:space="preserve"> Elsie Doling</t>
  </si>
  <si>
    <t xml:space="preserve"> Johannes Halvorsen Kalvik</t>
  </si>
  <si>
    <t xml:space="preserve"> Hanora O'Leary</t>
  </si>
  <si>
    <t xml:space="preserve"> Hanora Hegarty</t>
  </si>
  <si>
    <t xml:space="preserve"> Leonard Mark Hickman</t>
  </si>
  <si>
    <t xml:space="preserve"> Alexander Radeff</t>
  </si>
  <si>
    <t xml:space="preserve"> John (Catherine) Bourke</t>
  </si>
  <si>
    <t xml:space="preserve"> George Floyd Eitemiller</t>
  </si>
  <si>
    <t xml:space="preserve"> Arthur Webster Newell</t>
  </si>
  <si>
    <t xml:space="preserve"> Henry William Frauenthal</t>
  </si>
  <si>
    <t xml:space="preserve"> Mohamed Badt</t>
  </si>
  <si>
    <t xml:space="preserve"> Edward Pomeroy Colley</t>
  </si>
  <si>
    <t xml:space="preserve"> Peju Coleff</t>
  </si>
  <si>
    <t xml:space="preserve"> Eino William Lindqvist</t>
  </si>
  <si>
    <t xml:space="preserve"> Lewis Hickman</t>
  </si>
  <si>
    <t xml:space="preserve"> Reginald Fenton Butler</t>
  </si>
  <si>
    <t xml:space="preserve"> Knud Paust Rommetvedt</t>
  </si>
  <si>
    <t xml:space="preserve"> Jacob Cook</t>
  </si>
  <si>
    <t xml:space="preserve"> Elmer Zebley (Juliet Cummins Wright) Taylor</t>
  </si>
  <si>
    <t xml:space="preserve"> Thomas William Solomon (Elizabeth Catherine Ford) Brown</t>
  </si>
  <si>
    <t xml:space="preserve"> Thornton Davidson</t>
  </si>
  <si>
    <t xml:space="preserve"> Henry Michael Mitchell</t>
  </si>
  <si>
    <t xml:space="preserve"> Charles Wilhelms</t>
  </si>
  <si>
    <t xml:space="preserve"> Ennis Hastings Watson</t>
  </si>
  <si>
    <t xml:space="preserve"> Gustaf Hjalmar Edvardsson</t>
  </si>
  <si>
    <t xml:space="preserve"> Frederick Charles Sawyer</t>
  </si>
  <si>
    <t xml:space="preserve"> Anna Sofia Turja</t>
  </si>
  <si>
    <t xml:space="preserve"> Frederick (Augusta Tyler) Goodwin</t>
  </si>
  <si>
    <t xml:space="preserve"> Thomas Drake Martinez Cardeza</t>
  </si>
  <si>
    <t xml:space="preserve"> Katie Peters</t>
  </si>
  <si>
    <t xml:space="preserve"> Hammad Hassab</t>
  </si>
  <si>
    <t xml:space="preserve"> Thor Anderson Olsvigen</t>
  </si>
  <si>
    <t xml:space="preserve"> Charles Edward Goodwin</t>
  </si>
  <si>
    <t xml:space="preserve"> Thomas William Solomon Brown</t>
  </si>
  <si>
    <t xml:space="preserve"> Joseph Philippe Lemercier Laroche</t>
  </si>
  <si>
    <t xml:space="preserve"> Jaako Arnold Panula</t>
  </si>
  <si>
    <t xml:space="preserve"> Branko Dakic</t>
  </si>
  <si>
    <t xml:space="preserve"> Eberhard Thelander Fischer</t>
  </si>
  <si>
    <t xml:space="preserve"> Georgette Alexandra Madill</t>
  </si>
  <si>
    <t xml:space="preserve"> Albert Adrian Dick</t>
  </si>
  <si>
    <t xml:space="preserve"> Manca Karun</t>
  </si>
  <si>
    <t xml:space="preserve"> Ali Lam</t>
  </si>
  <si>
    <t xml:space="preserve"> Khalil Saad</t>
  </si>
  <si>
    <t xml:space="preserve"> John Weir</t>
  </si>
  <si>
    <t xml:space="preserve"> Charles Henry Chapman</t>
  </si>
  <si>
    <t xml:space="preserve"> James Kelly</t>
  </si>
  <si>
    <t xml:space="preserve"> Katherine Mullens</t>
  </si>
  <si>
    <t xml:space="preserve"> John Borland Thayer</t>
  </si>
  <si>
    <t xml:space="preserve"> Adolf Mathias Nicolai Olsen Humblen</t>
  </si>
  <si>
    <t xml:space="preserve"> John Jacob (Madeleine Talmadge Force) Astor</t>
  </si>
  <si>
    <t xml:space="preserve"> Spencer Victor Silverthorne</t>
  </si>
  <si>
    <t xml:space="preserve"> Saiide Barbara</t>
  </si>
  <si>
    <t xml:space="preserve"> Martin Gallagher</t>
  </si>
  <si>
    <t xml:space="preserve"> Henrik Juul Hansen</t>
  </si>
  <si>
    <t xml:space="preserve"> Henry Samuel Morley</t>
  </si>
  <si>
    <t xml:space="preserve"> Florence Kelly</t>
  </si>
  <si>
    <t xml:space="preserve"> Edward Pennington Calderhead</t>
  </si>
  <si>
    <t xml:space="preserve"> Alice Cleaver</t>
  </si>
  <si>
    <t xml:space="preserve"> Halim Gonios Moubarek</t>
  </si>
  <si>
    <t xml:space="preserve"> Berthe Antonine Mayne</t>
  </si>
  <si>
    <t xml:space="preserve"> Herman Klaber</t>
  </si>
  <si>
    <t xml:space="preserve"> Elmer Zebley Taylor</t>
  </si>
  <si>
    <t xml:space="preserve"> August Viktor Larsson</t>
  </si>
  <si>
    <t xml:space="preserve"> Samuel Greenberg</t>
  </si>
  <si>
    <t xml:space="preserve"> Peter Andreas Lauritz Andersen Soholt</t>
  </si>
  <si>
    <t xml:space="preserve"> Caroline Louise Endres</t>
  </si>
  <si>
    <t xml:space="preserve"> Edwina Celia Troutt</t>
  </si>
  <si>
    <t xml:space="preserve"> Malkolm Joackim Johnson</t>
  </si>
  <si>
    <t xml:space="preserve"> Annie Jessie Harper</t>
  </si>
  <si>
    <t xml:space="preserve"> Svend Lauritz Jensen</t>
  </si>
  <si>
    <t xml:space="preserve"> William Henry Gillespie</t>
  </si>
  <si>
    <t xml:space="preserve"> Henry Price Hodges</t>
  </si>
  <si>
    <t xml:space="preserve"> Norman Campbell Chambers</t>
  </si>
  <si>
    <t xml:space="preserve"> Luka Oreskovic</t>
  </si>
  <si>
    <t xml:space="preserve"> Peter Henry (Lillian Jefferys) Renouf</t>
  </si>
  <si>
    <t xml:space="preserve"> Margareth Mannion</t>
  </si>
  <si>
    <t xml:space="preserve"> Kurt Arnold Gottfrid Bryhl</t>
  </si>
  <si>
    <t xml:space="preserve"> Pieta Sofia Ilmakangas</t>
  </si>
  <si>
    <t xml:space="preserve"> Elisabeth Walton Allen</t>
  </si>
  <si>
    <t xml:space="preserve"> Houssein G N Hassan</t>
  </si>
  <si>
    <t xml:space="preserve"> Robert J Knight</t>
  </si>
  <si>
    <t xml:space="preserve"> William John Berriman</t>
  </si>
  <si>
    <t xml:space="preserve"> Moses Aaron Troupiansky</t>
  </si>
  <si>
    <t xml:space="preserve"> Leslie Williams</t>
  </si>
  <si>
    <t xml:space="preserve"> Edward (Margaret Ann Watson) Ford</t>
  </si>
  <si>
    <t xml:space="preserve"> Gustave J Lesurer</t>
  </si>
  <si>
    <t xml:space="preserve"> Kanio Ivanoff</t>
  </si>
  <si>
    <t xml:space="preserve"> Minko Nankoff</t>
  </si>
  <si>
    <t xml:space="preserve"> Walter James Hawksford</t>
  </si>
  <si>
    <t xml:space="preserve"> Tyrell William Cavendish</t>
  </si>
  <si>
    <t xml:space="preserve"> Susan Parker Ryerson</t>
  </si>
  <si>
    <t xml:space="preserve"> Neal McNamee</t>
  </si>
  <si>
    <t xml:space="preserve"> Juho Stranden</t>
  </si>
  <si>
    <t>Capt</t>
  </si>
  <si>
    <t xml:space="preserve"> Edward Gifford Crosby</t>
  </si>
  <si>
    <t xml:space="preserve"> Rossmore Edward Abbott</t>
  </si>
  <si>
    <t xml:space="preserve"> Anna Sinkkonen</t>
  </si>
  <si>
    <t xml:space="preserve"> Daniel Warner Marvin</t>
  </si>
  <si>
    <t xml:space="preserve"> Michael Connaghton</t>
  </si>
  <si>
    <t xml:space="preserve"> Joan Wells</t>
  </si>
  <si>
    <t xml:space="preserve"> Meier Moor</t>
  </si>
  <si>
    <t xml:space="preserve"> Johannes Joseph Vande Velde</t>
  </si>
  <si>
    <t xml:space="preserve"> Lalio Jonkoff</t>
  </si>
  <si>
    <t xml:space="preserve"> Samuel (Jane Laver) Herman</t>
  </si>
  <si>
    <t xml:space="preserve"> Viljo Hamalainen</t>
  </si>
  <si>
    <t xml:space="preserve"> August Sigfrid Carlsson</t>
  </si>
  <si>
    <t xml:space="preserve"> Percy Andrew Bailey</t>
  </si>
  <si>
    <t xml:space="preserve"> Thomas Leonard Theobald</t>
  </si>
  <si>
    <t>the Countess</t>
  </si>
  <si>
    <t xml:space="preserve"> of (Lucy Noel Martha Dyer-Edwards) Rothes</t>
  </si>
  <si>
    <t xml:space="preserve"> John Garfirth</t>
  </si>
  <si>
    <t xml:space="preserve"> Iisakki Antino Aijo Nirva</t>
  </si>
  <si>
    <t xml:space="preserve"> Hanna Assi Barah</t>
  </si>
  <si>
    <t xml:space="preserve"> William Ernest (Lucile Polk) Carter</t>
  </si>
  <si>
    <t xml:space="preserve"> Hans Linus Eklund</t>
  </si>
  <si>
    <t xml:space="preserve"> John C (Anna Andrews) Hogeboom</t>
  </si>
  <si>
    <t xml:space="preserve"> Arthur Jackson Brewe</t>
  </si>
  <si>
    <t xml:space="preserve"> Mary Mangan</t>
  </si>
  <si>
    <t xml:space="preserve"> Daniel J Moran</t>
  </si>
  <si>
    <t xml:space="preserve"> Daniel Danielsen Gronnestad</t>
  </si>
  <si>
    <t xml:space="preserve"> Rene Aime Lievens</t>
  </si>
  <si>
    <t xml:space="preserve"> Niels Peder Jensen</t>
  </si>
  <si>
    <t xml:space="preserve"> (Mary) Mack</t>
  </si>
  <si>
    <t xml:space="preserve"> Dibo Elias</t>
  </si>
  <si>
    <t xml:space="preserve"> Elizabeth (Eliza Needs) Hocking</t>
  </si>
  <si>
    <t xml:space="preserve"> Pehr Fabian Oliver Malkolm Myhrman</t>
  </si>
  <si>
    <t xml:space="preserve"> Roger Tobin</t>
  </si>
  <si>
    <t xml:space="preserve"> Virginia Ethel Emanuel</t>
  </si>
  <si>
    <t xml:space="preserve"> Thomas J Kilgannon</t>
  </si>
  <si>
    <t xml:space="preserve"> Edward Scott (Elisabeth Walton McMillan) Robert</t>
  </si>
  <si>
    <t xml:space="preserve"> Banoura Ayoub</t>
  </si>
  <si>
    <t xml:space="preserve"> Albert Adrian (Vera Gillespie) Dick</t>
  </si>
  <si>
    <t xml:space="preserve"> Milton Clyde Long</t>
  </si>
  <si>
    <t xml:space="preserve"> Andrew G Johnston</t>
  </si>
  <si>
    <t xml:space="preserve"> William Ali</t>
  </si>
  <si>
    <t xml:space="preserve"> Abraham (David Lishin) Harmer</t>
  </si>
  <si>
    <t xml:space="preserve"> Anna Sofia Sjoblom</t>
  </si>
  <si>
    <t xml:space="preserve"> George Hugh Rice</t>
  </si>
  <si>
    <t xml:space="preserve"> Bertram Vere Dean</t>
  </si>
  <si>
    <t xml:space="preserve"> Benjamin Guggenheim</t>
  </si>
  <si>
    <t xml:space="preserve"> Andrew Keane</t>
  </si>
  <si>
    <t xml:space="preserve"> Alfred Gaskell</t>
  </si>
  <si>
    <t xml:space="preserve"> Stella Anna Sage</t>
  </si>
  <si>
    <t xml:space="preserve"> William Fisher Hoyt</t>
  </si>
  <si>
    <t xml:space="preserve"> Ristiu Dantcheff</t>
  </si>
  <si>
    <t xml:space="preserve"> Richard Otter</t>
  </si>
  <si>
    <t xml:space="preserve"> Alice (Farnham) Leader</t>
  </si>
  <si>
    <t xml:space="preserve"> Mara Osman</t>
  </si>
  <si>
    <t xml:space="preserve"> Yousseff Ibrahim Shawah</t>
  </si>
  <si>
    <t xml:space="preserve"> Jean Baptiste (Rosalie Paula Govaert) Van Impe</t>
  </si>
  <si>
    <t xml:space="preserve"> Martin Ponesell</t>
  </si>
  <si>
    <t xml:space="preserve"> Harvey (Charlotte Annie Tate) Collyer</t>
  </si>
  <si>
    <t xml:space="preserve"> William Thornton II Carter</t>
  </si>
  <si>
    <t xml:space="preserve"> Assad Alexander Thomas</t>
  </si>
  <si>
    <t xml:space="preserve"> Oskar Arvid Hedman</t>
  </si>
  <si>
    <t xml:space="preserve"> Karl Johan Johansson</t>
  </si>
  <si>
    <t xml:space="preserve"> Thomas Jr Andrews</t>
  </si>
  <si>
    <t xml:space="preserve"> Ellen Natalia Pettersson</t>
  </si>
  <si>
    <t xml:space="preserve"> August Meyer</t>
  </si>
  <si>
    <t xml:space="preserve"> Norman Campbell (Bertha Griggs) Chambers</t>
  </si>
  <si>
    <t xml:space="preserve"> William Alexander</t>
  </si>
  <si>
    <t xml:space="preserve"> James Lester</t>
  </si>
  <si>
    <t xml:space="preserve"> Richard James Slemen</t>
  </si>
  <si>
    <t xml:space="preserve"> Ebba Iris Alfrida Andersson</t>
  </si>
  <si>
    <t xml:space="preserve"> Ernest Portage Tomlin</t>
  </si>
  <si>
    <t xml:space="preserve"> Richard Fry</t>
  </si>
  <si>
    <t xml:space="preserve"> Wendla Maria Heininen</t>
  </si>
  <si>
    <t xml:space="preserve"> Albert Mallet</t>
  </si>
  <si>
    <t xml:space="preserve"> John Fredrik Alexander Holm</t>
  </si>
  <si>
    <t xml:space="preserve"> Karl Thorsten Skoog</t>
  </si>
  <si>
    <t xml:space="preserve"> Charles Melville (Clara Jennings Gregg) Hays</t>
  </si>
  <si>
    <t xml:space="preserve"> Nikola Lulic</t>
  </si>
  <si>
    <t>Jonkheer</t>
  </si>
  <si>
    <t xml:space="preserve"> John George Reuchlin</t>
  </si>
  <si>
    <t xml:space="preserve"> (Beila) Moor</t>
  </si>
  <si>
    <t xml:space="preserve"> Urho Abraham Panula</t>
  </si>
  <si>
    <t xml:space="preserve"> John Flynn</t>
  </si>
  <si>
    <t xml:space="preserve"> Len Lam</t>
  </si>
  <si>
    <t xml:space="preserve"> Andre Mallet</t>
  </si>
  <si>
    <t xml:space="preserve"> Thomas Joseph McCormack</t>
  </si>
  <si>
    <t xml:space="preserve"> George Nelson (Martha Evelyn) Stone</t>
  </si>
  <si>
    <t xml:space="preserve"> Antoni (Selini Alexander) Yasbeck</t>
  </si>
  <si>
    <t xml:space="preserve"> George Sibley Richards</t>
  </si>
  <si>
    <t xml:space="preserve"> Amin Saad</t>
  </si>
  <si>
    <t xml:space="preserve"> Albert Augustsson</t>
  </si>
  <si>
    <t xml:space="preserve"> Owen George Allum</t>
  </si>
  <si>
    <t xml:space="preserve"> Sara Rebecca Compton</t>
  </si>
  <si>
    <t xml:space="preserve"> Jakob Pasic</t>
  </si>
  <si>
    <t xml:space="preserve"> Maurice Sirota</t>
  </si>
  <si>
    <t xml:space="preserve"> Chang Chip</t>
  </si>
  <si>
    <t xml:space="preserve"> Pierre Marechal</t>
  </si>
  <si>
    <t xml:space="preserve"> Ilmari Rudolf Alhomaki</t>
  </si>
  <si>
    <t xml:space="preserve"> Thomas Charles Mudd</t>
  </si>
  <si>
    <t xml:space="preserve"> Augusta Serepeca</t>
  </si>
  <si>
    <t xml:space="preserve"> Peter L Lemberopolous</t>
  </si>
  <si>
    <t xml:space="preserve"> Jeso Culumovic</t>
  </si>
  <si>
    <t xml:space="preserve"> Anthony Abbing</t>
  </si>
  <si>
    <t xml:space="preserve"> Douglas Bullen Sage</t>
  </si>
  <si>
    <t xml:space="preserve"> Marin Markoff</t>
  </si>
  <si>
    <t xml:space="preserve"> John Harper</t>
  </si>
  <si>
    <t xml:space="preserve"> Samuel L (Edwiga Grabowska) Goldenberg</t>
  </si>
  <si>
    <t xml:space="preserve"> Sigvard Harald Elias Andersson</t>
  </si>
  <si>
    <t xml:space="preserve"> Johan Svensson</t>
  </si>
  <si>
    <t xml:space="preserve"> Nourelain Boulos</t>
  </si>
  <si>
    <t xml:space="preserve"> Mary Conover Lines</t>
  </si>
  <si>
    <t xml:space="preserve"> Ernest Courtenay (Lilian Hughes) Carter</t>
  </si>
  <si>
    <t xml:space="preserve"> Sam (Leah Rosen) Aks</t>
  </si>
  <si>
    <t xml:space="preserve"> George Dennick (Mary Hitchcock) Wick</t>
  </si>
  <si>
    <t xml:space="preserve"> Peter Denis Daly</t>
  </si>
  <si>
    <t xml:space="preserve"> Solomon (Latifa Qurban) Baclini</t>
  </si>
  <si>
    <t xml:space="preserve"> Raihed Razi</t>
  </si>
  <si>
    <t xml:space="preserve"> Claus Peter Hansen</t>
  </si>
  <si>
    <t xml:space="preserve"> Frederick Edward Giles</t>
  </si>
  <si>
    <t xml:space="preserve"> Frederick Joel (Margaret Welles Barron) Swift</t>
  </si>
  <si>
    <t xml:space="preserve"> Dorothy Edith Sage</t>
  </si>
  <si>
    <t xml:space="preserve"> John William Gill</t>
  </si>
  <si>
    <t xml:space="preserve"> (Karolina) Bystrom</t>
  </si>
  <si>
    <t xml:space="preserve"> Asuncion Duran y More</t>
  </si>
  <si>
    <t xml:space="preserve"> Washington Augustus II Roebling</t>
  </si>
  <si>
    <t xml:space="preserve"> Philemon van Melkebeke</t>
  </si>
  <si>
    <t xml:space="preserve"> Harold Theodor Johnson</t>
  </si>
  <si>
    <t xml:space="preserve"> Cerin Balkic</t>
  </si>
  <si>
    <t xml:space="preserve"> Richard Leonard (Sallie Monypeny) Beckwith</t>
  </si>
  <si>
    <t xml:space="preserve"> Frans Olof Carlsson</t>
  </si>
  <si>
    <t xml:space="preserve"> Victor Vander Cruyssen</t>
  </si>
  <si>
    <t xml:space="preserve"> Samuel (Hannah Wizosky) Abelson</t>
  </si>
  <si>
    <t xml:space="preserve"> Adele Kiamie Najib</t>
  </si>
  <si>
    <t xml:space="preserve"> Alfred Ossian Gustafsson</t>
  </si>
  <si>
    <t xml:space="preserve"> Nedelio Petroff</t>
  </si>
  <si>
    <t xml:space="preserve"> Kristo Laleff</t>
  </si>
  <si>
    <t xml:space="preserve"> Thomas Jr (Lily Alexenia Wilson) Potter</t>
  </si>
  <si>
    <t xml:space="preserve"> William (Imanita Parrish Hall) Shelley</t>
  </si>
  <si>
    <t xml:space="preserve"> Johann Markun</t>
  </si>
  <si>
    <t xml:space="preserve"> Gerda Ulrika Dahlberg</t>
  </si>
  <si>
    <t xml:space="preserve"> Frederick James Banfield</t>
  </si>
  <si>
    <t xml:space="preserve"> Henry Jr Sutehall</t>
  </si>
  <si>
    <t xml:space="preserve"> William (Margaret Norton) Rice</t>
  </si>
  <si>
    <t xml:space="preserve"> Juozas Montvila</t>
  </si>
  <si>
    <t xml:space="preserve"> Margaret Edith Graham</t>
  </si>
  <si>
    <t xml:space="preserve"> Catherine Helen Johnston</t>
  </si>
  <si>
    <t xml:space="preserve"> Karl Howell Behr</t>
  </si>
  <si>
    <t xml:space="preserve"> Patrick Dooley</t>
  </si>
  <si>
    <t>Highlight name column and use text to column delimiting on , and .</t>
  </si>
  <si>
    <t>Surname</t>
  </si>
  <si>
    <t>Unique Surnames:</t>
  </si>
  <si>
    <t>Title of nobility</t>
  </si>
  <si>
    <t>Femal Surnames</t>
  </si>
  <si>
    <t>Fill Function Down</t>
  </si>
  <si>
    <t>Dbl Click Fill Box</t>
  </si>
  <si>
    <t>SexNum</t>
  </si>
  <si>
    <t>"=IF(E2 = "Male", 0, 1)"</t>
  </si>
  <si>
    <t>Rounded Age</t>
  </si>
  <si>
    <t>Child Adult</t>
  </si>
  <si>
    <t>Rounded Fare</t>
  </si>
  <si>
    <t>Row Labels</t>
  </si>
  <si>
    <t>Female</t>
  </si>
  <si>
    <t>Grand Total</t>
  </si>
  <si>
    <t>Adult</t>
  </si>
  <si>
    <t>Child</t>
  </si>
  <si>
    <t>Male</t>
  </si>
  <si>
    <t>Survived Text</t>
  </si>
  <si>
    <t>No</t>
  </si>
  <si>
    <t>Yes</t>
  </si>
  <si>
    <t>Home Format as Table</t>
  </si>
  <si>
    <t>Insert PivotTable to New Worksheet</t>
  </si>
  <si>
    <t>Survived Num</t>
  </si>
  <si>
    <t>Column Labels</t>
  </si>
  <si>
    <t>Count of Survived</t>
  </si>
  <si>
    <t>Count of Child Adult</t>
  </si>
  <si>
    <t>Count of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</si>
</sst>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i/>
      <sz val="11"/>
      <color theme="1"/>
      <name val="Calibri"/>
      <family val="2"/>
      <scheme val="minor"/>
    </font>
    <font>
      <sz val="10"/>
      <color rgb="FF202124"/>
      <name val="Roboto"/>
    </font>
    <font>
      <sz val="8"/>
      <color rgb="FF4D5156"/>
      <name val="Roboto"/>
    </font>
    <font>
      <b/>
      <sz val="8"/>
      <color rgb="FF5F6368"/>
      <name val="Roboto"/>
    </font>
    <font>
      <b/>
      <sz val="10"/>
      <color rgb="FF212121"/>
      <name val="Roboto"/>
    </font>
    <font>
      <sz val="10"/>
      <color rgb="FF212121"/>
      <name val="Roboto"/>
    </font>
    <font>
      <u/>
      <sz val="11"/>
      <color theme="1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5">
    <xf numFmtId="0" fontId="0" fillId="0" borderId="0" xfId="0"/>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3" fillId="0" borderId="0" xfId="0" applyFont="1"/>
    <xf numFmtId="0" fontId="4" fillId="0" borderId="0" xfId="0" applyFont="1"/>
    <xf numFmtId="0" fontId="6" fillId="0" borderId="0" xfId="0" applyFont="1"/>
    <xf numFmtId="0" fontId="8" fillId="0" borderId="0" xfId="1"/>
    <xf numFmtId="0" fontId="0" fillId="0" borderId="0" xfId="0" applyAlignment="1">
      <alignment horizontal="left"/>
    </xf>
    <xf numFmtId="0" fontId="9" fillId="0" borderId="0" xfId="0" applyFont="1"/>
    <xf numFmtId="0" fontId="1" fillId="0" borderId="0" xfId="0" applyFont="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2">
    <cellStyle name="Hyperlink"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TV  Residual Plot</a:t>
            </a:r>
          </a:p>
        </c:rich>
      </c:tx>
      <c:overlay val="0"/>
    </c:title>
    <c:autoTitleDeleted val="0"/>
    <c:plotArea>
      <c:layout/>
      <c:scatterChart>
        <c:scatterStyle val="lineMarker"/>
        <c:varyColors val="0"/>
        <c:ser>
          <c:idx val="0"/>
          <c:order val="0"/>
          <c:spPr>
            <a:ln w="19050">
              <a:noFill/>
            </a:ln>
          </c:spPr>
          <c:xVal>
            <c:numRef>
              <c:f>Advertising!$A$2:$A$201</c:f>
              <c:numCache>
                <c:formatCode>General</c:formatCode>
                <c:ptCount val="200"/>
                <c:pt idx="0">
                  <c:v>230.1</c:v>
                </c:pt>
                <c:pt idx="1">
                  <c:v>44.5</c:v>
                </c:pt>
                <c:pt idx="2">
                  <c:v>17.2</c:v>
                </c:pt>
                <c:pt idx="3">
                  <c:v>151.5</c:v>
                </c:pt>
                <c:pt idx="4">
                  <c:v>180.8</c:v>
                </c:pt>
                <c:pt idx="5">
                  <c:v>8.6999999999999993</c:v>
                </c:pt>
                <c:pt idx="6">
                  <c:v>57.5</c:v>
                </c:pt>
                <c:pt idx="7">
                  <c:v>120.2</c:v>
                </c:pt>
                <c:pt idx="8">
                  <c:v>8.6</c:v>
                </c:pt>
                <c:pt idx="9">
                  <c:v>199.8</c:v>
                </c:pt>
                <c:pt idx="10">
                  <c:v>66.099999999999994</c:v>
                </c:pt>
                <c:pt idx="11">
                  <c:v>214.7</c:v>
                </c:pt>
                <c:pt idx="12">
                  <c:v>23.8</c:v>
                </c:pt>
                <c:pt idx="13">
                  <c:v>97.5</c:v>
                </c:pt>
                <c:pt idx="14">
                  <c:v>204.1</c:v>
                </c:pt>
                <c:pt idx="15">
                  <c:v>195.4</c:v>
                </c:pt>
                <c:pt idx="16">
                  <c:v>67.8</c:v>
                </c:pt>
                <c:pt idx="17">
                  <c:v>281.39999999999998</c:v>
                </c:pt>
                <c:pt idx="18">
                  <c:v>69.2</c:v>
                </c:pt>
                <c:pt idx="19">
                  <c:v>147.30000000000001</c:v>
                </c:pt>
                <c:pt idx="20">
                  <c:v>218.4</c:v>
                </c:pt>
                <c:pt idx="21">
                  <c:v>237.4</c:v>
                </c:pt>
                <c:pt idx="22">
                  <c:v>13.2</c:v>
                </c:pt>
                <c:pt idx="23">
                  <c:v>228.3</c:v>
                </c:pt>
                <c:pt idx="24">
                  <c:v>62.3</c:v>
                </c:pt>
                <c:pt idx="25">
                  <c:v>262.89999999999998</c:v>
                </c:pt>
                <c:pt idx="26">
                  <c:v>142.9</c:v>
                </c:pt>
                <c:pt idx="27">
                  <c:v>240.1</c:v>
                </c:pt>
                <c:pt idx="28">
                  <c:v>248.8</c:v>
                </c:pt>
                <c:pt idx="29">
                  <c:v>70.599999999999994</c:v>
                </c:pt>
                <c:pt idx="30">
                  <c:v>292.89999999999998</c:v>
                </c:pt>
                <c:pt idx="31">
                  <c:v>112.9</c:v>
                </c:pt>
                <c:pt idx="32">
                  <c:v>97.2</c:v>
                </c:pt>
                <c:pt idx="33">
                  <c:v>265.60000000000002</c:v>
                </c:pt>
                <c:pt idx="34">
                  <c:v>95.7</c:v>
                </c:pt>
                <c:pt idx="35">
                  <c:v>290.7</c:v>
                </c:pt>
                <c:pt idx="36">
                  <c:v>266.89999999999998</c:v>
                </c:pt>
                <c:pt idx="37">
                  <c:v>74.7</c:v>
                </c:pt>
                <c:pt idx="38">
                  <c:v>43.1</c:v>
                </c:pt>
                <c:pt idx="39">
                  <c:v>228</c:v>
                </c:pt>
                <c:pt idx="40">
                  <c:v>202.5</c:v>
                </c:pt>
                <c:pt idx="41">
                  <c:v>177</c:v>
                </c:pt>
                <c:pt idx="42">
                  <c:v>293.60000000000002</c:v>
                </c:pt>
                <c:pt idx="43">
                  <c:v>206.9</c:v>
                </c:pt>
                <c:pt idx="44">
                  <c:v>25.1</c:v>
                </c:pt>
                <c:pt idx="45">
                  <c:v>175.1</c:v>
                </c:pt>
                <c:pt idx="46">
                  <c:v>89.7</c:v>
                </c:pt>
                <c:pt idx="47">
                  <c:v>239.9</c:v>
                </c:pt>
                <c:pt idx="48">
                  <c:v>227.2</c:v>
                </c:pt>
                <c:pt idx="49">
                  <c:v>66.900000000000006</c:v>
                </c:pt>
                <c:pt idx="50">
                  <c:v>199.8</c:v>
                </c:pt>
                <c:pt idx="51">
                  <c:v>100.4</c:v>
                </c:pt>
                <c:pt idx="52">
                  <c:v>216.4</c:v>
                </c:pt>
                <c:pt idx="53">
                  <c:v>182.6</c:v>
                </c:pt>
                <c:pt idx="54">
                  <c:v>262.7</c:v>
                </c:pt>
                <c:pt idx="55">
                  <c:v>198.9</c:v>
                </c:pt>
                <c:pt idx="56">
                  <c:v>7.3</c:v>
                </c:pt>
                <c:pt idx="57">
                  <c:v>136.19999999999999</c:v>
                </c:pt>
                <c:pt idx="58">
                  <c:v>210.8</c:v>
                </c:pt>
                <c:pt idx="59">
                  <c:v>210.7</c:v>
                </c:pt>
                <c:pt idx="60">
                  <c:v>53.5</c:v>
                </c:pt>
                <c:pt idx="61">
                  <c:v>261.3</c:v>
                </c:pt>
                <c:pt idx="62">
                  <c:v>239.3</c:v>
                </c:pt>
                <c:pt idx="63">
                  <c:v>102.7</c:v>
                </c:pt>
                <c:pt idx="64">
                  <c:v>131.1</c:v>
                </c:pt>
                <c:pt idx="65">
                  <c:v>69</c:v>
                </c:pt>
                <c:pt idx="66">
                  <c:v>31.5</c:v>
                </c:pt>
                <c:pt idx="67">
                  <c:v>139.30000000000001</c:v>
                </c:pt>
                <c:pt idx="68">
                  <c:v>237.4</c:v>
                </c:pt>
                <c:pt idx="69">
                  <c:v>216.8</c:v>
                </c:pt>
                <c:pt idx="70">
                  <c:v>199.1</c:v>
                </c:pt>
                <c:pt idx="71">
                  <c:v>109.8</c:v>
                </c:pt>
                <c:pt idx="72">
                  <c:v>26.8</c:v>
                </c:pt>
                <c:pt idx="73">
                  <c:v>129.4</c:v>
                </c:pt>
                <c:pt idx="74">
                  <c:v>213.4</c:v>
                </c:pt>
                <c:pt idx="75">
                  <c:v>16.899999999999999</c:v>
                </c:pt>
                <c:pt idx="76">
                  <c:v>27.5</c:v>
                </c:pt>
                <c:pt idx="77">
                  <c:v>120.5</c:v>
                </c:pt>
                <c:pt idx="78">
                  <c:v>5.4</c:v>
                </c:pt>
                <c:pt idx="79">
                  <c:v>116</c:v>
                </c:pt>
                <c:pt idx="80">
                  <c:v>76.400000000000006</c:v>
                </c:pt>
                <c:pt idx="81">
                  <c:v>239.8</c:v>
                </c:pt>
                <c:pt idx="82">
                  <c:v>75.3</c:v>
                </c:pt>
                <c:pt idx="83">
                  <c:v>68.400000000000006</c:v>
                </c:pt>
                <c:pt idx="84">
                  <c:v>213.5</c:v>
                </c:pt>
                <c:pt idx="85">
                  <c:v>193.2</c:v>
                </c:pt>
                <c:pt idx="86">
                  <c:v>76.3</c:v>
                </c:pt>
                <c:pt idx="87">
                  <c:v>110.7</c:v>
                </c:pt>
                <c:pt idx="88">
                  <c:v>88.3</c:v>
                </c:pt>
                <c:pt idx="89">
                  <c:v>109.8</c:v>
                </c:pt>
                <c:pt idx="90">
                  <c:v>134.30000000000001</c:v>
                </c:pt>
                <c:pt idx="91">
                  <c:v>28.6</c:v>
                </c:pt>
                <c:pt idx="92">
                  <c:v>217.7</c:v>
                </c:pt>
                <c:pt idx="93">
                  <c:v>250.9</c:v>
                </c:pt>
                <c:pt idx="94">
                  <c:v>107.4</c:v>
                </c:pt>
                <c:pt idx="95">
                  <c:v>163.30000000000001</c:v>
                </c:pt>
                <c:pt idx="96">
                  <c:v>197.6</c:v>
                </c:pt>
                <c:pt idx="97">
                  <c:v>184.9</c:v>
                </c:pt>
                <c:pt idx="98">
                  <c:v>289.7</c:v>
                </c:pt>
                <c:pt idx="99">
                  <c:v>135.19999999999999</c:v>
                </c:pt>
                <c:pt idx="100">
                  <c:v>222.4</c:v>
                </c:pt>
                <c:pt idx="101">
                  <c:v>296.39999999999998</c:v>
                </c:pt>
                <c:pt idx="102">
                  <c:v>280.2</c:v>
                </c:pt>
                <c:pt idx="103">
                  <c:v>187.9</c:v>
                </c:pt>
                <c:pt idx="104">
                  <c:v>238.2</c:v>
                </c:pt>
                <c:pt idx="105">
                  <c:v>137.9</c:v>
                </c:pt>
                <c:pt idx="106">
                  <c:v>25</c:v>
                </c:pt>
                <c:pt idx="107">
                  <c:v>90.4</c:v>
                </c:pt>
                <c:pt idx="108">
                  <c:v>13.1</c:v>
                </c:pt>
                <c:pt idx="109">
                  <c:v>255.4</c:v>
                </c:pt>
                <c:pt idx="110">
                  <c:v>225.8</c:v>
                </c:pt>
                <c:pt idx="111">
                  <c:v>241.7</c:v>
                </c:pt>
                <c:pt idx="112">
                  <c:v>175.7</c:v>
                </c:pt>
                <c:pt idx="113">
                  <c:v>209.6</c:v>
                </c:pt>
                <c:pt idx="114">
                  <c:v>78.2</c:v>
                </c:pt>
                <c:pt idx="115">
                  <c:v>75.099999999999994</c:v>
                </c:pt>
                <c:pt idx="116">
                  <c:v>139.19999999999999</c:v>
                </c:pt>
                <c:pt idx="117">
                  <c:v>76.400000000000006</c:v>
                </c:pt>
                <c:pt idx="118">
                  <c:v>125.7</c:v>
                </c:pt>
                <c:pt idx="119">
                  <c:v>19.399999999999999</c:v>
                </c:pt>
                <c:pt idx="120">
                  <c:v>141.30000000000001</c:v>
                </c:pt>
                <c:pt idx="121">
                  <c:v>18.8</c:v>
                </c:pt>
                <c:pt idx="122">
                  <c:v>224</c:v>
                </c:pt>
                <c:pt idx="123">
                  <c:v>123.1</c:v>
                </c:pt>
                <c:pt idx="124">
                  <c:v>229.5</c:v>
                </c:pt>
                <c:pt idx="125">
                  <c:v>87.2</c:v>
                </c:pt>
                <c:pt idx="126">
                  <c:v>7.8</c:v>
                </c:pt>
                <c:pt idx="127">
                  <c:v>80.2</c:v>
                </c:pt>
                <c:pt idx="128">
                  <c:v>220.3</c:v>
                </c:pt>
                <c:pt idx="129">
                  <c:v>59.6</c:v>
                </c:pt>
                <c:pt idx="130">
                  <c:v>0.7</c:v>
                </c:pt>
                <c:pt idx="131">
                  <c:v>265.2</c:v>
                </c:pt>
                <c:pt idx="132">
                  <c:v>8.4</c:v>
                </c:pt>
                <c:pt idx="133">
                  <c:v>219.8</c:v>
                </c:pt>
                <c:pt idx="134">
                  <c:v>36.9</c:v>
                </c:pt>
                <c:pt idx="135">
                  <c:v>48.3</c:v>
                </c:pt>
                <c:pt idx="136">
                  <c:v>25.6</c:v>
                </c:pt>
                <c:pt idx="137">
                  <c:v>273.7</c:v>
                </c:pt>
                <c:pt idx="138">
                  <c:v>43</c:v>
                </c:pt>
                <c:pt idx="139">
                  <c:v>184.9</c:v>
                </c:pt>
                <c:pt idx="140">
                  <c:v>73.400000000000006</c:v>
                </c:pt>
                <c:pt idx="141">
                  <c:v>193.7</c:v>
                </c:pt>
                <c:pt idx="142">
                  <c:v>220.5</c:v>
                </c:pt>
                <c:pt idx="143">
                  <c:v>104.6</c:v>
                </c:pt>
                <c:pt idx="144">
                  <c:v>96.2</c:v>
                </c:pt>
                <c:pt idx="145">
                  <c:v>140.30000000000001</c:v>
                </c:pt>
                <c:pt idx="146">
                  <c:v>240.1</c:v>
                </c:pt>
                <c:pt idx="147">
                  <c:v>243.2</c:v>
                </c:pt>
                <c:pt idx="148">
                  <c:v>38</c:v>
                </c:pt>
                <c:pt idx="149">
                  <c:v>44.7</c:v>
                </c:pt>
                <c:pt idx="150">
                  <c:v>280.7</c:v>
                </c:pt>
                <c:pt idx="151">
                  <c:v>121</c:v>
                </c:pt>
                <c:pt idx="152">
                  <c:v>197.6</c:v>
                </c:pt>
                <c:pt idx="153">
                  <c:v>171.3</c:v>
                </c:pt>
                <c:pt idx="154">
                  <c:v>187.8</c:v>
                </c:pt>
                <c:pt idx="155">
                  <c:v>4.0999999999999996</c:v>
                </c:pt>
                <c:pt idx="156">
                  <c:v>93.9</c:v>
                </c:pt>
                <c:pt idx="157">
                  <c:v>149.80000000000001</c:v>
                </c:pt>
                <c:pt idx="158">
                  <c:v>11.7</c:v>
                </c:pt>
                <c:pt idx="159">
                  <c:v>131.69999999999999</c:v>
                </c:pt>
                <c:pt idx="160">
                  <c:v>172.5</c:v>
                </c:pt>
                <c:pt idx="161">
                  <c:v>85.7</c:v>
                </c:pt>
                <c:pt idx="162">
                  <c:v>188.4</c:v>
                </c:pt>
                <c:pt idx="163">
                  <c:v>163.5</c:v>
                </c:pt>
                <c:pt idx="164">
                  <c:v>117.2</c:v>
                </c:pt>
                <c:pt idx="165">
                  <c:v>234.5</c:v>
                </c:pt>
                <c:pt idx="166">
                  <c:v>17.899999999999999</c:v>
                </c:pt>
                <c:pt idx="167">
                  <c:v>206.8</c:v>
                </c:pt>
                <c:pt idx="168">
                  <c:v>215.4</c:v>
                </c:pt>
                <c:pt idx="169">
                  <c:v>284.3</c:v>
                </c:pt>
                <c:pt idx="170">
                  <c:v>50</c:v>
                </c:pt>
                <c:pt idx="171">
                  <c:v>164.5</c:v>
                </c:pt>
                <c:pt idx="172">
                  <c:v>19.600000000000001</c:v>
                </c:pt>
                <c:pt idx="173">
                  <c:v>168.4</c:v>
                </c:pt>
                <c:pt idx="174">
                  <c:v>222.4</c:v>
                </c:pt>
                <c:pt idx="175">
                  <c:v>276.89999999999998</c:v>
                </c:pt>
                <c:pt idx="176">
                  <c:v>248.4</c:v>
                </c:pt>
                <c:pt idx="177">
                  <c:v>170.2</c:v>
                </c:pt>
                <c:pt idx="178">
                  <c:v>276.7</c:v>
                </c:pt>
                <c:pt idx="179">
                  <c:v>165.6</c:v>
                </c:pt>
                <c:pt idx="180">
                  <c:v>156.6</c:v>
                </c:pt>
                <c:pt idx="181">
                  <c:v>218.5</c:v>
                </c:pt>
                <c:pt idx="182">
                  <c:v>56.2</c:v>
                </c:pt>
                <c:pt idx="183">
                  <c:v>287.60000000000002</c:v>
                </c:pt>
                <c:pt idx="184">
                  <c:v>253.8</c:v>
                </c:pt>
                <c:pt idx="185">
                  <c:v>205</c:v>
                </c:pt>
                <c:pt idx="186">
                  <c:v>139.5</c:v>
                </c:pt>
                <c:pt idx="187">
                  <c:v>191.1</c:v>
                </c:pt>
                <c:pt idx="188">
                  <c:v>286</c:v>
                </c:pt>
                <c:pt idx="189">
                  <c:v>18.7</c:v>
                </c:pt>
                <c:pt idx="190">
                  <c:v>39.5</c:v>
                </c:pt>
                <c:pt idx="191">
                  <c:v>75.5</c:v>
                </c:pt>
                <c:pt idx="192">
                  <c:v>17.2</c:v>
                </c:pt>
                <c:pt idx="193">
                  <c:v>166.8</c:v>
                </c:pt>
                <c:pt idx="194">
                  <c:v>149.69999999999999</c:v>
                </c:pt>
                <c:pt idx="195">
                  <c:v>38.200000000000003</c:v>
                </c:pt>
                <c:pt idx="196">
                  <c:v>94.2</c:v>
                </c:pt>
                <c:pt idx="197">
                  <c:v>177</c:v>
                </c:pt>
                <c:pt idx="198">
                  <c:v>283.60000000000002</c:v>
                </c:pt>
                <c:pt idx="199">
                  <c:v>232.1</c:v>
                </c:pt>
              </c:numCache>
            </c:numRef>
          </c:xVal>
          <c:yVal>
            <c:numRef>
              <c:f>Advertising!$H$29:$H$228</c:f>
              <c:numCache>
                <c:formatCode>General</c:formatCode>
                <c:ptCount val="200"/>
                <c:pt idx="0">
                  <c:v>1.5760255902848392</c:v>
                </c:pt>
                <c:pt idx="1">
                  <c:v>-1.9378548208943602</c:v>
                </c:pt>
                <c:pt idx="2">
                  <c:v>-3.0076707799942284</c:v>
                </c:pt>
                <c:pt idx="3">
                  <c:v>0.9021704883108761</c:v>
                </c:pt>
                <c:pt idx="4">
                  <c:v>-0.28867185683128938</c:v>
                </c:pt>
                <c:pt idx="5">
                  <c:v>-5.2783476340358471</c:v>
                </c:pt>
                <c:pt idx="6">
                  <c:v>7.0240048436314595E-2</c:v>
                </c:pt>
                <c:pt idx="7">
                  <c:v>1.0770468344977147</c:v>
                </c:pt>
                <c:pt idx="8">
                  <c:v>1.0726591371384107</c:v>
                </c:pt>
                <c:pt idx="9">
                  <c:v>-1.9508487229346851</c:v>
                </c:pt>
                <c:pt idx="10">
                  <c:v>1.5677007994411447</c:v>
                </c:pt>
                <c:pt idx="11">
                  <c:v>0.11487081739972638</c:v>
                </c:pt>
                <c:pt idx="12">
                  <c:v>-1.377120733627665</c:v>
                </c:pt>
                <c:pt idx="13">
                  <c:v>0.87369951996679696</c:v>
                </c:pt>
                <c:pt idx="14">
                  <c:v>0.56563361643893018</c:v>
                </c:pt>
                <c:pt idx="15">
                  <c:v>1.5807004835045433</c:v>
                </c:pt>
                <c:pt idx="16">
                  <c:v>-0.32365674369935604</c:v>
                </c:pt>
                <c:pt idx="17">
                  <c:v>1.1750428412009946</c:v>
                </c:pt>
                <c:pt idx="18">
                  <c:v>1.3483179408811985</c:v>
                </c:pt>
                <c:pt idx="19">
                  <c:v>0.43392706772673684</c:v>
                </c:pt>
                <c:pt idx="20">
                  <c:v>-0.10076727708427313</c:v>
                </c:pt>
                <c:pt idx="21">
                  <c:v>-2.2405382003554486</c:v>
                </c:pt>
                <c:pt idx="22">
                  <c:v>-0.88915030356329172</c:v>
                </c:pt>
                <c:pt idx="23">
                  <c:v>-1.0459328951314539</c:v>
                </c:pt>
                <c:pt idx="24">
                  <c:v>1.5534811281772551</c:v>
                </c:pt>
                <c:pt idx="25">
                  <c:v>-3.6100386045688637</c:v>
                </c:pt>
                <c:pt idx="26">
                  <c:v>1.0485711596086134E-2</c:v>
                </c:pt>
                <c:pt idx="27">
                  <c:v>-1.1516734351616744</c:v>
                </c:pt>
                <c:pt idx="28">
                  <c:v>-0.51053802657296288</c:v>
                </c:pt>
                <c:pt idx="29">
                  <c:v>1.3559761068312763</c:v>
                </c:pt>
                <c:pt idx="30">
                  <c:v>-0.23393380269557085</c:v>
                </c:pt>
                <c:pt idx="31">
                  <c:v>0.5539070956890253</c:v>
                </c:pt>
                <c:pt idx="32">
                  <c:v>1.9611168581729208</c:v>
                </c:pt>
                <c:pt idx="33">
                  <c:v>-1.4642682928643538</c:v>
                </c:pt>
                <c:pt idx="34">
                  <c:v>1.9251694852878751</c:v>
                </c:pt>
                <c:pt idx="35">
                  <c:v>-4.2068261818470774</c:v>
                </c:pt>
                <c:pt idx="36">
                  <c:v>1.9940994826900038</c:v>
                </c:pt>
                <c:pt idx="37">
                  <c:v>-0.92347778869574348</c:v>
                </c:pt>
                <c:pt idx="38">
                  <c:v>0.19131896548780958</c:v>
                </c:pt>
                <c:pt idx="39">
                  <c:v>1.052389606252877</c:v>
                </c:pt>
                <c:pt idx="40">
                  <c:v>0.22233532868887096</c:v>
                </c:pt>
                <c:pt idx="41">
                  <c:v>-0.19598319938897646</c:v>
                </c:pt>
                <c:pt idx="42">
                  <c:v>-0.89580325632194757</c:v>
                </c:pt>
                <c:pt idx="43">
                  <c:v>-1.0638568399727149</c:v>
                </c:pt>
                <c:pt idx="44">
                  <c:v>-0.38787995644852558</c:v>
                </c:pt>
                <c:pt idx="45">
                  <c:v>-0.26152313852112563</c:v>
                </c:pt>
                <c:pt idx="46">
                  <c:v>1.7266132673176013</c:v>
                </c:pt>
                <c:pt idx="47">
                  <c:v>1.4773701049710404</c:v>
                </c:pt>
                <c:pt idx="48">
                  <c:v>-1.4636201814138019</c:v>
                </c:pt>
                <c:pt idx="49">
                  <c:v>1.5318343955946219</c:v>
                </c:pt>
                <c:pt idx="50">
                  <c:v>-1.2312113246246046</c:v>
                </c:pt>
                <c:pt idx="51">
                  <c:v>1.3601870393568198</c:v>
                </c:pt>
                <c:pt idx="52">
                  <c:v>1.9370243729854941</c:v>
                </c:pt>
                <c:pt idx="53">
                  <c:v>1.2553004303573019</c:v>
                </c:pt>
                <c:pt idx="54">
                  <c:v>-0.1744300784612669</c:v>
                </c:pt>
                <c:pt idx="55">
                  <c:v>2.4073893962512862</c:v>
                </c:pt>
                <c:pt idx="56">
                  <c:v>-3.0277125447268425</c:v>
                </c:pt>
                <c:pt idx="57">
                  <c:v>0.4254119791910167</c:v>
                </c:pt>
                <c:pt idx="58">
                  <c:v>1.9019480171011978</c:v>
                </c:pt>
                <c:pt idx="59">
                  <c:v>0.26651301929631899</c:v>
                </c:pt>
                <c:pt idx="60">
                  <c:v>2.3578444159493959</c:v>
                </c:pt>
                <c:pt idx="61">
                  <c:v>1.3093279200613246</c:v>
                </c:pt>
                <c:pt idx="62">
                  <c:v>-1.084260729108621</c:v>
                </c:pt>
                <c:pt idx="63">
                  <c:v>0.78930798304920557</c:v>
                </c:pt>
                <c:pt idx="64">
                  <c:v>1.0222644361663846</c:v>
                </c:pt>
                <c:pt idx="65">
                  <c:v>1.4509546805170812</c:v>
                </c:pt>
                <c:pt idx="66">
                  <c:v>0.48396836720118053</c:v>
                </c:pt>
                <c:pt idx="67">
                  <c:v>1.3629927023229982</c:v>
                </c:pt>
                <c:pt idx="68">
                  <c:v>-7.6579242354178234E-2</c:v>
                </c:pt>
                <c:pt idx="69">
                  <c:v>1.1910875638565734</c:v>
                </c:pt>
                <c:pt idx="70">
                  <c:v>0.52050218341770815</c:v>
                </c:pt>
                <c:pt idx="71">
                  <c:v>1.7730618470541071</c:v>
                </c:pt>
                <c:pt idx="72">
                  <c:v>-1.5668488102450215</c:v>
                </c:pt>
                <c:pt idx="73">
                  <c:v>1.0970179444078791</c:v>
                </c:pt>
                <c:pt idx="74">
                  <c:v>-0.32931196697264298</c:v>
                </c:pt>
                <c:pt idx="75">
                  <c:v>-3.1583217389837888</c:v>
                </c:pt>
                <c:pt idx="76">
                  <c:v>2.4224109594272827</c:v>
                </c:pt>
                <c:pt idx="77">
                  <c:v>0.38809777219951691</c:v>
                </c:pt>
                <c:pt idx="78">
                  <c:v>-3.5133135261735964</c:v>
                </c:pt>
                <c:pt idx="79">
                  <c:v>1.3246967167254926</c:v>
                </c:pt>
                <c:pt idx="80">
                  <c:v>0.35407636087937533</c:v>
                </c:pt>
                <c:pt idx="81">
                  <c:v>-2.3479409257610158</c:v>
                </c:pt>
                <c:pt idx="82">
                  <c:v>1.1215920081900794</c:v>
                </c:pt>
                <c:pt idx="83">
                  <c:v>-0.8218421191565497</c:v>
                </c:pt>
                <c:pt idx="84">
                  <c:v>0.91863536316611416</c:v>
                </c:pt>
                <c:pt idx="85">
                  <c:v>1.8592110153504038E-2</c:v>
                </c:pt>
                <c:pt idx="86">
                  <c:v>0.40129260572274994</c:v>
                </c:pt>
                <c:pt idx="87">
                  <c:v>0.4062152520334763</c:v>
                </c:pt>
                <c:pt idx="88">
                  <c:v>1.1887289947325268</c:v>
                </c:pt>
                <c:pt idx="89">
                  <c:v>-0.2222551067689551</c:v>
                </c:pt>
                <c:pt idx="90">
                  <c:v>1.2007703482765191</c:v>
                </c:pt>
                <c:pt idx="91">
                  <c:v>2.8036840155406226</c:v>
                </c:pt>
                <c:pt idx="92">
                  <c:v>0.24360383764678772</c:v>
                </c:pt>
                <c:pt idx="93">
                  <c:v>0.97242621523790973</c:v>
                </c:pt>
                <c:pt idx="94">
                  <c:v>1.0178761459390149</c:v>
                </c:pt>
                <c:pt idx="95">
                  <c:v>0.58507887500589817</c:v>
                </c:pt>
                <c:pt idx="96">
                  <c:v>-0.93571716170908026</c:v>
                </c:pt>
                <c:pt idx="97">
                  <c:v>0.16292217748976157</c:v>
                </c:pt>
                <c:pt idx="98">
                  <c:v>1.2813927702466508</c:v>
                </c:pt>
                <c:pt idx="99">
                  <c:v>0.25964979013137324</c:v>
                </c:pt>
                <c:pt idx="100">
                  <c:v>-2.1759584379727972</c:v>
                </c:pt>
                <c:pt idx="101">
                  <c:v>0.55751315141578672</c:v>
                </c:pt>
                <c:pt idx="102">
                  <c:v>-2.8440938458266842</c:v>
                </c:pt>
                <c:pt idx="103">
                  <c:v>-6.2211416061408897E-2</c:v>
                </c:pt>
                <c:pt idx="104">
                  <c:v>0.39889121589560261</c:v>
                </c:pt>
                <c:pt idx="105">
                  <c:v>1.2635853267426782</c:v>
                </c:pt>
                <c:pt idx="106">
                  <c:v>1.0739778514169416</c:v>
                </c:pt>
                <c:pt idx="107">
                  <c:v>1.5914975148826302</c:v>
                </c:pt>
                <c:pt idx="108">
                  <c:v>1.7127415901949847</c:v>
                </c:pt>
                <c:pt idx="109">
                  <c:v>0.10706893786597149</c:v>
                </c:pt>
                <c:pt idx="110">
                  <c:v>-1.3598740951175525</c:v>
                </c:pt>
                <c:pt idx="111">
                  <c:v>0.65972501966468045</c:v>
                </c:pt>
                <c:pt idx="112">
                  <c:v>0.21939014678882884</c:v>
                </c:pt>
                <c:pt idx="113">
                  <c:v>-0.50377622987125825</c:v>
                </c:pt>
                <c:pt idx="114">
                  <c:v>-0.7050959258780356</c:v>
                </c:pt>
                <c:pt idx="115">
                  <c:v>-0.31968895195842606</c:v>
                </c:pt>
                <c:pt idx="116">
                  <c:v>0.22125256310631336</c:v>
                </c:pt>
                <c:pt idx="117">
                  <c:v>2.8292226012422947</c:v>
                </c:pt>
                <c:pt idx="118">
                  <c:v>0.33390652147948963</c:v>
                </c:pt>
                <c:pt idx="119">
                  <c:v>-0.22006766713817871</c:v>
                </c:pt>
                <c:pt idx="120">
                  <c:v>1.0898939528474347</c:v>
                </c:pt>
                <c:pt idx="121">
                  <c:v>-0.83807642180512154</c:v>
                </c:pt>
                <c:pt idx="122">
                  <c:v>-2.026457100609532</c:v>
                </c:pt>
                <c:pt idx="123">
                  <c:v>0.11720910333797896</c:v>
                </c:pt>
                <c:pt idx="124">
                  <c:v>0.24558693582058311</c:v>
                </c:pt>
                <c:pt idx="125">
                  <c:v>1.4726504169952399</c:v>
                </c:pt>
                <c:pt idx="126">
                  <c:v>-3.9771741141803663</c:v>
                </c:pt>
                <c:pt idx="127">
                  <c:v>2.2003310010084807</c:v>
                </c:pt>
                <c:pt idx="128">
                  <c:v>2.4445083854604093</c:v>
                </c:pt>
                <c:pt idx="129">
                  <c:v>1.8158935085111629</c:v>
                </c:pt>
                <c:pt idx="130">
                  <c:v>-8.8276871017695449</c:v>
                </c:pt>
                <c:pt idx="131">
                  <c:v>-2.8777981924671643</c:v>
                </c:pt>
                <c:pt idx="132">
                  <c:v>-2.7491501160707132</c:v>
                </c:pt>
                <c:pt idx="133">
                  <c:v>0.33307692890003437</c:v>
                </c:pt>
                <c:pt idx="134">
                  <c:v>-1.0368038962198298</c:v>
                </c:pt>
                <c:pt idx="135">
                  <c:v>-2.401413849249673</c:v>
                </c:pt>
                <c:pt idx="136">
                  <c:v>-1.9534862676325329</c:v>
                </c:pt>
                <c:pt idx="137">
                  <c:v>-5.1251984901998782E-2</c:v>
                </c:pt>
                <c:pt idx="138">
                  <c:v>-0.16842795485224116</c:v>
                </c:pt>
                <c:pt idx="139">
                  <c:v>1.0245236813006109</c:v>
                </c:pt>
                <c:pt idx="140">
                  <c:v>1.4103590267528734</c:v>
                </c:pt>
                <c:pt idx="141">
                  <c:v>0.80097068093684953</c:v>
                </c:pt>
                <c:pt idx="142">
                  <c:v>0.85013073225088576</c:v>
                </c:pt>
                <c:pt idx="143">
                  <c:v>1.6351973801334161</c:v>
                </c:pt>
                <c:pt idx="144">
                  <c:v>1.3086659666942406</c:v>
                </c:pt>
                <c:pt idx="145">
                  <c:v>0.59146127838600471</c:v>
                </c:pt>
                <c:pt idx="146">
                  <c:v>-2.0942236773337211</c:v>
                </c:pt>
                <c:pt idx="147">
                  <c:v>2.1391389685775799</c:v>
                </c:pt>
                <c:pt idx="148">
                  <c:v>-1.3633594113626888</c:v>
                </c:pt>
                <c:pt idx="149">
                  <c:v>0.27272889886965146</c:v>
                </c:pt>
                <c:pt idx="150">
                  <c:v>-2.2672053413809259</c:v>
                </c:pt>
                <c:pt idx="151">
                  <c:v>1.5904622994931561</c:v>
                </c:pt>
                <c:pt idx="152">
                  <c:v>0.23999969556302858</c:v>
                </c:pt>
                <c:pt idx="153">
                  <c:v>0.7760986800796239</c:v>
                </c:pt>
                <c:pt idx="154">
                  <c:v>9.8383040946334432E-2</c:v>
                </c:pt>
                <c:pt idx="155">
                  <c:v>-2.1075589017356027</c:v>
                </c:pt>
                <c:pt idx="156">
                  <c:v>-8.4851915018083091E-2</c:v>
                </c:pt>
                <c:pt idx="157">
                  <c:v>8.5688800260534492E-2</c:v>
                </c:pt>
                <c:pt idx="158">
                  <c:v>-3.0841986600493803</c:v>
                </c:pt>
                <c:pt idx="159">
                  <c:v>0.50085177203944475</c:v>
                </c:pt>
                <c:pt idx="160">
                  <c:v>0.1861670196690266</c:v>
                </c:pt>
                <c:pt idx="161">
                  <c:v>-0.25914568366462021</c:v>
                </c:pt>
                <c:pt idx="162">
                  <c:v>-4.6782057588425019E-2</c:v>
                </c:pt>
                <c:pt idx="163">
                  <c:v>0.64836392450748903</c:v>
                </c:pt>
                <c:pt idx="164">
                  <c:v>0.83170539689975875</c:v>
                </c:pt>
                <c:pt idx="165">
                  <c:v>-2.3237213762700524</c:v>
                </c:pt>
                <c:pt idx="166">
                  <c:v>-2.8243953095180281</c:v>
                </c:pt>
                <c:pt idx="167">
                  <c:v>-1.1632467725862572</c:v>
                </c:pt>
                <c:pt idx="168">
                  <c:v>-8.6142800575039757E-2</c:v>
                </c:pt>
                <c:pt idx="169">
                  <c:v>-2.941556296290063</c:v>
                </c:pt>
                <c:pt idx="170">
                  <c:v>1.0050200335010979</c:v>
                </c:pt>
                <c:pt idx="171">
                  <c:v>0.14172626975058655</c:v>
                </c:pt>
                <c:pt idx="172">
                  <c:v>-7.6923787190210646E-3</c:v>
                </c:pt>
                <c:pt idx="173">
                  <c:v>-0.27093887332392264</c:v>
                </c:pt>
                <c:pt idx="174">
                  <c:v>-2.2443574174052916</c:v>
                </c:pt>
                <c:pt idx="175">
                  <c:v>2.2131296858163161</c:v>
                </c:pt>
                <c:pt idx="176">
                  <c:v>0.22062729725232444</c:v>
                </c:pt>
                <c:pt idx="177">
                  <c:v>-0.46204640283491116</c:v>
                </c:pt>
                <c:pt idx="178">
                  <c:v>-4.2109972207731019</c:v>
                </c:pt>
                <c:pt idx="179">
                  <c:v>0.21544505149228499</c:v>
                </c:pt>
                <c:pt idx="180">
                  <c:v>-8.7199699509453055E-2</c:v>
                </c:pt>
                <c:pt idx="181">
                  <c:v>-1.7280991834582391</c:v>
                </c:pt>
                <c:pt idx="182">
                  <c:v>2.1453300028750197</c:v>
                </c:pt>
                <c:pt idx="183">
                  <c:v>2.0668998705352521</c:v>
                </c:pt>
                <c:pt idx="184">
                  <c:v>-0.93852095512278311</c:v>
                </c:pt>
                <c:pt idx="185">
                  <c:v>1.7969894128056048</c:v>
                </c:pt>
                <c:pt idx="186">
                  <c:v>0.60862686891426421</c:v>
                </c:pt>
                <c:pt idx="187">
                  <c:v>0.22355777183471304</c:v>
                </c:pt>
                <c:pt idx="188">
                  <c:v>-2.7443064806089961</c:v>
                </c:pt>
                <c:pt idx="189">
                  <c:v>0.64837589300832121</c:v>
                </c:pt>
                <c:pt idx="190">
                  <c:v>-1.689159100639456</c:v>
                </c:pt>
                <c:pt idx="191">
                  <c:v>1.4759806741963182</c:v>
                </c:pt>
                <c:pt idx="192">
                  <c:v>1.4337704394853574</c:v>
                </c:pt>
                <c:pt idx="193">
                  <c:v>1.1130420329686039</c:v>
                </c:pt>
                <c:pt idx="194">
                  <c:v>0.80469956183435443</c:v>
                </c:pt>
                <c:pt idx="195">
                  <c:v>2.2296575155332121</c:v>
                </c:pt>
                <c:pt idx="196">
                  <c:v>1.5346876393869877</c:v>
                </c:pt>
                <c:pt idx="197">
                  <c:v>1.4079183067762457E-2</c:v>
                </c:pt>
                <c:pt idx="198">
                  <c:v>1.7326785082371821</c:v>
                </c:pt>
                <c:pt idx="199">
                  <c:v>-1.7731955356842057</c:v>
                </c:pt>
              </c:numCache>
            </c:numRef>
          </c:yVal>
          <c:smooth val="0"/>
          <c:extLst>
            <c:ext xmlns:c16="http://schemas.microsoft.com/office/drawing/2014/chart" uri="{C3380CC4-5D6E-409C-BE32-E72D297353CC}">
              <c16:uniqueId val="{00000001-BFD7-4363-A130-3166B3A23255}"/>
            </c:ext>
          </c:extLst>
        </c:ser>
        <c:dLbls>
          <c:showLegendKey val="0"/>
          <c:showVal val="0"/>
          <c:showCatName val="0"/>
          <c:showSerName val="0"/>
          <c:showPercent val="0"/>
          <c:showBubbleSize val="0"/>
        </c:dLbls>
        <c:axId val="176878256"/>
        <c:axId val="176875856"/>
      </c:scatterChart>
      <c:valAx>
        <c:axId val="176878256"/>
        <c:scaling>
          <c:orientation val="minMax"/>
        </c:scaling>
        <c:delete val="0"/>
        <c:axPos val="b"/>
        <c:title>
          <c:tx>
            <c:rich>
              <a:bodyPr/>
              <a:lstStyle/>
              <a:p>
                <a:pPr>
                  <a:defRPr/>
                </a:pPr>
                <a:r>
                  <a:rPr lang="en-US"/>
                  <a:t>TV</a:t>
                </a:r>
              </a:p>
            </c:rich>
          </c:tx>
          <c:overlay val="0"/>
        </c:title>
        <c:numFmt formatCode="General" sourceLinked="1"/>
        <c:majorTickMark val="out"/>
        <c:minorTickMark val="none"/>
        <c:tickLblPos val="nextTo"/>
        <c:crossAx val="176875856"/>
        <c:crosses val="autoZero"/>
        <c:crossBetween val="midCat"/>
      </c:valAx>
      <c:valAx>
        <c:axId val="1768758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68782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radio  Residual Plot</a:t>
            </a:r>
          </a:p>
        </c:rich>
      </c:tx>
      <c:overlay val="0"/>
    </c:title>
    <c:autoTitleDeleted val="0"/>
    <c:plotArea>
      <c:layout/>
      <c:scatterChart>
        <c:scatterStyle val="lineMarker"/>
        <c:varyColors val="0"/>
        <c:ser>
          <c:idx val="0"/>
          <c:order val="0"/>
          <c:spPr>
            <a:ln w="19050">
              <a:noFill/>
            </a:ln>
          </c:spPr>
          <c:xVal>
            <c:numRef>
              <c:f>Advertising!$B$2:$B$201</c:f>
              <c:numCache>
                <c:formatCode>General</c:formatCode>
                <c:ptCount val="200"/>
                <c:pt idx="0">
                  <c:v>37.799999999999997</c:v>
                </c:pt>
                <c:pt idx="1">
                  <c:v>39.299999999999997</c:v>
                </c:pt>
                <c:pt idx="2">
                  <c:v>45.9</c:v>
                </c:pt>
                <c:pt idx="3">
                  <c:v>41.3</c:v>
                </c:pt>
                <c:pt idx="4">
                  <c:v>10.8</c:v>
                </c:pt>
                <c:pt idx="5">
                  <c:v>48.9</c:v>
                </c:pt>
                <c:pt idx="6">
                  <c:v>32.799999999999997</c:v>
                </c:pt>
                <c:pt idx="7">
                  <c:v>19.600000000000001</c:v>
                </c:pt>
                <c:pt idx="8">
                  <c:v>2.1</c:v>
                </c:pt>
                <c:pt idx="9">
                  <c:v>2.6</c:v>
                </c:pt>
                <c:pt idx="10">
                  <c:v>5.8</c:v>
                </c:pt>
                <c:pt idx="11">
                  <c:v>24</c:v>
                </c:pt>
                <c:pt idx="12">
                  <c:v>35.1</c:v>
                </c:pt>
                <c:pt idx="13">
                  <c:v>7.6</c:v>
                </c:pt>
                <c:pt idx="14">
                  <c:v>32.9</c:v>
                </c:pt>
                <c:pt idx="15">
                  <c:v>47.7</c:v>
                </c:pt>
                <c:pt idx="16">
                  <c:v>36.6</c:v>
                </c:pt>
                <c:pt idx="17">
                  <c:v>39.6</c:v>
                </c:pt>
                <c:pt idx="18">
                  <c:v>20.5</c:v>
                </c:pt>
                <c:pt idx="19">
                  <c:v>23.9</c:v>
                </c:pt>
                <c:pt idx="20">
                  <c:v>27.7</c:v>
                </c:pt>
                <c:pt idx="21">
                  <c:v>5.0999999999999996</c:v>
                </c:pt>
                <c:pt idx="22">
                  <c:v>15.9</c:v>
                </c:pt>
                <c:pt idx="23">
                  <c:v>16.899999999999999</c:v>
                </c:pt>
                <c:pt idx="24">
                  <c:v>12.6</c:v>
                </c:pt>
                <c:pt idx="25">
                  <c:v>3.5</c:v>
                </c:pt>
                <c:pt idx="26">
                  <c:v>29.3</c:v>
                </c:pt>
                <c:pt idx="27">
                  <c:v>16.7</c:v>
                </c:pt>
                <c:pt idx="28">
                  <c:v>27.1</c:v>
                </c:pt>
                <c:pt idx="29">
                  <c:v>16</c:v>
                </c:pt>
                <c:pt idx="30">
                  <c:v>28.3</c:v>
                </c:pt>
                <c:pt idx="31">
                  <c:v>17.399999999999999</c:v>
                </c:pt>
                <c:pt idx="32">
                  <c:v>1.5</c:v>
                </c:pt>
                <c:pt idx="33">
                  <c:v>20</c:v>
                </c:pt>
                <c:pt idx="34">
                  <c:v>1.4</c:v>
                </c:pt>
                <c:pt idx="35">
                  <c:v>4.0999999999999996</c:v>
                </c:pt>
                <c:pt idx="36">
                  <c:v>43.8</c:v>
                </c:pt>
                <c:pt idx="37">
                  <c:v>49.4</c:v>
                </c:pt>
                <c:pt idx="38">
                  <c:v>26.7</c:v>
                </c:pt>
                <c:pt idx="39">
                  <c:v>37.700000000000003</c:v>
                </c:pt>
                <c:pt idx="40">
                  <c:v>22.3</c:v>
                </c:pt>
                <c:pt idx="41">
                  <c:v>33.4</c:v>
                </c:pt>
                <c:pt idx="42">
                  <c:v>27.7</c:v>
                </c:pt>
                <c:pt idx="43">
                  <c:v>8.4</c:v>
                </c:pt>
                <c:pt idx="44">
                  <c:v>25.7</c:v>
                </c:pt>
                <c:pt idx="45">
                  <c:v>22.5</c:v>
                </c:pt>
                <c:pt idx="46">
                  <c:v>9.9</c:v>
                </c:pt>
                <c:pt idx="47">
                  <c:v>41.5</c:v>
                </c:pt>
                <c:pt idx="48">
                  <c:v>15.8</c:v>
                </c:pt>
                <c:pt idx="49">
                  <c:v>11.7</c:v>
                </c:pt>
                <c:pt idx="50">
                  <c:v>3.1</c:v>
                </c:pt>
                <c:pt idx="51">
                  <c:v>9.6</c:v>
                </c:pt>
                <c:pt idx="52">
                  <c:v>41.7</c:v>
                </c:pt>
                <c:pt idx="53">
                  <c:v>46.2</c:v>
                </c:pt>
                <c:pt idx="54">
                  <c:v>28.8</c:v>
                </c:pt>
                <c:pt idx="55">
                  <c:v>49.4</c:v>
                </c:pt>
                <c:pt idx="56">
                  <c:v>28.1</c:v>
                </c:pt>
                <c:pt idx="57">
                  <c:v>19.2</c:v>
                </c:pt>
                <c:pt idx="58">
                  <c:v>49.6</c:v>
                </c:pt>
                <c:pt idx="59">
                  <c:v>29.5</c:v>
                </c:pt>
                <c:pt idx="60">
                  <c:v>2</c:v>
                </c:pt>
                <c:pt idx="61">
                  <c:v>42.7</c:v>
                </c:pt>
                <c:pt idx="62">
                  <c:v>15.5</c:v>
                </c:pt>
                <c:pt idx="63">
                  <c:v>29.6</c:v>
                </c:pt>
                <c:pt idx="64">
                  <c:v>42.8</c:v>
                </c:pt>
                <c:pt idx="65">
                  <c:v>9.3000000000000007</c:v>
                </c:pt>
                <c:pt idx="66">
                  <c:v>24.6</c:v>
                </c:pt>
                <c:pt idx="67">
                  <c:v>14.5</c:v>
                </c:pt>
                <c:pt idx="68">
                  <c:v>27.5</c:v>
                </c:pt>
                <c:pt idx="69">
                  <c:v>43.9</c:v>
                </c:pt>
                <c:pt idx="70">
                  <c:v>30.6</c:v>
                </c:pt>
                <c:pt idx="71">
                  <c:v>14.3</c:v>
                </c:pt>
                <c:pt idx="72">
                  <c:v>33</c:v>
                </c:pt>
                <c:pt idx="73">
                  <c:v>5.7</c:v>
                </c:pt>
                <c:pt idx="74">
                  <c:v>24.6</c:v>
                </c:pt>
                <c:pt idx="75">
                  <c:v>43.7</c:v>
                </c:pt>
                <c:pt idx="76">
                  <c:v>1.6</c:v>
                </c:pt>
                <c:pt idx="77">
                  <c:v>28.5</c:v>
                </c:pt>
                <c:pt idx="78">
                  <c:v>29.9</c:v>
                </c:pt>
                <c:pt idx="79">
                  <c:v>7.7</c:v>
                </c:pt>
                <c:pt idx="80">
                  <c:v>26.7</c:v>
                </c:pt>
                <c:pt idx="81">
                  <c:v>4.0999999999999996</c:v>
                </c:pt>
                <c:pt idx="82">
                  <c:v>20.3</c:v>
                </c:pt>
                <c:pt idx="83">
                  <c:v>44.5</c:v>
                </c:pt>
                <c:pt idx="84">
                  <c:v>43</c:v>
                </c:pt>
                <c:pt idx="85">
                  <c:v>18.399999999999999</c:v>
                </c:pt>
                <c:pt idx="86">
                  <c:v>27.5</c:v>
                </c:pt>
                <c:pt idx="87">
                  <c:v>40.6</c:v>
                </c:pt>
                <c:pt idx="88">
                  <c:v>25.5</c:v>
                </c:pt>
                <c:pt idx="89">
                  <c:v>47.8</c:v>
                </c:pt>
                <c:pt idx="90">
                  <c:v>4.9000000000000004</c:v>
                </c:pt>
                <c:pt idx="91">
                  <c:v>1.5</c:v>
                </c:pt>
                <c:pt idx="92">
                  <c:v>33.5</c:v>
                </c:pt>
                <c:pt idx="93">
                  <c:v>36.5</c:v>
                </c:pt>
                <c:pt idx="94">
                  <c:v>14</c:v>
                </c:pt>
                <c:pt idx="95">
                  <c:v>31.6</c:v>
                </c:pt>
                <c:pt idx="96">
                  <c:v>3.5</c:v>
                </c:pt>
                <c:pt idx="97">
                  <c:v>21</c:v>
                </c:pt>
                <c:pt idx="98">
                  <c:v>42.3</c:v>
                </c:pt>
                <c:pt idx="99">
                  <c:v>41.7</c:v>
                </c:pt>
                <c:pt idx="100">
                  <c:v>4.3</c:v>
                </c:pt>
                <c:pt idx="101">
                  <c:v>36.299999999999997</c:v>
                </c:pt>
                <c:pt idx="102">
                  <c:v>10.1</c:v>
                </c:pt>
                <c:pt idx="103">
                  <c:v>17.2</c:v>
                </c:pt>
                <c:pt idx="104">
                  <c:v>34.299999999999997</c:v>
                </c:pt>
                <c:pt idx="105">
                  <c:v>46.4</c:v>
                </c:pt>
                <c:pt idx="106">
                  <c:v>11</c:v>
                </c:pt>
                <c:pt idx="107">
                  <c:v>0.3</c:v>
                </c:pt>
                <c:pt idx="108">
                  <c:v>0.4</c:v>
                </c:pt>
                <c:pt idx="109">
                  <c:v>26.9</c:v>
                </c:pt>
                <c:pt idx="110">
                  <c:v>8.1999999999999993</c:v>
                </c:pt>
                <c:pt idx="111">
                  <c:v>38</c:v>
                </c:pt>
                <c:pt idx="112">
                  <c:v>15.4</c:v>
                </c:pt>
                <c:pt idx="113">
                  <c:v>20.6</c:v>
                </c:pt>
                <c:pt idx="114">
                  <c:v>46.8</c:v>
                </c:pt>
                <c:pt idx="115">
                  <c:v>35</c:v>
                </c:pt>
                <c:pt idx="116">
                  <c:v>14.3</c:v>
                </c:pt>
                <c:pt idx="117">
                  <c:v>0.8</c:v>
                </c:pt>
                <c:pt idx="118">
                  <c:v>36.9</c:v>
                </c:pt>
                <c:pt idx="119">
                  <c:v>16</c:v>
                </c:pt>
                <c:pt idx="120">
                  <c:v>26.8</c:v>
                </c:pt>
                <c:pt idx="121">
                  <c:v>21.7</c:v>
                </c:pt>
                <c:pt idx="122">
                  <c:v>2.4</c:v>
                </c:pt>
                <c:pt idx="123">
                  <c:v>34.6</c:v>
                </c:pt>
                <c:pt idx="124">
                  <c:v>32.299999999999997</c:v>
                </c:pt>
                <c:pt idx="125">
                  <c:v>11.8</c:v>
                </c:pt>
                <c:pt idx="126">
                  <c:v>38.9</c:v>
                </c:pt>
                <c:pt idx="127">
                  <c:v>0</c:v>
                </c:pt>
                <c:pt idx="128">
                  <c:v>49</c:v>
                </c:pt>
                <c:pt idx="129">
                  <c:v>12</c:v>
                </c:pt>
                <c:pt idx="130">
                  <c:v>39.6</c:v>
                </c:pt>
                <c:pt idx="131">
                  <c:v>2.9</c:v>
                </c:pt>
                <c:pt idx="132">
                  <c:v>27.2</c:v>
                </c:pt>
                <c:pt idx="133">
                  <c:v>33.5</c:v>
                </c:pt>
                <c:pt idx="134">
                  <c:v>38.6</c:v>
                </c:pt>
                <c:pt idx="135">
                  <c:v>47</c:v>
                </c:pt>
                <c:pt idx="136">
                  <c:v>39</c:v>
                </c:pt>
                <c:pt idx="137">
                  <c:v>28.9</c:v>
                </c:pt>
                <c:pt idx="138">
                  <c:v>25.9</c:v>
                </c:pt>
                <c:pt idx="139">
                  <c:v>43.9</c:v>
                </c:pt>
                <c:pt idx="140">
                  <c:v>17</c:v>
                </c:pt>
                <c:pt idx="141">
                  <c:v>35.4</c:v>
                </c:pt>
                <c:pt idx="142">
                  <c:v>33.200000000000003</c:v>
                </c:pt>
                <c:pt idx="143">
                  <c:v>5.7</c:v>
                </c:pt>
                <c:pt idx="144">
                  <c:v>14.8</c:v>
                </c:pt>
                <c:pt idx="145">
                  <c:v>1.9</c:v>
                </c:pt>
                <c:pt idx="146">
                  <c:v>7.3</c:v>
                </c:pt>
                <c:pt idx="147">
                  <c:v>49</c:v>
                </c:pt>
                <c:pt idx="148">
                  <c:v>40.299999999999997</c:v>
                </c:pt>
                <c:pt idx="149">
                  <c:v>25.8</c:v>
                </c:pt>
                <c:pt idx="150">
                  <c:v>13.9</c:v>
                </c:pt>
                <c:pt idx="151">
                  <c:v>8.4</c:v>
                </c:pt>
                <c:pt idx="152">
                  <c:v>23.3</c:v>
                </c:pt>
                <c:pt idx="153">
                  <c:v>39.700000000000003</c:v>
                </c:pt>
                <c:pt idx="154">
                  <c:v>21.1</c:v>
                </c:pt>
                <c:pt idx="155">
                  <c:v>11.6</c:v>
                </c:pt>
                <c:pt idx="156">
                  <c:v>43.5</c:v>
                </c:pt>
                <c:pt idx="157">
                  <c:v>1.3</c:v>
                </c:pt>
                <c:pt idx="158">
                  <c:v>36.9</c:v>
                </c:pt>
                <c:pt idx="159">
                  <c:v>18.399999999999999</c:v>
                </c:pt>
                <c:pt idx="160">
                  <c:v>18.100000000000001</c:v>
                </c:pt>
                <c:pt idx="161">
                  <c:v>35.799999999999997</c:v>
                </c:pt>
                <c:pt idx="162">
                  <c:v>18.100000000000001</c:v>
                </c:pt>
                <c:pt idx="163">
                  <c:v>36.799999999999997</c:v>
                </c:pt>
                <c:pt idx="164">
                  <c:v>14.7</c:v>
                </c:pt>
                <c:pt idx="165">
                  <c:v>3.4</c:v>
                </c:pt>
                <c:pt idx="166">
                  <c:v>37.6</c:v>
                </c:pt>
                <c:pt idx="167">
                  <c:v>5.2</c:v>
                </c:pt>
                <c:pt idx="168">
                  <c:v>23.6</c:v>
                </c:pt>
                <c:pt idx="169">
                  <c:v>10.6</c:v>
                </c:pt>
                <c:pt idx="170">
                  <c:v>11.6</c:v>
                </c:pt>
                <c:pt idx="171">
                  <c:v>20.9</c:v>
                </c:pt>
                <c:pt idx="172">
                  <c:v>20.100000000000001</c:v>
                </c:pt>
                <c:pt idx="173">
                  <c:v>7.1</c:v>
                </c:pt>
                <c:pt idx="174">
                  <c:v>3.4</c:v>
                </c:pt>
                <c:pt idx="175">
                  <c:v>48.9</c:v>
                </c:pt>
                <c:pt idx="176">
                  <c:v>30.2</c:v>
                </c:pt>
                <c:pt idx="177">
                  <c:v>7.8</c:v>
                </c:pt>
                <c:pt idx="178">
                  <c:v>2.2999999999999998</c:v>
                </c:pt>
                <c:pt idx="179">
                  <c:v>10</c:v>
                </c:pt>
                <c:pt idx="180">
                  <c:v>2.6</c:v>
                </c:pt>
                <c:pt idx="181">
                  <c:v>5.4</c:v>
                </c:pt>
                <c:pt idx="182">
                  <c:v>5.7</c:v>
                </c:pt>
                <c:pt idx="183">
                  <c:v>43</c:v>
                </c:pt>
                <c:pt idx="184">
                  <c:v>21.3</c:v>
                </c:pt>
                <c:pt idx="185">
                  <c:v>45.1</c:v>
                </c:pt>
                <c:pt idx="186">
                  <c:v>2.1</c:v>
                </c:pt>
                <c:pt idx="187">
                  <c:v>28.7</c:v>
                </c:pt>
                <c:pt idx="188">
                  <c:v>13.9</c:v>
                </c:pt>
                <c:pt idx="189">
                  <c:v>12.1</c:v>
                </c:pt>
                <c:pt idx="190">
                  <c:v>41.1</c:v>
                </c:pt>
                <c:pt idx="191">
                  <c:v>10.8</c:v>
                </c:pt>
                <c:pt idx="192">
                  <c:v>4.0999999999999996</c:v>
                </c:pt>
                <c:pt idx="193">
                  <c:v>42</c:v>
                </c:pt>
                <c:pt idx="194">
                  <c:v>35.6</c:v>
                </c:pt>
                <c:pt idx="195">
                  <c:v>3.7</c:v>
                </c:pt>
                <c:pt idx="196">
                  <c:v>4.9000000000000004</c:v>
                </c:pt>
                <c:pt idx="197">
                  <c:v>9.3000000000000007</c:v>
                </c:pt>
                <c:pt idx="198">
                  <c:v>42</c:v>
                </c:pt>
                <c:pt idx="199">
                  <c:v>8.6</c:v>
                </c:pt>
              </c:numCache>
            </c:numRef>
          </c:xVal>
          <c:yVal>
            <c:numRef>
              <c:f>Advertising!$H$29:$H$228</c:f>
              <c:numCache>
                <c:formatCode>General</c:formatCode>
                <c:ptCount val="200"/>
                <c:pt idx="0">
                  <c:v>1.5760255902848392</c:v>
                </c:pt>
                <c:pt idx="1">
                  <c:v>-1.9378548208943602</c:v>
                </c:pt>
                <c:pt idx="2">
                  <c:v>-3.0076707799942284</c:v>
                </c:pt>
                <c:pt idx="3">
                  <c:v>0.9021704883108761</c:v>
                </c:pt>
                <c:pt idx="4">
                  <c:v>-0.28867185683128938</c:v>
                </c:pt>
                <c:pt idx="5">
                  <c:v>-5.2783476340358471</c:v>
                </c:pt>
                <c:pt idx="6">
                  <c:v>7.0240048436314595E-2</c:v>
                </c:pt>
                <c:pt idx="7">
                  <c:v>1.0770468344977147</c:v>
                </c:pt>
                <c:pt idx="8">
                  <c:v>1.0726591371384107</c:v>
                </c:pt>
                <c:pt idx="9">
                  <c:v>-1.9508487229346851</c:v>
                </c:pt>
                <c:pt idx="10">
                  <c:v>1.5677007994411447</c:v>
                </c:pt>
                <c:pt idx="11">
                  <c:v>0.11487081739972638</c:v>
                </c:pt>
                <c:pt idx="12">
                  <c:v>-1.377120733627665</c:v>
                </c:pt>
                <c:pt idx="13">
                  <c:v>0.87369951996679696</c:v>
                </c:pt>
                <c:pt idx="14">
                  <c:v>0.56563361643893018</c:v>
                </c:pt>
                <c:pt idx="15">
                  <c:v>1.5807004835045433</c:v>
                </c:pt>
                <c:pt idx="16">
                  <c:v>-0.32365674369935604</c:v>
                </c:pt>
                <c:pt idx="17">
                  <c:v>1.1750428412009946</c:v>
                </c:pt>
                <c:pt idx="18">
                  <c:v>1.3483179408811985</c:v>
                </c:pt>
                <c:pt idx="19">
                  <c:v>0.43392706772673684</c:v>
                </c:pt>
                <c:pt idx="20">
                  <c:v>-0.10076727708427313</c:v>
                </c:pt>
                <c:pt idx="21">
                  <c:v>-2.2405382003554486</c:v>
                </c:pt>
                <c:pt idx="22">
                  <c:v>-0.88915030356329172</c:v>
                </c:pt>
                <c:pt idx="23">
                  <c:v>-1.0459328951314539</c:v>
                </c:pt>
                <c:pt idx="24">
                  <c:v>1.5534811281772551</c:v>
                </c:pt>
                <c:pt idx="25">
                  <c:v>-3.6100386045688637</c:v>
                </c:pt>
                <c:pt idx="26">
                  <c:v>1.0485711596086134E-2</c:v>
                </c:pt>
                <c:pt idx="27">
                  <c:v>-1.1516734351616744</c:v>
                </c:pt>
                <c:pt idx="28">
                  <c:v>-0.51053802657296288</c:v>
                </c:pt>
                <c:pt idx="29">
                  <c:v>1.3559761068312763</c:v>
                </c:pt>
                <c:pt idx="30">
                  <c:v>-0.23393380269557085</c:v>
                </c:pt>
                <c:pt idx="31">
                  <c:v>0.5539070956890253</c:v>
                </c:pt>
                <c:pt idx="32">
                  <c:v>1.9611168581729208</c:v>
                </c:pt>
                <c:pt idx="33">
                  <c:v>-1.4642682928643538</c:v>
                </c:pt>
                <c:pt idx="34">
                  <c:v>1.9251694852878751</c:v>
                </c:pt>
                <c:pt idx="35">
                  <c:v>-4.2068261818470774</c:v>
                </c:pt>
                <c:pt idx="36">
                  <c:v>1.9940994826900038</c:v>
                </c:pt>
                <c:pt idx="37">
                  <c:v>-0.92347778869574348</c:v>
                </c:pt>
                <c:pt idx="38">
                  <c:v>0.19131896548780958</c:v>
                </c:pt>
                <c:pt idx="39">
                  <c:v>1.052389606252877</c:v>
                </c:pt>
                <c:pt idx="40">
                  <c:v>0.22233532868887096</c:v>
                </c:pt>
                <c:pt idx="41">
                  <c:v>-0.19598319938897646</c:v>
                </c:pt>
                <c:pt idx="42">
                  <c:v>-0.89580325632194757</c:v>
                </c:pt>
                <c:pt idx="43">
                  <c:v>-1.0638568399727149</c:v>
                </c:pt>
                <c:pt idx="44">
                  <c:v>-0.38787995644852558</c:v>
                </c:pt>
                <c:pt idx="45">
                  <c:v>-0.26152313852112563</c:v>
                </c:pt>
                <c:pt idx="46">
                  <c:v>1.7266132673176013</c:v>
                </c:pt>
                <c:pt idx="47">
                  <c:v>1.4773701049710404</c:v>
                </c:pt>
                <c:pt idx="48">
                  <c:v>-1.4636201814138019</c:v>
                </c:pt>
                <c:pt idx="49">
                  <c:v>1.5318343955946219</c:v>
                </c:pt>
                <c:pt idx="50">
                  <c:v>-1.2312113246246046</c:v>
                </c:pt>
                <c:pt idx="51">
                  <c:v>1.3601870393568198</c:v>
                </c:pt>
                <c:pt idx="52">
                  <c:v>1.9370243729854941</c:v>
                </c:pt>
                <c:pt idx="53">
                  <c:v>1.2553004303573019</c:v>
                </c:pt>
                <c:pt idx="54">
                  <c:v>-0.1744300784612669</c:v>
                </c:pt>
                <c:pt idx="55">
                  <c:v>2.4073893962512862</c:v>
                </c:pt>
                <c:pt idx="56">
                  <c:v>-3.0277125447268425</c:v>
                </c:pt>
                <c:pt idx="57">
                  <c:v>0.4254119791910167</c:v>
                </c:pt>
                <c:pt idx="58">
                  <c:v>1.9019480171011978</c:v>
                </c:pt>
                <c:pt idx="59">
                  <c:v>0.26651301929631899</c:v>
                </c:pt>
                <c:pt idx="60">
                  <c:v>2.3578444159493959</c:v>
                </c:pt>
                <c:pt idx="61">
                  <c:v>1.3093279200613246</c:v>
                </c:pt>
                <c:pt idx="62">
                  <c:v>-1.084260729108621</c:v>
                </c:pt>
                <c:pt idx="63">
                  <c:v>0.78930798304920557</c:v>
                </c:pt>
                <c:pt idx="64">
                  <c:v>1.0222644361663846</c:v>
                </c:pt>
                <c:pt idx="65">
                  <c:v>1.4509546805170812</c:v>
                </c:pt>
                <c:pt idx="66">
                  <c:v>0.48396836720118053</c:v>
                </c:pt>
                <c:pt idx="67">
                  <c:v>1.3629927023229982</c:v>
                </c:pt>
                <c:pt idx="68">
                  <c:v>-7.6579242354178234E-2</c:v>
                </c:pt>
                <c:pt idx="69">
                  <c:v>1.1910875638565734</c:v>
                </c:pt>
                <c:pt idx="70">
                  <c:v>0.52050218341770815</c:v>
                </c:pt>
                <c:pt idx="71">
                  <c:v>1.7730618470541071</c:v>
                </c:pt>
                <c:pt idx="72">
                  <c:v>-1.5668488102450215</c:v>
                </c:pt>
                <c:pt idx="73">
                  <c:v>1.0970179444078791</c:v>
                </c:pt>
                <c:pt idx="74">
                  <c:v>-0.32931196697264298</c:v>
                </c:pt>
                <c:pt idx="75">
                  <c:v>-3.1583217389837888</c:v>
                </c:pt>
                <c:pt idx="76">
                  <c:v>2.4224109594272827</c:v>
                </c:pt>
                <c:pt idx="77">
                  <c:v>0.38809777219951691</c:v>
                </c:pt>
                <c:pt idx="78">
                  <c:v>-3.5133135261735964</c:v>
                </c:pt>
                <c:pt idx="79">
                  <c:v>1.3246967167254926</c:v>
                </c:pt>
                <c:pt idx="80">
                  <c:v>0.35407636087937533</c:v>
                </c:pt>
                <c:pt idx="81">
                  <c:v>-2.3479409257610158</c:v>
                </c:pt>
                <c:pt idx="82">
                  <c:v>1.1215920081900794</c:v>
                </c:pt>
                <c:pt idx="83">
                  <c:v>-0.8218421191565497</c:v>
                </c:pt>
                <c:pt idx="84">
                  <c:v>0.91863536316611416</c:v>
                </c:pt>
                <c:pt idx="85">
                  <c:v>1.8592110153504038E-2</c:v>
                </c:pt>
                <c:pt idx="86">
                  <c:v>0.40129260572274994</c:v>
                </c:pt>
                <c:pt idx="87">
                  <c:v>0.4062152520334763</c:v>
                </c:pt>
                <c:pt idx="88">
                  <c:v>1.1887289947325268</c:v>
                </c:pt>
                <c:pt idx="89">
                  <c:v>-0.2222551067689551</c:v>
                </c:pt>
                <c:pt idx="90">
                  <c:v>1.2007703482765191</c:v>
                </c:pt>
                <c:pt idx="91">
                  <c:v>2.8036840155406226</c:v>
                </c:pt>
                <c:pt idx="92">
                  <c:v>0.24360383764678772</c:v>
                </c:pt>
                <c:pt idx="93">
                  <c:v>0.97242621523790973</c:v>
                </c:pt>
                <c:pt idx="94">
                  <c:v>1.0178761459390149</c:v>
                </c:pt>
                <c:pt idx="95">
                  <c:v>0.58507887500589817</c:v>
                </c:pt>
                <c:pt idx="96">
                  <c:v>-0.93571716170908026</c:v>
                </c:pt>
                <c:pt idx="97">
                  <c:v>0.16292217748976157</c:v>
                </c:pt>
                <c:pt idx="98">
                  <c:v>1.2813927702466508</c:v>
                </c:pt>
                <c:pt idx="99">
                  <c:v>0.25964979013137324</c:v>
                </c:pt>
                <c:pt idx="100">
                  <c:v>-2.1759584379727972</c:v>
                </c:pt>
                <c:pt idx="101">
                  <c:v>0.55751315141578672</c:v>
                </c:pt>
                <c:pt idx="102">
                  <c:v>-2.8440938458266842</c:v>
                </c:pt>
                <c:pt idx="103">
                  <c:v>-6.2211416061408897E-2</c:v>
                </c:pt>
                <c:pt idx="104">
                  <c:v>0.39889121589560261</c:v>
                </c:pt>
                <c:pt idx="105">
                  <c:v>1.2635853267426782</c:v>
                </c:pt>
                <c:pt idx="106">
                  <c:v>1.0739778514169416</c:v>
                </c:pt>
                <c:pt idx="107">
                  <c:v>1.5914975148826302</c:v>
                </c:pt>
                <c:pt idx="108">
                  <c:v>1.7127415901949847</c:v>
                </c:pt>
                <c:pt idx="109">
                  <c:v>0.10706893786597149</c:v>
                </c:pt>
                <c:pt idx="110">
                  <c:v>-1.3598740951175525</c:v>
                </c:pt>
                <c:pt idx="111">
                  <c:v>0.65972501966468045</c:v>
                </c:pt>
                <c:pt idx="112">
                  <c:v>0.21939014678882884</c:v>
                </c:pt>
                <c:pt idx="113">
                  <c:v>-0.50377622987125825</c:v>
                </c:pt>
                <c:pt idx="114">
                  <c:v>-0.7050959258780356</c:v>
                </c:pt>
                <c:pt idx="115">
                  <c:v>-0.31968895195842606</c:v>
                </c:pt>
                <c:pt idx="116">
                  <c:v>0.22125256310631336</c:v>
                </c:pt>
                <c:pt idx="117">
                  <c:v>2.8292226012422947</c:v>
                </c:pt>
                <c:pt idx="118">
                  <c:v>0.33390652147948963</c:v>
                </c:pt>
                <c:pt idx="119">
                  <c:v>-0.22006766713817871</c:v>
                </c:pt>
                <c:pt idx="120">
                  <c:v>1.0898939528474347</c:v>
                </c:pt>
                <c:pt idx="121">
                  <c:v>-0.83807642180512154</c:v>
                </c:pt>
                <c:pt idx="122">
                  <c:v>-2.026457100609532</c:v>
                </c:pt>
                <c:pt idx="123">
                  <c:v>0.11720910333797896</c:v>
                </c:pt>
                <c:pt idx="124">
                  <c:v>0.24558693582058311</c:v>
                </c:pt>
                <c:pt idx="125">
                  <c:v>1.4726504169952399</c:v>
                </c:pt>
                <c:pt idx="126">
                  <c:v>-3.9771741141803663</c:v>
                </c:pt>
                <c:pt idx="127">
                  <c:v>2.2003310010084807</c:v>
                </c:pt>
                <c:pt idx="128">
                  <c:v>2.4445083854604093</c:v>
                </c:pt>
                <c:pt idx="129">
                  <c:v>1.8158935085111629</c:v>
                </c:pt>
                <c:pt idx="130">
                  <c:v>-8.8276871017695449</c:v>
                </c:pt>
                <c:pt idx="131">
                  <c:v>-2.8777981924671643</c:v>
                </c:pt>
                <c:pt idx="132">
                  <c:v>-2.7491501160707132</c:v>
                </c:pt>
                <c:pt idx="133">
                  <c:v>0.33307692890003437</c:v>
                </c:pt>
                <c:pt idx="134">
                  <c:v>-1.0368038962198298</c:v>
                </c:pt>
                <c:pt idx="135">
                  <c:v>-2.401413849249673</c:v>
                </c:pt>
                <c:pt idx="136">
                  <c:v>-1.9534862676325329</c:v>
                </c:pt>
                <c:pt idx="137">
                  <c:v>-5.1251984901998782E-2</c:v>
                </c:pt>
                <c:pt idx="138">
                  <c:v>-0.16842795485224116</c:v>
                </c:pt>
                <c:pt idx="139">
                  <c:v>1.0245236813006109</c:v>
                </c:pt>
                <c:pt idx="140">
                  <c:v>1.4103590267528734</c:v>
                </c:pt>
                <c:pt idx="141">
                  <c:v>0.80097068093684953</c:v>
                </c:pt>
                <c:pt idx="142">
                  <c:v>0.85013073225088576</c:v>
                </c:pt>
                <c:pt idx="143">
                  <c:v>1.6351973801334161</c:v>
                </c:pt>
                <c:pt idx="144">
                  <c:v>1.3086659666942406</c:v>
                </c:pt>
                <c:pt idx="145">
                  <c:v>0.59146127838600471</c:v>
                </c:pt>
                <c:pt idx="146">
                  <c:v>-2.0942236773337211</c:v>
                </c:pt>
                <c:pt idx="147">
                  <c:v>2.1391389685775799</c:v>
                </c:pt>
                <c:pt idx="148">
                  <c:v>-1.3633594113626888</c:v>
                </c:pt>
                <c:pt idx="149">
                  <c:v>0.27272889886965146</c:v>
                </c:pt>
                <c:pt idx="150">
                  <c:v>-2.2672053413809259</c:v>
                </c:pt>
                <c:pt idx="151">
                  <c:v>1.5904622994931561</c:v>
                </c:pt>
                <c:pt idx="152">
                  <c:v>0.23999969556302858</c:v>
                </c:pt>
                <c:pt idx="153">
                  <c:v>0.7760986800796239</c:v>
                </c:pt>
                <c:pt idx="154">
                  <c:v>9.8383040946334432E-2</c:v>
                </c:pt>
                <c:pt idx="155">
                  <c:v>-2.1075589017356027</c:v>
                </c:pt>
                <c:pt idx="156">
                  <c:v>-8.4851915018083091E-2</c:v>
                </c:pt>
                <c:pt idx="157">
                  <c:v>8.5688800260534492E-2</c:v>
                </c:pt>
                <c:pt idx="158">
                  <c:v>-3.0841986600493803</c:v>
                </c:pt>
                <c:pt idx="159">
                  <c:v>0.50085177203944475</c:v>
                </c:pt>
                <c:pt idx="160">
                  <c:v>0.1861670196690266</c:v>
                </c:pt>
                <c:pt idx="161">
                  <c:v>-0.25914568366462021</c:v>
                </c:pt>
                <c:pt idx="162">
                  <c:v>-4.6782057588425019E-2</c:v>
                </c:pt>
                <c:pt idx="163">
                  <c:v>0.64836392450748903</c:v>
                </c:pt>
                <c:pt idx="164">
                  <c:v>0.83170539689975875</c:v>
                </c:pt>
                <c:pt idx="165">
                  <c:v>-2.3237213762700524</c:v>
                </c:pt>
                <c:pt idx="166">
                  <c:v>-2.8243953095180281</c:v>
                </c:pt>
                <c:pt idx="167">
                  <c:v>-1.1632467725862572</c:v>
                </c:pt>
                <c:pt idx="168">
                  <c:v>-8.6142800575039757E-2</c:v>
                </c:pt>
                <c:pt idx="169">
                  <c:v>-2.941556296290063</c:v>
                </c:pt>
                <c:pt idx="170">
                  <c:v>1.0050200335010979</c:v>
                </c:pt>
                <c:pt idx="171">
                  <c:v>0.14172626975058655</c:v>
                </c:pt>
                <c:pt idx="172">
                  <c:v>-7.6923787190210646E-3</c:v>
                </c:pt>
                <c:pt idx="173">
                  <c:v>-0.27093887332392264</c:v>
                </c:pt>
                <c:pt idx="174">
                  <c:v>-2.2443574174052916</c:v>
                </c:pt>
                <c:pt idx="175">
                  <c:v>2.2131296858163161</c:v>
                </c:pt>
                <c:pt idx="176">
                  <c:v>0.22062729725232444</c:v>
                </c:pt>
                <c:pt idx="177">
                  <c:v>-0.46204640283491116</c:v>
                </c:pt>
                <c:pt idx="178">
                  <c:v>-4.2109972207731019</c:v>
                </c:pt>
                <c:pt idx="179">
                  <c:v>0.21544505149228499</c:v>
                </c:pt>
                <c:pt idx="180">
                  <c:v>-8.7199699509453055E-2</c:v>
                </c:pt>
                <c:pt idx="181">
                  <c:v>-1.7280991834582391</c:v>
                </c:pt>
                <c:pt idx="182">
                  <c:v>2.1453300028750197</c:v>
                </c:pt>
                <c:pt idx="183">
                  <c:v>2.0668998705352521</c:v>
                </c:pt>
                <c:pt idx="184">
                  <c:v>-0.93852095512278311</c:v>
                </c:pt>
                <c:pt idx="185">
                  <c:v>1.7969894128056048</c:v>
                </c:pt>
                <c:pt idx="186">
                  <c:v>0.60862686891426421</c:v>
                </c:pt>
                <c:pt idx="187">
                  <c:v>0.22355777183471304</c:v>
                </c:pt>
                <c:pt idx="188">
                  <c:v>-2.7443064806089961</c:v>
                </c:pt>
                <c:pt idx="189">
                  <c:v>0.64837589300832121</c:v>
                </c:pt>
                <c:pt idx="190">
                  <c:v>-1.689159100639456</c:v>
                </c:pt>
                <c:pt idx="191">
                  <c:v>1.4759806741963182</c:v>
                </c:pt>
                <c:pt idx="192">
                  <c:v>1.4337704394853574</c:v>
                </c:pt>
                <c:pt idx="193">
                  <c:v>1.1130420329686039</c:v>
                </c:pt>
                <c:pt idx="194">
                  <c:v>0.80469956183435443</c:v>
                </c:pt>
                <c:pt idx="195">
                  <c:v>2.2296575155332121</c:v>
                </c:pt>
                <c:pt idx="196">
                  <c:v>1.5346876393869877</c:v>
                </c:pt>
                <c:pt idx="197">
                  <c:v>1.4079183067762457E-2</c:v>
                </c:pt>
                <c:pt idx="198">
                  <c:v>1.7326785082371821</c:v>
                </c:pt>
                <c:pt idx="199">
                  <c:v>-1.7731955356842057</c:v>
                </c:pt>
              </c:numCache>
            </c:numRef>
          </c:yVal>
          <c:smooth val="0"/>
          <c:extLst>
            <c:ext xmlns:c16="http://schemas.microsoft.com/office/drawing/2014/chart" uri="{C3380CC4-5D6E-409C-BE32-E72D297353CC}">
              <c16:uniqueId val="{00000001-7315-4702-90E2-36763665C308}"/>
            </c:ext>
          </c:extLst>
        </c:ser>
        <c:dLbls>
          <c:showLegendKey val="0"/>
          <c:showVal val="0"/>
          <c:showCatName val="0"/>
          <c:showSerName val="0"/>
          <c:showPercent val="0"/>
          <c:showBubbleSize val="0"/>
        </c:dLbls>
        <c:axId val="176868176"/>
        <c:axId val="176872496"/>
      </c:scatterChart>
      <c:valAx>
        <c:axId val="176868176"/>
        <c:scaling>
          <c:orientation val="minMax"/>
        </c:scaling>
        <c:delete val="0"/>
        <c:axPos val="b"/>
        <c:title>
          <c:tx>
            <c:rich>
              <a:bodyPr/>
              <a:lstStyle/>
              <a:p>
                <a:pPr>
                  <a:defRPr/>
                </a:pPr>
                <a:r>
                  <a:rPr lang="en-US"/>
                  <a:t>radio</a:t>
                </a:r>
              </a:p>
            </c:rich>
          </c:tx>
          <c:overlay val="0"/>
        </c:title>
        <c:numFmt formatCode="General" sourceLinked="1"/>
        <c:majorTickMark val="out"/>
        <c:minorTickMark val="none"/>
        <c:tickLblPos val="nextTo"/>
        <c:crossAx val="176872496"/>
        <c:crosses val="autoZero"/>
        <c:crossBetween val="midCat"/>
      </c:valAx>
      <c:valAx>
        <c:axId val="1768724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68681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newspaper  Residual Plot</a:t>
            </a:r>
          </a:p>
        </c:rich>
      </c:tx>
      <c:overlay val="0"/>
    </c:title>
    <c:autoTitleDeleted val="0"/>
    <c:plotArea>
      <c:layout/>
      <c:scatterChart>
        <c:scatterStyle val="lineMarker"/>
        <c:varyColors val="0"/>
        <c:ser>
          <c:idx val="0"/>
          <c:order val="0"/>
          <c:spPr>
            <a:ln w="19050">
              <a:noFill/>
            </a:ln>
          </c:spPr>
          <c:xVal>
            <c:numRef>
              <c:f>Advertising!$C$2:$C$201</c:f>
              <c:numCache>
                <c:formatCode>General</c:formatCode>
                <c:ptCount val="200"/>
                <c:pt idx="0">
                  <c:v>69.2</c:v>
                </c:pt>
                <c:pt idx="1">
                  <c:v>45.1</c:v>
                </c:pt>
                <c:pt idx="2">
                  <c:v>69.3</c:v>
                </c:pt>
                <c:pt idx="3">
                  <c:v>58.5</c:v>
                </c:pt>
                <c:pt idx="4">
                  <c:v>58.4</c:v>
                </c:pt>
                <c:pt idx="5">
                  <c:v>75</c:v>
                </c:pt>
                <c:pt idx="6">
                  <c:v>23.5</c:v>
                </c:pt>
                <c:pt idx="7">
                  <c:v>11.6</c:v>
                </c:pt>
                <c:pt idx="8">
                  <c:v>1</c:v>
                </c:pt>
                <c:pt idx="9">
                  <c:v>21.2</c:v>
                </c:pt>
                <c:pt idx="10">
                  <c:v>24.2</c:v>
                </c:pt>
                <c:pt idx="11">
                  <c:v>4</c:v>
                </c:pt>
                <c:pt idx="12">
                  <c:v>65.900000000000006</c:v>
                </c:pt>
                <c:pt idx="13">
                  <c:v>7.2</c:v>
                </c:pt>
                <c:pt idx="14">
                  <c:v>46</c:v>
                </c:pt>
                <c:pt idx="15">
                  <c:v>52.9</c:v>
                </c:pt>
                <c:pt idx="16">
                  <c:v>114</c:v>
                </c:pt>
                <c:pt idx="17">
                  <c:v>55.8</c:v>
                </c:pt>
                <c:pt idx="18">
                  <c:v>18.3</c:v>
                </c:pt>
                <c:pt idx="19">
                  <c:v>19.100000000000001</c:v>
                </c:pt>
                <c:pt idx="20">
                  <c:v>53.4</c:v>
                </c:pt>
                <c:pt idx="21">
                  <c:v>23.5</c:v>
                </c:pt>
                <c:pt idx="22">
                  <c:v>49.6</c:v>
                </c:pt>
                <c:pt idx="23">
                  <c:v>26.2</c:v>
                </c:pt>
                <c:pt idx="24">
                  <c:v>18.3</c:v>
                </c:pt>
                <c:pt idx="25">
                  <c:v>19.5</c:v>
                </c:pt>
                <c:pt idx="26">
                  <c:v>12.6</c:v>
                </c:pt>
                <c:pt idx="27">
                  <c:v>22.9</c:v>
                </c:pt>
                <c:pt idx="28">
                  <c:v>22.9</c:v>
                </c:pt>
                <c:pt idx="29">
                  <c:v>40.799999999999997</c:v>
                </c:pt>
                <c:pt idx="30">
                  <c:v>43.2</c:v>
                </c:pt>
                <c:pt idx="31">
                  <c:v>38.6</c:v>
                </c:pt>
                <c:pt idx="32">
                  <c:v>30</c:v>
                </c:pt>
                <c:pt idx="33">
                  <c:v>0.3</c:v>
                </c:pt>
                <c:pt idx="34">
                  <c:v>7.4</c:v>
                </c:pt>
                <c:pt idx="35">
                  <c:v>8.5</c:v>
                </c:pt>
                <c:pt idx="36">
                  <c:v>5</c:v>
                </c:pt>
                <c:pt idx="37">
                  <c:v>45.7</c:v>
                </c:pt>
                <c:pt idx="38">
                  <c:v>35.1</c:v>
                </c:pt>
                <c:pt idx="39">
                  <c:v>32</c:v>
                </c:pt>
                <c:pt idx="40">
                  <c:v>31.6</c:v>
                </c:pt>
                <c:pt idx="41">
                  <c:v>38.700000000000003</c:v>
                </c:pt>
                <c:pt idx="42">
                  <c:v>1.8</c:v>
                </c:pt>
                <c:pt idx="43">
                  <c:v>26.4</c:v>
                </c:pt>
                <c:pt idx="44">
                  <c:v>43.3</c:v>
                </c:pt>
                <c:pt idx="45">
                  <c:v>31.5</c:v>
                </c:pt>
                <c:pt idx="46">
                  <c:v>35.700000000000003</c:v>
                </c:pt>
                <c:pt idx="47">
                  <c:v>18.5</c:v>
                </c:pt>
                <c:pt idx="48">
                  <c:v>49.9</c:v>
                </c:pt>
                <c:pt idx="49">
                  <c:v>36.799999999999997</c:v>
                </c:pt>
                <c:pt idx="50">
                  <c:v>34.6</c:v>
                </c:pt>
                <c:pt idx="51">
                  <c:v>3.6</c:v>
                </c:pt>
                <c:pt idx="52">
                  <c:v>39.6</c:v>
                </c:pt>
                <c:pt idx="53">
                  <c:v>58.7</c:v>
                </c:pt>
                <c:pt idx="54">
                  <c:v>15.9</c:v>
                </c:pt>
                <c:pt idx="55">
                  <c:v>60</c:v>
                </c:pt>
                <c:pt idx="56">
                  <c:v>41.4</c:v>
                </c:pt>
                <c:pt idx="57">
                  <c:v>16.600000000000001</c:v>
                </c:pt>
                <c:pt idx="58">
                  <c:v>37.700000000000003</c:v>
                </c:pt>
                <c:pt idx="59">
                  <c:v>9.3000000000000007</c:v>
                </c:pt>
                <c:pt idx="60">
                  <c:v>21.4</c:v>
                </c:pt>
                <c:pt idx="61">
                  <c:v>54.7</c:v>
                </c:pt>
                <c:pt idx="62">
                  <c:v>27.3</c:v>
                </c:pt>
                <c:pt idx="63">
                  <c:v>8.4</c:v>
                </c:pt>
                <c:pt idx="64">
                  <c:v>28.9</c:v>
                </c:pt>
                <c:pt idx="65">
                  <c:v>0.9</c:v>
                </c:pt>
                <c:pt idx="66">
                  <c:v>2.2000000000000002</c:v>
                </c:pt>
                <c:pt idx="67">
                  <c:v>10.199999999999999</c:v>
                </c:pt>
                <c:pt idx="68">
                  <c:v>11</c:v>
                </c:pt>
                <c:pt idx="69">
                  <c:v>27.2</c:v>
                </c:pt>
                <c:pt idx="70">
                  <c:v>38.700000000000003</c:v>
                </c:pt>
                <c:pt idx="71">
                  <c:v>31.7</c:v>
                </c:pt>
                <c:pt idx="72">
                  <c:v>19.3</c:v>
                </c:pt>
                <c:pt idx="73">
                  <c:v>31.3</c:v>
                </c:pt>
                <c:pt idx="74">
                  <c:v>13.1</c:v>
                </c:pt>
                <c:pt idx="75">
                  <c:v>89.4</c:v>
                </c:pt>
                <c:pt idx="76">
                  <c:v>20.7</c:v>
                </c:pt>
                <c:pt idx="77">
                  <c:v>14.2</c:v>
                </c:pt>
                <c:pt idx="78">
                  <c:v>9.4</c:v>
                </c:pt>
                <c:pt idx="79">
                  <c:v>23.1</c:v>
                </c:pt>
                <c:pt idx="80">
                  <c:v>22.3</c:v>
                </c:pt>
                <c:pt idx="81">
                  <c:v>36.9</c:v>
                </c:pt>
                <c:pt idx="82">
                  <c:v>32.5</c:v>
                </c:pt>
                <c:pt idx="83">
                  <c:v>35.6</c:v>
                </c:pt>
                <c:pt idx="84">
                  <c:v>33.799999999999997</c:v>
                </c:pt>
                <c:pt idx="85">
                  <c:v>65.7</c:v>
                </c:pt>
                <c:pt idx="86">
                  <c:v>16</c:v>
                </c:pt>
                <c:pt idx="87">
                  <c:v>63.2</c:v>
                </c:pt>
                <c:pt idx="88">
                  <c:v>73.400000000000006</c:v>
                </c:pt>
                <c:pt idx="89">
                  <c:v>51.4</c:v>
                </c:pt>
                <c:pt idx="90">
                  <c:v>9.3000000000000007</c:v>
                </c:pt>
                <c:pt idx="91">
                  <c:v>33</c:v>
                </c:pt>
                <c:pt idx="92">
                  <c:v>59</c:v>
                </c:pt>
                <c:pt idx="93">
                  <c:v>72.3</c:v>
                </c:pt>
                <c:pt idx="94">
                  <c:v>10.9</c:v>
                </c:pt>
                <c:pt idx="95">
                  <c:v>52.9</c:v>
                </c:pt>
                <c:pt idx="96">
                  <c:v>5.9</c:v>
                </c:pt>
                <c:pt idx="97">
                  <c:v>22</c:v>
                </c:pt>
                <c:pt idx="98">
                  <c:v>51.2</c:v>
                </c:pt>
                <c:pt idx="99">
                  <c:v>45.9</c:v>
                </c:pt>
                <c:pt idx="100">
                  <c:v>49.8</c:v>
                </c:pt>
                <c:pt idx="101">
                  <c:v>100.9</c:v>
                </c:pt>
                <c:pt idx="102">
                  <c:v>21.4</c:v>
                </c:pt>
                <c:pt idx="103">
                  <c:v>17.899999999999999</c:v>
                </c:pt>
                <c:pt idx="104">
                  <c:v>5.3</c:v>
                </c:pt>
                <c:pt idx="105">
                  <c:v>59</c:v>
                </c:pt>
                <c:pt idx="106">
                  <c:v>29.7</c:v>
                </c:pt>
                <c:pt idx="107">
                  <c:v>23.2</c:v>
                </c:pt>
                <c:pt idx="108">
                  <c:v>25.6</c:v>
                </c:pt>
                <c:pt idx="109">
                  <c:v>5.5</c:v>
                </c:pt>
                <c:pt idx="110">
                  <c:v>56.5</c:v>
                </c:pt>
                <c:pt idx="111">
                  <c:v>23.2</c:v>
                </c:pt>
                <c:pt idx="112">
                  <c:v>2.4</c:v>
                </c:pt>
                <c:pt idx="113">
                  <c:v>10.7</c:v>
                </c:pt>
                <c:pt idx="114">
                  <c:v>34.5</c:v>
                </c:pt>
                <c:pt idx="115">
                  <c:v>52.7</c:v>
                </c:pt>
                <c:pt idx="116">
                  <c:v>25.6</c:v>
                </c:pt>
                <c:pt idx="117">
                  <c:v>14.8</c:v>
                </c:pt>
                <c:pt idx="118">
                  <c:v>79.2</c:v>
                </c:pt>
                <c:pt idx="119">
                  <c:v>22.3</c:v>
                </c:pt>
                <c:pt idx="120">
                  <c:v>46.2</c:v>
                </c:pt>
                <c:pt idx="121">
                  <c:v>50.4</c:v>
                </c:pt>
                <c:pt idx="122">
                  <c:v>15.6</c:v>
                </c:pt>
                <c:pt idx="123">
                  <c:v>12.4</c:v>
                </c:pt>
                <c:pt idx="124">
                  <c:v>74.2</c:v>
                </c:pt>
                <c:pt idx="125">
                  <c:v>25.9</c:v>
                </c:pt>
                <c:pt idx="126">
                  <c:v>50.6</c:v>
                </c:pt>
                <c:pt idx="127">
                  <c:v>9.1999999999999993</c:v>
                </c:pt>
                <c:pt idx="128">
                  <c:v>3.2</c:v>
                </c:pt>
                <c:pt idx="129">
                  <c:v>43.1</c:v>
                </c:pt>
                <c:pt idx="130">
                  <c:v>8.6999999999999993</c:v>
                </c:pt>
                <c:pt idx="131">
                  <c:v>43</c:v>
                </c:pt>
                <c:pt idx="132">
                  <c:v>2.1</c:v>
                </c:pt>
                <c:pt idx="133">
                  <c:v>45.1</c:v>
                </c:pt>
                <c:pt idx="134">
                  <c:v>65.599999999999994</c:v>
                </c:pt>
                <c:pt idx="135">
                  <c:v>8.5</c:v>
                </c:pt>
                <c:pt idx="136">
                  <c:v>9.3000000000000007</c:v>
                </c:pt>
                <c:pt idx="137">
                  <c:v>59.7</c:v>
                </c:pt>
                <c:pt idx="138">
                  <c:v>20.5</c:v>
                </c:pt>
                <c:pt idx="139">
                  <c:v>1.7</c:v>
                </c:pt>
                <c:pt idx="140">
                  <c:v>12.9</c:v>
                </c:pt>
                <c:pt idx="141">
                  <c:v>75.599999999999994</c:v>
                </c:pt>
                <c:pt idx="142">
                  <c:v>37.9</c:v>
                </c:pt>
                <c:pt idx="143">
                  <c:v>34.4</c:v>
                </c:pt>
                <c:pt idx="144">
                  <c:v>38.9</c:v>
                </c:pt>
                <c:pt idx="145">
                  <c:v>9</c:v>
                </c:pt>
                <c:pt idx="146">
                  <c:v>8.6999999999999993</c:v>
                </c:pt>
                <c:pt idx="147">
                  <c:v>44.3</c:v>
                </c:pt>
                <c:pt idx="148">
                  <c:v>11.9</c:v>
                </c:pt>
                <c:pt idx="149">
                  <c:v>20.6</c:v>
                </c:pt>
                <c:pt idx="150">
                  <c:v>37</c:v>
                </c:pt>
                <c:pt idx="151">
                  <c:v>48.7</c:v>
                </c:pt>
                <c:pt idx="152">
                  <c:v>14.2</c:v>
                </c:pt>
                <c:pt idx="153">
                  <c:v>37.700000000000003</c:v>
                </c:pt>
                <c:pt idx="154">
                  <c:v>9.5</c:v>
                </c:pt>
                <c:pt idx="155">
                  <c:v>5.7</c:v>
                </c:pt>
                <c:pt idx="156">
                  <c:v>50.5</c:v>
                </c:pt>
                <c:pt idx="157">
                  <c:v>24.3</c:v>
                </c:pt>
                <c:pt idx="158">
                  <c:v>45.2</c:v>
                </c:pt>
                <c:pt idx="159">
                  <c:v>34.6</c:v>
                </c:pt>
                <c:pt idx="160">
                  <c:v>30.7</c:v>
                </c:pt>
                <c:pt idx="161">
                  <c:v>49.3</c:v>
                </c:pt>
                <c:pt idx="162">
                  <c:v>25.6</c:v>
                </c:pt>
                <c:pt idx="163">
                  <c:v>7.4</c:v>
                </c:pt>
                <c:pt idx="164">
                  <c:v>5.4</c:v>
                </c:pt>
                <c:pt idx="165">
                  <c:v>84.8</c:v>
                </c:pt>
                <c:pt idx="166">
                  <c:v>21.6</c:v>
                </c:pt>
                <c:pt idx="167">
                  <c:v>19.399999999999999</c:v>
                </c:pt>
                <c:pt idx="168">
                  <c:v>57.6</c:v>
                </c:pt>
                <c:pt idx="169">
                  <c:v>6.4</c:v>
                </c:pt>
                <c:pt idx="170">
                  <c:v>18.399999999999999</c:v>
                </c:pt>
                <c:pt idx="171">
                  <c:v>47.4</c:v>
                </c:pt>
                <c:pt idx="172">
                  <c:v>17</c:v>
                </c:pt>
                <c:pt idx="173">
                  <c:v>12.8</c:v>
                </c:pt>
                <c:pt idx="174">
                  <c:v>13.1</c:v>
                </c:pt>
                <c:pt idx="175">
                  <c:v>41.8</c:v>
                </c:pt>
                <c:pt idx="176">
                  <c:v>20.3</c:v>
                </c:pt>
                <c:pt idx="177">
                  <c:v>35.200000000000003</c:v>
                </c:pt>
                <c:pt idx="178">
                  <c:v>23.7</c:v>
                </c:pt>
                <c:pt idx="179">
                  <c:v>17.600000000000001</c:v>
                </c:pt>
                <c:pt idx="180">
                  <c:v>8.3000000000000007</c:v>
                </c:pt>
                <c:pt idx="181">
                  <c:v>27.4</c:v>
                </c:pt>
                <c:pt idx="182">
                  <c:v>29.7</c:v>
                </c:pt>
                <c:pt idx="183">
                  <c:v>71.8</c:v>
                </c:pt>
                <c:pt idx="184">
                  <c:v>30</c:v>
                </c:pt>
                <c:pt idx="185">
                  <c:v>19.600000000000001</c:v>
                </c:pt>
                <c:pt idx="186">
                  <c:v>26.6</c:v>
                </c:pt>
                <c:pt idx="187">
                  <c:v>18.2</c:v>
                </c:pt>
                <c:pt idx="188">
                  <c:v>3.7</c:v>
                </c:pt>
                <c:pt idx="189">
                  <c:v>23.4</c:v>
                </c:pt>
                <c:pt idx="190">
                  <c:v>5.8</c:v>
                </c:pt>
                <c:pt idx="191">
                  <c:v>6</c:v>
                </c:pt>
                <c:pt idx="192">
                  <c:v>31.6</c:v>
                </c:pt>
                <c:pt idx="193">
                  <c:v>3.6</c:v>
                </c:pt>
                <c:pt idx="194">
                  <c:v>6</c:v>
                </c:pt>
                <c:pt idx="195">
                  <c:v>13.8</c:v>
                </c:pt>
                <c:pt idx="196">
                  <c:v>8.1</c:v>
                </c:pt>
                <c:pt idx="197">
                  <c:v>6.4</c:v>
                </c:pt>
                <c:pt idx="198">
                  <c:v>66.2</c:v>
                </c:pt>
                <c:pt idx="199">
                  <c:v>8.6999999999999993</c:v>
                </c:pt>
              </c:numCache>
            </c:numRef>
          </c:xVal>
          <c:yVal>
            <c:numRef>
              <c:f>Advertising!$H$29:$H$228</c:f>
              <c:numCache>
                <c:formatCode>General</c:formatCode>
                <c:ptCount val="200"/>
                <c:pt idx="0">
                  <c:v>1.5760255902848392</c:v>
                </c:pt>
                <c:pt idx="1">
                  <c:v>-1.9378548208943602</c:v>
                </c:pt>
                <c:pt idx="2">
                  <c:v>-3.0076707799942284</c:v>
                </c:pt>
                <c:pt idx="3">
                  <c:v>0.9021704883108761</c:v>
                </c:pt>
                <c:pt idx="4">
                  <c:v>-0.28867185683128938</c:v>
                </c:pt>
                <c:pt idx="5">
                  <c:v>-5.2783476340358471</c:v>
                </c:pt>
                <c:pt idx="6">
                  <c:v>7.0240048436314595E-2</c:v>
                </c:pt>
                <c:pt idx="7">
                  <c:v>1.0770468344977147</c:v>
                </c:pt>
                <c:pt idx="8">
                  <c:v>1.0726591371384107</c:v>
                </c:pt>
                <c:pt idx="9">
                  <c:v>-1.9508487229346851</c:v>
                </c:pt>
                <c:pt idx="10">
                  <c:v>1.5677007994411447</c:v>
                </c:pt>
                <c:pt idx="11">
                  <c:v>0.11487081739972638</c:v>
                </c:pt>
                <c:pt idx="12">
                  <c:v>-1.377120733627665</c:v>
                </c:pt>
                <c:pt idx="13">
                  <c:v>0.87369951996679696</c:v>
                </c:pt>
                <c:pt idx="14">
                  <c:v>0.56563361643893018</c:v>
                </c:pt>
                <c:pt idx="15">
                  <c:v>1.5807004835045433</c:v>
                </c:pt>
                <c:pt idx="16">
                  <c:v>-0.32365674369935604</c:v>
                </c:pt>
                <c:pt idx="17">
                  <c:v>1.1750428412009946</c:v>
                </c:pt>
                <c:pt idx="18">
                  <c:v>1.3483179408811985</c:v>
                </c:pt>
                <c:pt idx="19">
                  <c:v>0.43392706772673684</c:v>
                </c:pt>
                <c:pt idx="20">
                  <c:v>-0.10076727708427313</c:v>
                </c:pt>
                <c:pt idx="21">
                  <c:v>-2.2405382003554486</c:v>
                </c:pt>
                <c:pt idx="22">
                  <c:v>-0.88915030356329172</c:v>
                </c:pt>
                <c:pt idx="23">
                  <c:v>-1.0459328951314539</c:v>
                </c:pt>
                <c:pt idx="24">
                  <c:v>1.5534811281772551</c:v>
                </c:pt>
                <c:pt idx="25">
                  <c:v>-3.6100386045688637</c:v>
                </c:pt>
                <c:pt idx="26">
                  <c:v>1.0485711596086134E-2</c:v>
                </c:pt>
                <c:pt idx="27">
                  <c:v>-1.1516734351616744</c:v>
                </c:pt>
                <c:pt idx="28">
                  <c:v>-0.51053802657296288</c:v>
                </c:pt>
                <c:pt idx="29">
                  <c:v>1.3559761068312763</c:v>
                </c:pt>
                <c:pt idx="30">
                  <c:v>-0.23393380269557085</c:v>
                </c:pt>
                <c:pt idx="31">
                  <c:v>0.5539070956890253</c:v>
                </c:pt>
                <c:pt idx="32">
                  <c:v>1.9611168581729208</c:v>
                </c:pt>
                <c:pt idx="33">
                  <c:v>-1.4642682928643538</c:v>
                </c:pt>
                <c:pt idx="34">
                  <c:v>1.9251694852878751</c:v>
                </c:pt>
                <c:pt idx="35">
                  <c:v>-4.2068261818470774</c:v>
                </c:pt>
                <c:pt idx="36">
                  <c:v>1.9940994826900038</c:v>
                </c:pt>
                <c:pt idx="37">
                  <c:v>-0.92347778869574348</c:v>
                </c:pt>
                <c:pt idx="38">
                  <c:v>0.19131896548780958</c:v>
                </c:pt>
                <c:pt idx="39">
                  <c:v>1.052389606252877</c:v>
                </c:pt>
                <c:pt idx="40">
                  <c:v>0.22233532868887096</c:v>
                </c:pt>
                <c:pt idx="41">
                  <c:v>-0.19598319938897646</c:v>
                </c:pt>
                <c:pt idx="42">
                  <c:v>-0.89580325632194757</c:v>
                </c:pt>
                <c:pt idx="43">
                  <c:v>-1.0638568399727149</c:v>
                </c:pt>
                <c:pt idx="44">
                  <c:v>-0.38787995644852558</c:v>
                </c:pt>
                <c:pt idx="45">
                  <c:v>-0.26152313852112563</c:v>
                </c:pt>
                <c:pt idx="46">
                  <c:v>1.7266132673176013</c:v>
                </c:pt>
                <c:pt idx="47">
                  <c:v>1.4773701049710404</c:v>
                </c:pt>
                <c:pt idx="48">
                  <c:v>-1.4636201814138019</c:v>
                </c:pt>
                <c:pt idx="49">
                  <c:v>1.5318343955946219</c:v>
                </c:pt>
                <c:pt idx="50">
                  <c:v>-1.2312113246246046</c:v>
                </c:pt>
                <c:pt idx="51">
                  <c:v>1.3601870393568198</c:v>
                </c:pt>
                <c:pt idx="52">
                  <c:v>1.9370243729854941</c:v>
                </c:pt>
                <c:pt idx="53">
                  <c:v>1.2553004303573019</c:v>
                </c:pt>
                <c:pt idx="54">
                  <c:v>-0.1744300784612669</c:v>
                </c:pt>
                <c:pt idx="55">
                  <c:v>2.4073893962512862</c:v>
                </c:pt>
                <c:pt idx="56">
                  <c:v>-3.0277125447268425</c:v>
                </c:pt>
                <c:pt idx="57">
                  <c:v>0.4254119791910167</c:v>
                </c:pt>
                <c:pt idx="58">
                  <c:v>1.9019480171011978</c:v>
                </c:pt>
                <c:pt idx="59">
                  <c:v>0.26651301929631899</c:v>
                </c:pt>
                <c:pt idx="60">
                  <c:v>2.3578444159493959</c:v>
                </c:pt>
                <c:pt idx="61">
                  <c:v>1.3093279200613246</c:v>
                </c:pt>
                <c:pt idx="62">
                  <c:v>-1.084260729108621</c:v>
                </c:pt>
                <c:pt idx="63">
                  <c:v>0.78930798304920557</c:v>
                </c:pt>
                <c:pt idx="64">
                  <c:v>1.0222644361663846</c:v>
                </c:pt>
                <c:pt idx="65">
                  <c:v>1.4509546805170812</c:v>
                </c:pt>
                <c:pt idx="66">
                  <c:v>0.48396836720118053</c:v>
                </c:pt>
                <c:pt idx="67">
                  <c:v>1.3629927023229982</c:v>
                </c:pt>
                <c:pt idx="68">
                  <c:v>-7.6579242354178234E-2</c:v>
                </c:pt>
                <c:pt idx="69">
                  <c:v>1.1910875638565734</c:v>
                </c:pt>
                <c:pt idx="70">
                  <c:v>0.52050218341770815</c:v>
                </c:pt>
                <c:pt idx="71">
                  <c:v>1.7730618470541071</c:v>
                </c:pt>
                <c:pt idx="72">
                  <c:v>-1.5668488102450215</c:v>
                </c:pt>
                <c:pt idx="73">
                  <c:v>1.0970179444078791</c:v>
                </c:pt>
                <c:pt idx="74">
                  <c:v>-0.32931196697264298</c:v>
                </c:pt>
                <c:pt idx="75">
                  <c:v>-3.1583217389837888</c:v>
                </c:pt>
                <c:pt idx="76">
                  <c:v>2.4224109594272827</c:v>
                </c:pt>
                <c:pt idx="77">
                  <c:v>0.38809777219951691</c:v>
                </c:pt>
                <c:pt idx="78">
                  <c:v>-3.5133135261735964</c:v>
                </c:pt>
                <c:pt idx="79">
                  <c:v>1.3246967167254926</c:v>
                </c:pt>
                <c:pt idx="80">
                  <c:v>0.35407636087937533</c:v>
                </c:pt>
                <c:pt idx="81">
                  <c:v>-2.3479409257610158</c:v>
                </c:pt>
                <c:pt idx="82">
                  <c:v>1.1215920081900794</c:v>
                </c:pt>
                <c:pt idx="83">
                  <c:v>-0.8218421191565497</c:v>
                </c:pt>
                <c:pt idx="84">
                  <c:v>0.91863536316611416</c:v>
                </c:pt>
                <c:pt idx="85">
                  <c:v>1.8592110153504038E-2</c:v>
                </c:pt>
                <c:pt idx="86">
                  <c:v>0.40129260572274994</c:v>
                </c:pt>
                <c:pt idx="87">
                  <c:v>0.4062152520334763</c:v>
                </c:pt>
                <c:pt idx="88">
                  <c:v>1.1887289947325268</c:v>
                </c:pt>
                <c:pt idx="89">
                  <c:v>-0.2222551067689551</c:v>
                </c:pt>
                <c:pt idx="90">
                  <c:v>1.2007703482765191</c:v>
                </c:pt>
                <c:pt idx="91">
                  <c:v>2.8036840155406226</c:v>
                </c:pt>
                <c:pt idx="92">
                  <c:v>0.24360383764678772</c:v>
                </c:pt>
                <c:pt idx="93">
                  <c:v>0.97242621523790973</c:v>
                </c:pt>
                <c:pt idx="94">
                  <c:v>1.0178761459390149</c:v>
                </c:pt>
                <c:pt idx="95">
                  <c:v>0.58507887500589817</c:v>
                </c:pt>
                <c:pt idx="96">
                  <c:v>-0.93571716170908026</c:v>
                </c:pt>
                <c:pt idx="97">
                  <c:v>0.16292217748976157</c:v>
                </c:pt>
                <c:pt idx="98">
                  <c:v>1.2813927702466508</c:v>
                </c:pt>
                <c:pt idx="99">
                  <c:v>0.25964979013137324</c:v>
                </c:pt>
                <c:pt idx="100">
                  <c:v>-2.1759584379727972</c:v>
                </c:pt>
                <c:pt idx="101">
                  <c:v>0.55751315141578672</c:v>
                </c:pt>
                <c:pt idx="102">
                  <c:v>-2.8440938458266842</c:v>
                </c:pt>
                <c:pt idx="103">
                  <c:v>-6.2211416061408897E-2</c:v>
                </c:pt>
                <c:pt idx="104">
                  <c:v>0.39889121589560261</c:v>
                </c:pt>
                <c:pt idx="105">
                  <c:v>1.2635853267426782</c:v>
                </c:pt>
                <c:pt idx="106">
                  <c:v>1.0739778514169416</c:v>
                </c:pt>
                <c:pt idx="107">
                  <c:v>1.5914975148826302</c:v>
                </c:pt>
                <c:pt idx="108">
                  <c:v>1.7127415901949847</c:v>
                </c:pt>
                <c:pt idx="109">
                  <c:v>0.10706893786597149</c:v>
                </c:pt>
                <c:pt idx="110">
                  <c:v>-1.3598740951175525</c:v>
                </c:pt>
                <c:pt idx="111">
                  <c:v>0.65972501966468045</c:v>
                </c:pt>
                <c:pt idx="112">
                  <c:v>0.21939014678882884</c:v>
                </c:pt>
                <c:pt idx="113">
                  <c:v>-0.50377622987125825</c:v>
                </c:pt>
                <c:pt idx="114">
                  <c:v>-0.7050959258780356</c:v>
                </c:pt>
                <c:pt idx="115">
                  <c:v>-0.31968895195842606</c:v>
                </c:pt>
                <c:pt idx="116">
                  <c:v>0.22125256310631336</c:v>
                </c:pt>
                <c:pt idx="117">
                  <c:v>2.8292226012422947</c:v>
                </c:pt>
                <c:pt idx="118">
                  <c:v>0.33390652147948963</c:v>
                </c:pt>
                <c:pt idx="119">
                  <c:v>-0.22006766713817871</c:v>
                </c:pt>
                <c:pt idx="120">
                  <c:v>1.0898939528474347</c:v>
                </c:pt>
                <c:pt idx="121">
                  <c:v>-0.83807642180512154</c:v>
                </c:pt>
                <c:pt idx="122">
                  <c:v>-2.026457100609532</c:v>
                </c:pt>
                <c:pt idx="123">
                  <c:v>0.11720910333797896</c:v>
                </c:pt>
                <c:pt idx="124">
                  <c:v>0.24558693582058311</c:v>
                </c:pt>
                <c:pt idx="125">
                  <c:v>1.4726504169952399</c:v>
                </c:pt>
                <c:pt idx="126">
                  <c:v>-3.9771741141803663</c:v>
                </c:pt>
                <c:pt idx="127">
                  <c:v>2.2003310010084807</c:v>
                </c:pt>
                <c:pt idx="128">
                  <c:v>2.4445083854604093</c:v>
                </c:pt>
                <c:pt idx="129">
                  <c:v>1.8158935085111629</c:v>
                </c:pt>
                <c:pt idx="130">
                  <c:v>-8.8276871017695449</c:v>
                </c:pt>
                <c:pt idx="131">
                  <c:v>-2.8777981924671643</c:v>
                </c:pt>
                <c:pt idx="132">
                  <c:v>-2.7491501160707132</c:v>
                </c:pt>
                <c:pt idx="133">
                  <c:v>0.33307692890003437</c:v>
                </c:pt>
                <c:pt idx="134">
                  <c:v>-1.0368038962198298</c:v>
                </c:pt>
                <c:pt idx="135">
                  <c:v>-2.401413849249673</c:v>
                </c:pt>
                <c:pt idx="136">
                  <c:v>-1.9534862676325329</c:v>
                </c:pt>
                <c:pt idx="137">
                  <c:v>-5.1251984901998782E-2</c:v>
                </c:pt>
                <c:pt idx="138">
                  <c:v>-0.16842795485224116</c:v>
                </c:pt>
                <c:pt idx="139">
                  <c:v>1.0245236813006109</c:v>
                </c:pt>
                <c:pt idx="140">
                  <c:v>1.4103590267528734</c:v>
                </c:pt>
                <c:pt idx="141">
                  <c:v>0.80097068093684953</c:v>
                </c:pt>
                <c:pt idx="142">
                  <c:v>0.85013073225088576</c:v>
                </c:pt>
                <c:pt idx="143">
                  <c:v>1.6351973801334161</c:v>
                </c:pt>
                <c:pt idx="144">
                  <c:v>1.3086659666942406</c:v>
                </c:pt>
                <c:pt idx="145">
                  <c:v>0.59146127838600471</c:v>
                </c:pt>
                <c:pt idx="146">
                  <c:v>-2.0942236773337211</c:v>
                </c:pt>
                <c:pt idx="147">
                  <c:v>2.1391389685775799</c:v>
                </c:pt>
                <c:pt idx="148">
                  <c:v>-1.3633594113626888</c:v>
                </c:pt>
                <c:pt idx="149">
                  <c:v>0.27272889886965146</c:v>
                </c:pt>
                <c:pt idx="150">
                  <c:v>-2.2672053413809259</c:v>
                </c:pt>
                <c:pt idx="151">
                  <c:v>1.5904622994931561</c:v>
                </c:pt>
                <c:pt idx="152">
                  <c:v>0.23999969556302858</c:v>
                </c:pt>
                <c:pt idx="153">
                  <c:v>0.7760986800796239</c:v>
                </c:pt>
                <c:pt idx="154">
                  <c:v>9.8383040946334432E-2</c:v>
                </c:pt>
                <c:pt idx="155">
                  <c:v>-2.1075589017356027</c:v>
                </c:pt>
                <c:pt idx="156">
                  <c:v>-8.4851915018083091E-2</c:v>
                </c:pt>
                <c:pt idx="157">
                  <c:v>8.5688800260534492E-2</c:v>
                </c:pt>
                <c:pt idx="158">
                  <c:v>-3.0841986600493803</c:v>
                </c:pt>
                <c:pt idx="159">
                  <c:v>0.50085177203944475</c:v>
                </c:pt>
                <c:pt idx="160">
                  <c:v>0.1861670196690266</c:v>
                </c:pt>
                <c:pt idx="161">
                  <c:v>-0.25914568366462021</c:v>
                </c:pt>
                <c:pt idx="162">
                  <c:v>-4.6782057588425019E-2</c:v>
                </c:pt>
                <c:pt idx="163">
                  <c:v>0.64836392450748903</c:v>
                </c:pt>
                <c:pt idx="164">
                  <c:v>0.83170539689975875</c:v>
                </c:pt>
                <c:pt idx="165">
                  <c:v>-2.3237213762700524</c:v>
                </c:pt>
                <c:pt idx="166">
                  <c:v>-2.8243953095180281</c:v>
                </c:pt>
                <c:pt idx="167">
                  <c:v>-1.1632467725862572</c:v>
                </c:pt>
                <c:pt idx="168">
                  <c:v>-8.6142800575039757E-2</c:v>
                </c:pt>
                <c:pt idx="169">
                  <c:v>-2.941556296290063</c:v>
                </c:pt>
                <c:pt idx="170">
                  <c:v>1.0050200335010979</c:v>
                </c:pt>
                <c:pt idx="171">
                  <c:v>0.14172626975058655</c:v>
                </c:pt>
                <c:pt idx="172">
                  <c:v>-7.6923787190210646E-3</c:v>
                </c:pt>
                <c:pt idx="173">
                  <c:v>-0.27093887332392264</c:v>
                </c:pt>
                <c:pt idx="174">
                  <c:v>-2.2443574174052916</c:v>
                </c:pt>
                <c:pt idx="175">
                  <c:v>2.2131296858163161</c:v>
                </c:pt>
                <c:pt idx="176">
                  <c:v>0.22062729725232444</c:v>
                </c:pt>
                <c:pt idx="177">
                  <c:v>-0.46204640283491116</c:v>
                </c:pt>
                <c:pt idx="178">
                  <c:v>-4.2109972207731019</c:v>
                </c:pt>
                <c:pt idx="179">
                  <c:v>0.21544505149228499</c:v>
                </c:pt>
                <c:pt idx="180">
                  <c:v>-8.7199699509453055E-2</c:v>
                </c:pt>
                <c:pt idx="181">
                  <c:v>-1.7280991834582391</c:v>
                </c:pt>
                <c:pt idx="182">
                  <c:v>2.1453300028750197</c:v>
                </c:pt>
                <c:pt idx="183">
                  <c:v>2.0668998705352521</c:v>
                </c:pt>
                <c:pt idx="184">
                  <c:v>-0.93852095512278311</c:v>
                </c:pt>
                <c:pt idx="185">
                  <c:v>1.7969894128056048</c:v>
                </c:pt>
                <c:pt idx="186">
                  <c:v>0.60862686891426421</c:v>
                </c:pt>
                <c:pt idx="187">
                  <c:v>0.22355777183471304</c:v>
                </c:pt>
                <c:pt idx="188">
                  <c:v>-2.7443064806089961</c:v>
                </c:pt>
                <c:pt idx="189">
                  <c:v>0.64837589300832121</c:v>
                </c:pt>
                <c:pt idx="190">
                  <c:v>-1.689159100639456</c:v>
                </c:pt>
                <c:pt idx="191">
                  <c:v>1.4759806741963182</c:v>
                </c:pt>
                <c:pt idx="192">
                  <c:v>1.4337704394853574</c:v>
                </c:pt>
                <c:pt idx="193">
                  <c:v>1.1130420329686039</c:v>
                </c:pt>
                <c:pt idx="194">
                  <c:v>0.80469956183435443</c:v>
                </c:pt>
                <c:pt idx="195">
                  <c:v>2.2296575155332121</c:v>
                </c:pt>
                <c:pt idx="196">
                  <c:v>1.5346876393869877</c:v>
                </c:pt>
                <c:pt idx="197">
                  <c:v>1.4079183067762457E-2</c:v>
                </c:pt>
                <c:pt idx="198">
                  <c:v>1.7326785082371821</c:v>
                </c:pt>
                <c:pt idx="199">
                  <c:v>-1.7731955356842057</c:v>
                </c:pt>
              </c:numCache>
            </c:numRef>
          </c:yVal>
          <c:smooth val="0"/>
          <c:extLst>
            <c:ext xmlns:c16="http://schemas.microsoft.com/office/drawing/2014/chart" uri="{C3380CC4-5D6E-409C-BE32-E72D297353CC}">
              <c16:uniqueId val="{00000001-4896-4988-B67A-BBEE004964F3}"/>
            </c:ext>
          </c:extLst>
        </c:ser>
        <c:dLbls>
          <c:showLegendKey val="0"/>
          <c:showVal val="0"/>
          <c:showCatName val="0"/>
          <c:showSerName val="0"/>
          <c:showPercent val="0"/>
          <c:showBubbleSize val="0"/>
        </c:dLbls>
        <c:axId val="176878256"/>
        <c:axId val="176866736"/>
      </c:scatterChart>
      <c:valAx>
        <c:axId val="176878256"/>
        <c:scaling>
          <c:orientation val="minMax"/>
        </c:scaling>
        <c:delete val="0"/>
        <c:axPos val="b"/>
        <c:title>
          <c:tx>
            <c:rich>
              <a:bodyPr/>
              <a:lstStyle/>
              <a:p>
                <a:pPr>
                  <a:defRPr/>
                </a:pPr>
                <a:r>
                  <a:rPr lang="en-US"/>
                  <a:t>newspaper</a:t>
                </a:r>
              </a:p>
            </c:rich>
          </c:tx>
          <c:overlay val="0"/>
        </c:title>
        <c:numFmt formatCode="General" sourceLinked="1"/>
        <c:majorTickMark val="out"/>
        <c:minorTickMark val="none"/>
        <c:tickLblPos val="nextTo"/>
        <c:crossAx val="176866736"/>
        <c:crosses val="autoZero"/>
        <c:crossBetween val="midCat"/>
      </c:valAx>
      <c:valAx>
        <c:axId val="1768667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68782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TV Line Fit  Plot</a:t>
            </a:r>
          </a:p>
        </c:rich>
      </c:tx>
      <c:overlay val="0"/>
    </c:title>
    <c:autoTitleDeleted val="0"/>
    <c:plotArea>
      <c:layout/>
      <c:scatterChart>
        <c:scatterStyle val="lineMarker"/>
        <c:varyColors val="0"/>
        <c:ser>
          <c:idx val="0"/>
          <c:order val="0"/>
          <c:tx>
            <c:v>sales</c:v>
          </c:tx>
          <c:spPr>
            <a:ln w="19050">
              <a:noFill/>
            </a:ln>
          </c:spPr>
          <c:xVal>
            <c:numRef>
              <c:f>Advertising!$A$2:$A$201</c:f>
              <c:numCache>
                <c:formatCode>General</c:formatCode>
                <c:ptCount val="200"/>
                <c:pt idx="0">
                  <c:v>230.1</c:v>
                </c:pt>
                <c:pt idx="1">
                  <c:v>44.5</c:v>
                </c:pt>
                <c:pt idx="2">
                  <c:v>17.2</c:v>
                </c:pt>
                <c:pt idx="3">
                  <c:v>151.5</c:v>
                </c:pt>
                <c:pt idx="4">
                  <c:v>180.8</c:v>
                </c:pt>
                <c:pt idx="5">
                  <c:v>8.6999999999999993</c:v>
                </c:pt>
                <c:pt idx="6">
                  <c:v>57.5</c:v>
                </c:pt>
                <c:pt idx="7">
                  <c:v>120.2</c:v>
                </c:pt>
                <c:pt idx="8">
                  <c:v>8.6</c:v>
                </c:pt>
                <c:pt idx="9">
                  <c:v>199.8</c:v>
                </c:pt>
                <c:pt idx="10">
                  <c:v>66.099999999999994</c:v>
                </c:pt>
                <c:pt idx="11">
                  <c:v>214.7</c:v>
                </c:pt>
                <c:pt idx="12">
                  <c:v>23.8</c:v>
                </c:pt>
                <c:pt idx="13">
                  <c:v>97.5</c:v>
                </c:pt>
                <c:pt idx="14">
                  <c:v>204.1</c:v>
                </c:pt>
                <c:pt idx="15">
                  <c:v>195.4</c:v>
                </c:pt>
                <c:pt idx="16">
                  <c:v>67.8</c:v>
                </c:pt>
                <c:pt idx="17">
                  <c:v>281.39999999999998</c:v>
                </c:pt>
                <c:pt idx="18">
                  <c:v>69.2</c:v>
                </c:pt>
                <c:pt idx="19">
                  <c:v>147.30000000000001</c:v>
                </c:pt>
                <c:pt idx="20">
                  <c:v>218.4</c:v>
                </c:pt>
                <c:pt idx="21">
                  <c:v>237.4</c:v>
                </c:pt>
                <c:pt idx="22">
                  <c:v>13.2</c:v>
                </c:pt>
                <c:pt idx="23">
                  <c:v>228.3</c:v>
                </c:pt>
                <c:pt idx="24">
                  <c:v>62.3</c:v>
                </c:pt>
                <c:pt idx="25">
                  <c:v>262.89999999999998</c:v>
                </c:pt>
                <c:pt idx="26">
                  <c:v>142.9</c:v>
                </c:pt>
                <c:pt idx="27">
                  <c:v>240.1</c:v>
                </c:pt>
                <c:pt idx="28">
                  <c:v>248.8</c:v>
                </c:pt>
                <c:pt idx="29">
                  <c:v>70.599999999999994</c:v>
                </c:pt>
                <c:pt idx="30">
                  <c:v>292.89999999999998</c:v>
                </c:pt>
                <c:pt idx="31">
                  <c:v>112.9</c:v>
                </c:pt>
                <c:pt idx="32">
                  <c:v>97.2</c:v>
                </c:pt>
                <c:pt idx="33">
                  <c:v>265.60000000000002</c:v>
                </c:pt>
                <c:pt idx="34">
                  <c:v>95.7</c:v>
                </c:pt>
                <c:pt idx="35">
                  <c:v>290.7</c:v>
                </c:pt>
                <c:pt idx="36">
                  <c:v>266.89999999999998</c:v>
                </c:pt>
                <c:pt idx="37">
                  <c:v>74.7</c:v>
                </c:pt>
                <c:pt idx="38">
                  <c:v>43.1</c:v>
                </c:pt>
                <c:pt idx="39">
                  <c:v>228</c:v>
                </c:pt>
                <c:pt idx="40">
                  <c:v>202.5</c:v>
                </c:pt>
                <c:pt idx="41">
                  <c:v>177</c:v>
                </c:pt>
                <c:pt idx="42">
                  <c:v>293.60000000000002</c:v>
                </c:pt>
                <c:pt idx="43">
                  <c:v>206.9</c:v>
                </c:pt>
                <c:pt idx="44">
                  <c:v>25.1</c:v>
                </c:pt>
                <c:pt idx="45">
                  <c:v>175.1</c:v>
                </c:pt>
                <c:pt idx="46">
                  <c:v>89.7</c:v>
                </c:pt>
                <c:pt idx="47">
                  <c:v>239.9</c:v>
                </c:pt>
                <c:pt idx="48">
                  <c:v>227.2</c:v>
                </c:pt>
                <c:pt idx="49">
                  <c:v>66.900000000000006</c:v>
                </c:pt>
                <c:pt idx="50">
                  <c:v>199.8</c:v>
                </c:pt>
                <c:pt idx="51">
                  <c:v>100.4</c:v>
                </c:pt>
                <c:pt idx="52">
                  <c:v>216.4</c:v>
                </c:pt>
                <c:pt idx="53">
                  <c:v>182.6</c:v>
                </c:pt>
                <c:pt idx="54">
                  <c:v>262.7</c:v>
                </c:pt>
                <c:pt idx="55">
                  <c:v>198.9</c:v>
                </c:pt>
                <c:pt idx="56">
                  <c:v>7.3</c:v>
                </c:pt>
                <c:pt idx="57">
                  <c:v>136.19999999999999</c:v>
                </c:pt>
                <c:pt idx="58">
                  <c:v>210.8</c:v>
                </c:pt>
                <c:pt idx="59">
                  <c:v>210.7</c:v>
                </c:pt>
                <c:pt idx="60">
                  <c:v>53.5</c:v>
                </c:pt>
                <c:pt idx="61">
                  <c:v>261.3</c:v>
                </c:pt>
                <c:pt idx="62">
                  <c:v>239.3</c:v>
                </c:pt>
                <c:pt idx="63">
                  <c:v>102.7</c:v>
                </c:pt>
                <c:pt idx="64">
                  <c:v>131.1</c:v>
                </c:pt>
                <c:pt idx="65">
                  <c:v>69</c:v>
                </c:pt>
                <c:pt idx="66">
                  <c:v>31.5</c:v>
                </c:pt>
                <c:pt idx="67">
                  <c:v>139.30000000000001</c:v>
                </c:pt>
                <c:pt idx="68">
                  <c:v>237.4</c:v>
                </c:pt>
                <c:pt idx="69">
                  <c:v>216.8</c:v>
                </c:pt>
                <c:pt idx="70">
                  <c:v>199.1</c:v>
                </c:pt>
                <c:pt idx="71">
                  <c:v>109.8</c:v>
                </c:pt>
                <c:pt idx="72">
                  <c:v>26.8</c:v>
                </c:pt>
                <c:pt idx="73">
                  <c:v>129.4</c:v>
                </c:pt>
                <c:pt idx="74">
                  <c:v>213.4</c:v>
                </c:pt>
                <c:pt idx="75">
                  <c:v>16.899999999999999</c:v>
                </c:pt>
                <c:pt idx="76">
                  <c:v>27.5</c:v>
                </c:pt>
                <c:pt idx="77">
                  <c:v>120.5</c:v>
                </c:pt>
                <c:pt idx="78">
                  <c:v>5.4</c:v>
                </c:pt>
                <c:pt idx="79">
                  <c:v>116</c:v>
                </c:pt>
                <c:pt idx="80">
                  <c:v>76.400000000000006</c:v>
                </c:pt>
                <c:pt idx="81">
                  <c:v>239.8</c:v>
                </c:pt>
                <c:pt idx="82">
                  <c:v>75.3</c:v>
                </c:pt>
                <c:pt idx="83">
                  <c:v>68.400000000000006</c:v>
                </c:pt>
                <c:pt idx="84">
                  <c:v>213.5</c:v>
                </c:pt>
                <c:pt idx="85">
                  <c:v>193.2</c:v>
                </c:pt>
                <c:pt idx="86">
                  <c:v>76.3</c:v>
                </c:pt>
                <c:pt idx="87">
                  <c:v>110.7</c:v>
                </c:pt>
                <c:pt idx="88">
                  <c:v>88.3</c:v>
                </c:pt>
                <c:pt idx="89">
                  <c:v>109.8</c:v>
                </c:pt>
                <c:pt idx="90">
                  <c:v>134.30000000000001</c:v>
                </c:pt>
                <c:pt idx="91">
                  <c:v>28.6</c:v>
                </c:pt>
                <c:pt idx="92">
                  <c:v>217.7</c:v>
                </c:pt>
                <c:pt idx="93">
                  <c:v>250.9</c:v>
                </c:pt>
                <c:pt idx="94">
                  <c:v>107.4</c:v>
                </c:pt>
                <c:pt idx="95">
                  <c:v>163.30000000000001</c:v>
                </c:pt>
                <c:pt idx="96">
                  <c:v>197.6</c:v>
                </c:pt>
                <c:pt idx="97">
                  <c:v>184.9</c:v>
                </c:pt>
                <c:pt idx="98">
                  <c:v>289.7</c:v>
                </c:pt>
                <c:pt idx="99">
                  <c:v>135.19999999999999</c:v>
                </c:pt>
                <c:pt idx="100">
                  <c:v>222.4</c:v>
                </c:pt>
                <c:pt idx="101">
                  <c:v>296.39999999999998</c:v>
                </c:pt>
                <c:pt idx="102">
                  <c:v>280.2</c:v>
                </c:pt>
                <c:pt idx="103">
                  <c:v>187.9</c:v>
                </c:pt>
                <c:pt idx="104">
                  <c:v>238.2</c:v>
                </c:pt>
                <c:pt idx="105">
                  <c:v>137.9</c:v>
                </c:pt>
                <c:pt idx="106">
                  <c:v>25</c:v>
                </c:pt>
                <c:pt idx="107">
                  <c:v>90.4</c:v>
                </c:pt>
                <c:pt idx="108">
                  <c:v>13.1</c:v>
                </c:pt>
                <c:pt idx="109">
                  <c:v>255.4</c:v>
                </c:pt>
                <c:pt idx="110">
                  <c:v>225.8</c:v>
                </c:pt>
                <c:pt idx="111">
                  <c:v>241.7</c:v>
                </c:pt>
                <c:pt idx="112">
                  <c:v>175.7</c:v>
                </c:pt>
                <c:pt idx="113">
                  <c:v>209.6</c:v>
                </c:pt>
                <c:pt idx="114">
                  <c:v>78.2</c:v>
                </c:pt>
                <c:pt idx="115">
                  <c:v>75.099999999999994</c:v>
                </c:pt>
                <c:pt idx="116">
                  <c:v>139.19999999999999</c:v>
                </c:pt>
                <c:pt idx="117">
                  <c:v>76.400000000000006</c:v>
                </c:pt>
                <c:pt idx="118">
                  <c:v>125.7</c:v>
                </c:pt>
                <c:pt idx="119">
                  <c:v>19.399999999999999</c:v>
                </c:pt>
                <c:pt idx="120">
                  <c:v>141.30000000000001</c:v>
                </c:pt>
                <c:pt idx="121">
                  <c:v>18.8</c:v>
                </c:pt>
                <c:pt idx="122">
                  <c:v>224</c:v>
                </c:pt>
                <c:pt idx="123">
                  <c:v>123.1</c:v>
                </c:pt>
                <c:pt idx="124">
                  <c:v>229.5</c:v>
                </c:pt>
                <c:pt idx="125">
                  <c:v>87.2</c:v>
                </c:pt>
                <c:pt idx="126">
                  <c:v>7.8</c:v>
                </c:pt>
                <c:pt idx="127">
                  <c:v>80.2</c:v>
                </c:pt>
                <c:pt idx="128">
                  <c:v>220.3</c:v>
                </c:pt>
                <c:pt idx="129">
                  <c:v>59.6</c:v>
                </c:pt>
                <c:pt idx="130">
                  <c:v>0.7</c:v>
                </c:pt>
                <c:pt idx="131">
                  <c:v>265.2</c:v>
                </c:pt>
                <c:pt idx="132">
                  <c:v>8.4</c:v>
                </c:pt>
                <c:pt idx="133">
                  <c:v>219.8</c:v>
                </c:pt>
                <c:pt idx="134">
                  <c:v>36.9</c:v>
                </c:pt>
                <c:pt idx="135">
                  <c:v>48.3</c:v>
                </c:pt>
                <c:pt idx="136">
                  <c:v>25.6</c:v>
                </c:pt>
                <c:pt idx="137">
                  <c:v>273.7</c:v>
                </c:pt>
                <c:pt idx="138">
                  <c:v>43</c:v>
                </c:pt>
                <c:pt idx="139">
                  <c:v>184.9</c:v>
                </c:pt>
                <c:pt idx="140">
                  <c:v>73.400000000000006</c:v>
                </c:pt>
                <c:pt idx="141">
                  <c:v>193.7</c:v>
                </c:pt>
                <c:pt idx="142">
                  <c:v>220.5</c:v>
                </c:pt>
                <c:pt idx="143">
                  <c:v>104.6</c:v>
                </c:pt>
                <c:pt idx="144">
                  <c:v>96.2</c:v>
                </c:pt>
                <c:pt idx="145">
                  <c:v>140.30000000000001</c:v>
                </c:pt>
                <c:pt idx="146">
                  <c:v>240.1</c:v>
                </c:pt>
                <c:pt idx="147">
                  <c:v>243.2</c:v>
                </c:pt>
                <c:pt idx="148">
                  <c:v>38</c:v>
                </c:pt>
                <c:pt idx="149">
                  <c:v>44.7</c:v>
                </c:pt>
                <c:pt idx="150">
                  <c:v>280.7</c:v>
                </c:pt>
                <c:pt idx="151">
                  <c:v>121</c:v>
                </c:pt>
                <c:pt idx="152">
                  <c:v>197.6</c:v>
                </c:pt>
                <c:pt idx="153">
                  <c:v>171.3</c:v>
                </c:pt>
                <c:pt idx="154">
                  <c:v>187.8</c:v>
                </c:pt>
                <c:pt idx="155">
                  <c:v>4.0999999999999996</c:v>
                </c:pt>
                <c:pt idx="156">
                  <c:v>93.9</c:v>
                </c:pt>
                <c:pt idx="157">
                  <c:v>149.80000000000001</c:v>
                </c:pt>
                <c:pt idx="158">
                  <c:v>11.7</c:v>
                </c:pt>
                <c:pt idx="159">
                  <c:v>131.69999999999999</c:v>
                </c:pt>
                <c:pt idx="160">
                  <c:v>172.5</c:v>
                </c:pt>
                <c:pt idx="161">
                  <c:v>85.7</c:v>
                </c:pt>
                <c:pt idx="162">
                  <c:v>188.4</c:v>
                </c:pt>
                <c:pt idx="163">
                  <c:v>163.5</c:v>
                </c:pt>
                <c:pt idx="164">
                  <c:v>117.2</c:v>
                </c:pt>
                <c:pt idx="165">
                  <c:v>234.5</c:v>
                </c:pt>
                <c:pt idx="166">
                  <c:v>17.899999999999999</c:v>
                </c:pt>
                <c:pt idx="167">
                  <c:v>206.8</c:v>
                </c:pt>
                <c:pt idx="168">
                  <c:v>215.4</c:v>
                </c:pt>
                <c:pt idx="169">
                  <c:v>284.3</c:v>
                </c:pt>
                <c:pt idx="170">
                  <c:v>50</c:v>
                </c:pt>
                <c:pt idx="171">
                  <c:v>164.5</c:v>
                </c:pt>
                <c:pt idx="172">
                  <c:v>19.600000000000001</c:v>
                </c:pt>
                <c:pt idx="173">
                  <c:v>168.4</c:v>
                </c:pt>
                <c:pt idx="174">
                  <c:v>222.4</c:v>
                </c:pt>
                <c:pt idx="175">
                  <c:v>276.89999999999998</c:v>
                </c:pt>
                <c:pt idx="176">
                  <c:v>248.4</c:v>
                </c:pt>
                <c:pt idx="177">
                  <c:v>170.2</c:v>
                </c:pt>
                <c:pt idx="178">
                  <c:v>276.7</c:v>
                </c:pt>
                <c:pt idx="179">
                  <c:v>165.6</c:v>
                </c:pt>
                <c:pt idx="180">
                  <c:v>156.6</c:v>
                </c:pt>
                <c:pt idx="181">
                  <c:v>218.5</c:v>
                </c:pt>
                <c:pt idx="182">
                  <c:v>56.2</c:v>
                </c:pt>
                <c:pt idx="183">
                  <c:v>287.60000000000002</c:v>
                </c:pt>
                <c:pt idx="184">
                  <c:v>253.8</c:v>
                </c:pt>
                <c:pt idx="185">
                  <c:v>205</c:v>
                </c:pt>
                <c:pt idx="186">
                  <c:v>139.5</c:v>
                </c:pt>
                <c:pt idx="187">
                  <c:v>191.1</c:v>
                </c:pt>
                <c:pt idx="188">
                  <c:v>286</c:v>
                </c:pt>
                <c:pt idx="189">
                  <c:v>18.7</c:v>
                </c:pt>
                <c:pt idx="190">
                  <c:v>39.5</c:v>
                </c:pt>
                <c:pt idx="191">
                  <c:v>75.5</c:v>
                </c:pt>
                <c:pt idx="192">
                  <c:v>17.2</c:v>
                </c:pt>
                <c:pt idx="193">
                  <c:v>166.8</c:v>
                </c:pt>
                <c:pt idx="194">
                  <c:v>149.69999999999999</c:v>
                </c:pt>
                <c:pt idx="195">
                  <c:v>38.200000000000003</c:v>
                </c:pt>
                <c:pt idx="196">
                  <c:v>94.2</c:v>
                </c:pt>
                <c:pt idx="197">
                  <c:v>177</c:v>
                </c:pt>
                <c:pt idx="198">
                  <c:v>283.60000000000002</c:v>
                </c:pt>
                <c:pt idx="199">
                  <c:v>232.1</c:v>
                </c:pt>
              </c:numCache>
            </c:numRef>
          </c:xVal>
          <c:yVal>
            <c:numRef>
              <c:f>Advertising!$D$2:$D$201</c:f>
              <c:numCache>
                <c:formatCode>General</c:formatCode>
                <c:ptCount val="200"/>
                <c:pt idx="0">
                  <c:v>22.1</c:v>
                </c:pt>
                <c:pt idx="1">
                  <c:v>10.4</c:v>
                </c:pt>
                <c:pt idx="2">
                  <c:v>9.3000000000000007</c:v>
                </c:pt>
                <c:pt idx="3">
                  <c:v>18.5</c:v>
                </c:pt>
                <c:pt idx="4">
                  <c:v>12.9</c:v>
                </c:pt>
                <c:pt idx="5">
                  <c:v>7.2</c:v>
                </c:pt>
                <c:pt idx="6">
                  <c:v>11.8</c:v>
                </c:pt>
                <c:pt idx="7">
                  <c:v>13.2</c:v>
                </c:pt>
                <c:pt idx="8">
                  <c:v>4.8</c:v>
                </c:pt>
                <c:pt idx="9">
                  <c:v>10.6</c:v>
                </c:pt>
                <c:pt idx="10">
                  <c:v>8.6</c:v>
                </c:pt>
                <c:pt idx="11">
                  <c:v>17.399999999999999</c:v>
                </c:pt>
                <c:pt idx="12">
                  <c:v>9.1999999999999993</c:v>
                </c:pt>
                <c:pt idx="13">
                  <c:v>9.6999999999999993</c:v>
                </c:pt>
                <c:pt idx="14">
                  <c:v>19</c:v>
                </c:pt>
                <c:pt idx="15">
                  <c:v>22.4</c:v>
                </c:pt>
                <c:pt idx="16">
                  <c:v>12.5</c:v>
                </c:pt>
                <c:pt idx="17">
                  <c:v>24.4</c:v>
                </c:pt>
                <c:pt idx="18">
                  <c:v>11.3</c:v>
                </c:pt>
                <c:pt idx="19">
                  <c:v>14.6</c:v>
                </c:pt>
                <c:pt idx="20">
                  <c:v>18</c:v>
                </c:pt>
                <c:pt idx="21">
                  <c:v>12.5</c:v>
                </c:pt>
                <c:pt idx="22">
                  <c:v>5.6</c:v>
                </c:pt>
                <c:pt idx="23">
                  <c:v>15.5</c:v>
                </c:pt>
                <c:pt idx="24">
                  <c:v>9.6999999999999993</c:v>
                </c:pt>
                <c:pt idx="25">
                  <c:v>12</c:v>
                </c:pt>
                <c:pt idx="26">
                  <c:v>15</c:v>
                </c:pt>
                <c:pt idx="27">
                  <c:v>15.9</c:v>
                </c:pt>
                <c:pt idx="28">
                  <c:v>18.899999999999999</c:v>
                </c:pt>
                <c:pt idx="29">
                  <c:v>10.5</c:v>
                </c:pt>
                <c:pt idx="30">
                  <c:v>21.4</c:v>
                </c:pt>
                <c:pt idx="31">
                  <c:v>11.9</c:v>
                </c:pt>
                <c:pt idx="32">
                  <c:v>9.6</c:v>
                </c:pt>
                <c:pt idx="33">
                  <c:v>17.399999999999999</c:v>
                </c:pt>
                <c:pt idx="34">
                  <c:v>9.5</c:v>
                </c:pt>
                <c:pt idx="35">
                  <c:v>12.8</c:v>
                </c:pt>
                <c:pt idx="36">
                  <c:v>25.4</c:v>
                </c:pt>
                <c:pt idx="37">
                  <c:v>14.7</c:v>
                </c:pt>
                <c:pt idx="38">
                  <c:v>10.1</c:v>
                </c:pt>
                <c:pt idx="39">
                  <c:v>21.5</c:v>
                </c:pt>
                <c:pt idx="40">
                  <c:v>16.600000000000001</c:v>
                </c:pt>
                <c:pt idx="41">
                  <c:v>17.100000000000001</c:v>
                </c:pt>
                <c:pt idx="42">
                  <c:v>20.7</c:v>
                </c:pt>
                <c:pt idx="43">
                  <c:v>12.9</c:v>
                </c:pt>
                <c:pt idx="44">
                  <c:v>8.5</c:v>
                </c:pt>
                <c:pt idx="45">
                  <c:v>14.9</c:v>
                </c:pt>
                <c:pt idx="46">
                  <c:v>10.6</c:v>
                </c:pt>
                <c:pt idx="47">
                  <c:v>23.2</c:v>
                </c:pt>
                <c:pt idx="48">
                  <c:v>14.8</c:v>
                </c:pt>
                <c:pt idx="49">
                  <c:v>9.6999999999999993</c:v>
                </c:pt>
                <c:pt idx="50">
                  <c:v>11.4</c:v>
                </c:pt>
                <c:pt idx="51">
                  <c:v>10.7</c:v>
                </c:pt>
                <c:pt idx="52">
                  <c:v>22.6</c:v>
                </c:pt>
                <c:pt idx="53">
                  <c:v>21.2</c:v>
                </c:pt>
                <c:pt idx="54">
                  <c:v>20.2</c:v>
                </c:pt>
                <c:pt idx="55">
                  <c:v>23.7</c:v>
                </c:pt>
                <c:pt idx="56">
                  <c:v>5.5</c:v>
                </c:pt>
                <c:pt idx="57">
                  <c:v>13.2</c:v>
                </c:pt>
                <c:pt idx="58">
                  <c:v>23.8</c:v>
                </c:pt>
                <c:pt idx="59">
                  <c:v>18.399999999999999</c:v>
                </c:pt>
                <c:pt idx="60">
                  <c:v>8.1</c:v>
                </c:pt>
                <c:pt idx="61">
                  <c:v>24.2</c:v>
                </c:pt>
                <c:pt idx="62">
                  <c:v>15.7</c:v>
                </c:pt>
                <c:pt idx="63">
                  <c:v>14</c:v>
                </c:pt>
                <c:pt idx="64">
                  <c:v>18</c:v>
                </c:pt>
                <c:pt idx="65">
                  <c:v>9.3000000000000007</c:v>
                </c:pt>
                <c:pt idx="66">
                  <c:v>9.5</c:v>
                </c:pt>
                <c:pt idx="67">
                  <c:v>13.4</c:v>
                </c:pt>
                <c:pt idx="68">
                  <c:v>18.899999999999999</c:v>
                </c:pt>
                <c:pt idx="69">
                  <c:v>22.3</c:v>
                </c:pt>
                <c:pt idx="70">
                  <c:v>18.3</c:v>
                </c:pt>
                <c:pt idx="71">
                  <c:v>12.4</c:v>
                </c:pt>
                <c:pt idx="72">
                  <c:v>8.8000000000000007</c:v>
                </c:pt>
                <c:pt idx="73">
                  <c:v>11</c:v>
                </c:pt>
                <c:pt idx="74">
                  <c:v>17</c:v>
                </c:pt>
                <c:pt idx="75">
                  <c:v>8.6999999999999993</c:v>
                </c:pt>
                <c:pt idx="76">
                  <c:v>6.9</c:v>
                </c:pt>
                <c:pt idx="77">
                  <c:v>14.2</c:v>
                </c:pt>
                <c:pt idx="78">
                  <c:v>5.3</c:v>
                </c:pt>
                <c:pt idx="79">
                  <c:v>11</c:v>
                </c:pt>
                <c:pt idx="80">
                  <c:v>11.8</c:v>
                </c:pt>
                <c:pt idx="81">
                  <c:v>12.3</c:v>
                </c:pt>
                <c:pt idx="82">
                  <c:v>11.3</c:v>
                </c:pt>
                <c:pt idx="83">
                  <c:v>13.6</c:v>
                </c:pt>
                <c:pt idx="84">
                  <c:v>21.7</c:v>
                </c:pt>
                <c:pt idx="85">
                  <c:v>15.2</c:v>
                </c:pt>
                <c:pt idx="86">
                  <c:v>12</c:v>
                </c:pt>
                <c:pt idx="87">
                  <c:v>16</c:v>
                </c:pt>
                <c:pt idx="88">
                  <c:v>12.9</c:v>
                </c:pt>
                <c:pt idx="89">
                  <c:v>16.7</c:v>
                </c:pt>
                <c:pt idx="90">
                  <c:v>11.2</c:v>
                </c:pt>
                <c:pt idx="91">
                  <c:v>7.3</c:v>
                </c:pt>
                <c:pt idx="92">
                  <c:v>19.399999999999999</c:v>
                </c:pt>
                <c:pt idx="93">
                  <c:v>22.2</c:v>
                </c:pt>
                <c:pt idx="94">
                  <c:v>11.5</c:v>
                </c:pt>
                <c:pt idx="95">
                  <c:v>16.899999999999999</c:v>
                </c:pt>
                <c:pt idx="96">
                  <c:v>11.7</c:v>
                </c:pt>
                <c:pt idx="97">
                  <c:v>15.5</c:v>
                </c:pt>
                <c:pt idx="98">
                  <c:v>25.4</c:v>
                </c:pt>
                <c:pt idx="99">
                  <c:v>17.2</c:v>
                </c:pt>
                <c:pt idx="100">
                  <c:v>11.7</c:v>
                </c:pt>
                <c:pt idx="101">
                  <c:v>23.8</c:v>
                </c:pt>
                <c:pt idx="102">
                  <c:v>14.8</c:v>
                </c:pt>
                <c:pt idx="103">
                  <c:v>14.7</c:v>
                </c:pt>
                <c:pt idx="104">
                  <c:v>20.7</c:v>
                </c:pt>
                <c:pt idx="105">
                  <c:v>19.2</c:v>
                </c:pt>
                <c:pt idx="106">
                  <c:v>7.2</c:v>
                </c:pt>
                <c:pt idx="107">
                  <c:v>8.6999999999999993</c:v>
                </c:pt>
                <c:pt idx="108">
                  <c:v>5.3</c:v>
                </c:pt>
                <c:pt idx="109">
                  <c:v>19.8</c:v>
                </c:pt>
                <c:pt idx="110">
                  <c:v>13.4</c:v>
                </c:pt>
                <c:pt idx="111">
                  <c:v>21.8</c:v>
                </c:pt>
                <c:pt idx="112">
                  <c:v>14.1</c:v>
                </c:pt>
                <c:pt idx="113">
                  <c:v>15.9</c:v>
                </c:pt>
                <c:pt idx="114">
                  <c:v>14.6</c:v>
                </c:pt>
                <c:pt idx="115">
                  <c:v>12.6</c:v>
                </c:pt>
                <c:pt idx="116">
                  <c:v>12.2</c:v>
                </c:pt>
                <c:pt idx="117">
                  <c:v>9.4</c:v>
                </c:pt>
                <c:pt idx="118">
                  <c:v>15.9</c:v>
                </c:pt>
                <c:pt idx="119">
                  <c:v>6.6</c:v>
                </c:pt>
                <c:pt idx="120">
                  <c:v>15.5</c:v>
                </c:pt>
                <c:pt idx="121">
                  <c:v>7</c:v>
                </c:pt>
                <c:pt idx="122">
                  <c:v>11.6</c:v>
                </c:pt>
                <c:pt idx="123">
                  <c:v>15.2</c:v>
                </c:pt>
                <c:pt idx="124">
                  <c:v>19.7</c:v>
                </c:pt>
                <c:pt idx="125">
                  <c:v>10.6</c:v>
                </c:pt>
                <c:pt idx="126">
                  <c:v>6.6</c:v>
                </c:pt>
                <c:pt idx="127">
                  <c:v>8.8000000000000007</c:v>
                </c:pt>
                <c:pt idx="128">
                  <c:v>24.7</c:v>
                </c:pt>
                <c:pt idx="129">
                  <c:v>9.6999999999999993</c:v>
                </c:pt>
                <c:pt idx="130">
                  <c:v>1.6</c:v>
                </c:pt>
                <c:pt idx="131">
                  <c:v>12.7</c:v>
                </c:pt>
                <c:pt idx="132">
                  <c:v>5.7</c:v>
                </c:pt>
                <c:pt idx="133">
                  <c:v>19.600000000000001</c:v>
                </c:pt>
                <c:pt idx="134">
                  <c:v>10.8</c:v>
                </c:pt>
                <c:pt idx="135">
                  <c:v>11.6</c:v>
                </c:pt>
                <c:pt idx="136">
                  <c:v>9.5</c:v>
                </c:pt>
                <c:pt idx="137">
                  <c:v>20.8</c:v>
                </c:pt>
                <c:pt idx="138">
                  <c:v>9.6</c:v>
                </c:pt>
                <c:pt idx="139">
                  <c:v>20.7</c:v>
                </c:pt>
                <c:pt idx="140">
                  <c:v>10.9</c:v>
                </c:pt>
                <c:pt idx="141">
                  <c:v>19.2</c:v>
                </c:pt>
                <c:pt idx="142">
                  <c:v>20.100000000000001</c:v>
                </c:pt>
                <c:pt idx="143">
                  <c:v>10.4</c:v>
                </c:pt>
                <c:pt idx="144">
                  <c:v>11.4</c:v>
                </c:pt>
                <c:pt idx="145">
                  <c:v>10.3</c:v>
                </c:pt>
                <c:pt idx="146">
                  <c:v>13.2</c:v>
                </c:pt>
                <c:pt idx="147">
                  <c:v>25.4</c:v>
                </c:pt>
                <c:pt idx="148">
                  <c:v>10.9</c:v>
                </c:pt>
                <c:pt idx="149">
                  <c:v>10.1</c:v>
                </c:pt>
                <c:pt idx="150">
                  <c:v>16.100000000000001</c:v>
                </c:pt>
                <c:pt idx="151">
                  <c:v>11.6</c:v>
                </c:pt>
                <c:pt idx="152">
                  <c:v>16.600000000000001</c:v>
                </c:pt>
                <c:pt idx="153">
                  <c:v>19</c:v>
                </c:pt>
                <c:pt idx="154">
                  <c:v>15.6</c:v>
                </c:pt>
                <c:pt idx="155">
                  <c:v>3.2</c:v>
                </c:pt>
                <c:pt idx="156">
                  <c:v>15.3</c:v>
                </c:pt>
                <c:pt idx="157">
                  <c:v>10.1</c:v>
                </c:pt>
                <c:pt idx="158">
                  <c:v>7.3</c:v>
                </c:pt>
                <c:pt idx="159">
                  <c:v>12.9</c:v>
                </c:pt>
                <c:pt idx="160">
                  <c:v>14.4</c:v>
                </c:pt>
                <c:pt idx="161">
                  <c:v>13.3</c:v>
                </c:pt>
                <c:pt idx="162">
                  <c:v>14.9</c:v>
                </c:pt>
                <c:pt idx="163">
                  <c:v>18</c:v>
                </c:pt>
                <c:pt idx="164">
                  <c:v>11.9</c:v>
                </c:pt>
                <c:pt idx="165">
                  <c:v>11.9</c:v>
                </c:pt>
                <c:pt idx="166">
                  <c:v>8</c:v>
                </c:pt>
                <c:pt idx="167">
                  <c:v>12.2</c:v>
                </c:pt>
                <c:pt idx="168">
                  <c:v>17.100000000000001</c:v>
                </c:pt>
                <c:pt idx="169">
                  <c:v>15</c:v>
                </c:pt>
                <c:pt idx="170">
                  <c:v>8.4</c:v>
                </c:pt>
                <c:pt idx="171">
                  <c:v>14.5</c:v>
                </c:pt>
                <c:pt idx="172">
                  <c:v>7.6</c:v>
                </c:pt>
                <c:pt idx="173">
                  <c:v>11.7</c:v>
                </c:pt>
                <c:pt idx="174">
                  <c:v>11.5</c:v>
                </c:pt>
                <c:pt idx="175">
                  <c:v>27</c:v>
                </c:pt>
                <c:pt idx="176">
                  <c:v>20.2</c:v>
                </c:pt>
                <c:pt idx="177">
                  <c:v>11.7</c:v>
                </c:pt>
                <c:pt idx="178">
                  <c:v>11.8</c:v>
                </c:pt>
                <c:pt idx="179">
                  <c:v>12.6</c:v>
                </c:pt>
                <c:pt idx="180">
                  <c:v>10.5</c:v>
                </c:pt>
                <c:pt idx="181">
                  <c:v>12.2</c:v>
                </c:pt>
                <c:pt idx="182">
                  <c:v>8.6999999999999993</c:v>
                </c:pt>
                <c:pt idx="183">
                  <c:v>26.2</c:v>
                </c:pt>
                <c:pt idx="184">
                  <c:v>17.600000000000001</c:v>
                </c:pt>
                <c:pt idx="185">
                  <c:v>22.6</c:v>
                </c:pt>
                <c:pt idx="186">
                  <c:v>10.3</c:v>
                </c:pt>
                <c:pt idx="187">
                  <c:v>17.3</c:v>
                </c:pt>
                <c:pt idx="188">
                  <c:v>15.9</c:v>
                </c:pt>
                <c:pt idx="189">
                  <c:v>6.7</c:v>
                </c:pt>
                <c:pt idx="190">
                  <c:v>10.8</c:v>
                </c:pt>
                <c:pt idx="191">
                  <c:v>9.9</c:v>
                </c:pt>
                <c:pt idx="192">
                  <c:v>5.9</c:v>
                </c:pt>
                <c:pt idx="193">
                  <c:v>19.600000000000001</c:v>
                </c:pt>
                <c:pt idx="194">
                  <c:v>17.3</c:v>
                </c:pt>
                <c:pt idx="195">
                  <c:v>7.6</c:v>
                </c:pt>
                <c:pt idx="196">
                  <c:v>9.6999999999999993</c:v>
                </c:pt>
                <c:pt idx="197">
                  <c:v>12.8</c:v>
                </c:pt>
                <c:pt idx="198">
                  <c:v>25.5</c:v>
                </c:pt>
                <c:pt idx="199">
                  <c:v>13.4</c:v>
                </c:pt>
              </c:numCache>
            </c:numRef>
          </c:yVal>
          <c:smooth val="0"/>
          <c:extLst>
            <c:ext xmlns:c16="http://schemas.microsoft.com/office/drawing/2014/chart" uri="{C3380CC4-5D6E-409C-BE32-E72D297353CC}">
              <c16:uniqueId val="{00000001-6AD9-4026-8DED-E4961DAD0510}"/>
            </c:ext>
          </c:extLst>
        </c:ser>
        <c:ser>
          <c:idx val="1"/>
          <c:order val="1"/>
          <c:tx>
            <c:v>Predicted sales</c:v>
          </c:tx>
          <c:spPr>
            <a:ln w="19050">
              <a:noFill/>
            </a:ln>
          </c:spPr>
          <c:xVal>
            <c:numRef>
              <c:f>Advertising!$A$2:$A$201</c:f>
              <c:numCache>
                <c:formatCode>General</c:formatCode>
                <c:ptCount val="200"/>
                <c:pt idx="0">
                  <c:v>230.1</c:v>
                </c:pt>
                <c:pt idx="1">
                  <c:v>44.5</c:v>
                </c:pt>
                <c:pt idx="2">
                  <c:v>17.2</c:v>
                </c:pt>
                <c:pt idx="3">
                  <c:v>151.5</c:v>
                </c:pt>
                <c:pt idx="4">
                  <c:v>180.8</c:v>
                </c:pt>
                <c:pt idx="5">
                  <c:v>8.6999999999999993</c:v>
                </c:pt>
                <c:pt idx="6">
                  <c:v>57.5</c:v>
                </c:pt>
                <c:pt idx="7">
                  <c:v>120.2</c:v>
                </c:pt>
                <c:pt idx="8">
                  <c:v>8.6</c:v>
                </c:pt>
                <c:pt idx="9">
                  <c:v>199.8</c:v>
                </c:pt>
                <c:pt idx="10">
                  <c:v>66.099999999999994</c:v>
                </c:pt>
                <c:pt idx="11">
                  <c:v>214.7</c:v>
                </c:pt>
                <c:pt idx="12">
                  <c:v>23.8</c:v>
                </c:pt>
                <c:pt idx="13">
                  <c:v>97.5</c:v>
                </c:pt>
                <c:pt idx="14">
                  <c:v>204.1</c:v>
                </c:pt>
                <c:pt idx="15">
                  <c:v>195.4</c:v>
                </c:pt>
                <c:pt idx="16">
                  <c:v>67.8</c:v>
                </c:pt>
                <c:pt idx="17">
                  <c:v>281.39999999999998</c:v>
                </c:pt>
                <c:pt idx="18">
                  <c:v>69.2</c:v>
                </c:pt>
                <c:pt idx="19">
                  <c:v>147.30000000000001</c:v>
                </c:pt>
                <c:pt idx="20">
                  <c:v>218.4</c:v>
                </c:pt>
                <c:pt idx="21">
                  <c:v>237.4</c:v>
                </c:pt>
                <c:pt idx="22">
                  <c:v>13.2</c:v>
                </c:pt>
                <c:pt idx="23">
                  <c:v>228.3</c:v>
                </c:pt>
                <c:pt idx="24">
                  <c:v>62.3</c:v>
                </c:pt>
                <c:pt idx="25">
                  <c:v>262.89999999999998</c:v>
                </c:pt>
                <c:pt idx="26">
                  <c:v>142.9</c:v>
                </c:pt>
                <c:pt idx="27">
                  <c:v>240.1</c:v>
                </c:pt>
                <c:pt idx="28">
                  <c:v>248.8</c:v>
                </c:pt>
                <c:pt idx="29">
                  <c:v>70.599999999999994</c:v>
                </c:pt>
                <c:pt idx="30">
                  <c:v>292.89999999999998</c:v>
                </c:pt>
                <c:pt idx="31">
                  <c:v>112.9</c:v>
                </c:pt>
                <c:pt idx="32">
                  <c:v>97.2</c:v>
                </c:pt>
                <c:pt idx="33">
                  <c:v>265.60000000000002</c:v>
                </c:pt>
                <c:pt idx="34">
                  <c:v>95.7</c:v>
                </c:pt>
                <c:pt idx="35">
                  <c:v>290.7</c:v>
                </c:pt>
                <c:pt idx="36">
                  <c:v>266.89999999999998</c:v>
                </c:pt>
                <c:pt idx="37">
                  <c:v>74.7</c:v>
                </c:pt>
                <c:pt idx="38">
                  <c:v>43.1</c:v>
                </c:pt>
                <c:pt idx="39">
                  <c:v>228</c:v>
                </c:pt>
                <c:pt idx="40">
                  <c:v>202.5</c:v>
                </c:pt>
                <c:pt idx="41">
                  <c:v>177</c:v>
                </c:pt>
                <c:pt idx="42">
                  <c:v>293.60000000000002</c:v>
                </c:pt>
                <c:pt idx="43">
                  <c:v>206.9</c:v>
                </c:pt>
                <c:pt idx="44">
                  <c:v>25.1</c:v>
                </c:pt>
                <c:pt idx="45">
                  <c:v>175.1</c:v>
                </c:pt>
                <c:pt idx="46">
                  <c:v>89.7</c:v>
                </c:pt>
                <c:pt idx="47">
                  <c:v>239.9</c:v>
                </c:pt>
                <c:pt idx="48">
                  <c:v>227.2</c:v>
                </c:pt>
                <c:pt idx="49">
                  <c:v>66.900000000000006</c:v>
                </c:pt>
                <c:pt idx="50">
                  <c:v>199.8</c:v>
                </c:pt>
                <c:pt idx="51">
                  <c:v>100.4</c:v>
                </c:pt>
                <c:pt idx="52">
                  <c:v>216.4</c:v>
                </c:pt>
                <c:pt idx="53">
                  <c:v>182.6</c:v>
                </c:pt>
                <c:pt idx="54">
                  <c:v>262.7</c:v>
                </c:pt>
                <c:pt idx="55">
                  <c:v>198.9</c:v>
                </c:pt>
                <c:pt idx="56">
                  <c:v>7.3</c:v>
                </c:pt>
                <c:pt idx="57">
                  <c:v>136.19999999999999</c:v>
                </c:pt>
                <c:pt idx="58">
                  <c:v>210.8</c:v>
                </c:pt>
                <c:pt idx="59">
                  <c:v>210.7</c:v>
                </c:pt>
                <c:pt idx="60">
                  <c:v>53.5</c:v>
                </c:pt>
                <c:pt idx="61">
                  <c:v>261.3</c:v>
                </c:pt>
                <c:pt idx="62">
                  <c:v>239.3</c:v>
                </c:pt>
                <c:pt idx="63">
                  <c:v>102.7</c:v>
                </c:pt>
                <c:pt idx="64">
                  <c:v>131.1</c:v>
                </c:pt>
                <c:pt idx="65">
                  <c:v>69</c:v>
                </c:pt>
                <c:pt idx="66">
                  <c:v>31.5</c:v>
                </c:pt>
                <c:pt idx="67">
                  <c:v>139.30000000000001</c:v>
                </c:pt>
                <c:pt idx="68">
                  <c:v>237.4</c:v>
                </c:pt>
                <c:pt idx="69">
                  <c:v>216.8</c:v>
                </c:pt>
                <c:pt idx="70">
                  <c:v>199.1</c:v>
                </c:pt>
                <c:pt idx="71">
                  <c:v>109.8</c:v>
                </c:pt>
                <c:pt idx="72">
                  <c:v>26.8</c:v>
                </c:pt>
                <c:pt idx="73">
                  <c:v>129.4</c:v>
                </c:pt>
                <c:pt idx="74">
                  <c:v>213.4</c:v>
                </c:pt>
                <c:pt idx="75">
                  <c:v>16.899999999999999</c:v>
                </c:pt>
                <c:pt idx="76">
                  <c:v>27.5</c:v>
                </c:pt>
                <c:pt idx="77">
                  <c:v>120.5</c:v>
                </c:pt>
                <c:pt idx="78">
                  <c:v>5.4</c:v>
                </c:pt>
                <c:pt idx="79">
                  <c:v>116</c:v>
                </c:pt>
                <c:pt idx="80">
                  <c:v>76.400000000000006</c:v>
                </c:pt>
                <c:pt idx="81">
                  <c:v>239.8</c:v>
                </c:pt>
                <c:pt idx="82">
                  <c:v>75.3</c:v>
                </c:pt>
                <c:pt idx="83">
                  <c:v>68.400000000000006</c:v>
                </c:pt>
                <c:pt idx="84">
                  <c:v>213.5</c:v>
                </c:pt>
                <c:pt idx="85">
                  <c:v>193.2</c:v>
                </c:pt>
                <c:pt idx="86">
                  <c:v>76.3</c:v>
                </c:pt>
                <c:pt idx="87">
                  <c:v>110.7</c:v>
                </c:pt>
                <c:pt idx="88">
                  <c:v>88.3</c:v>
                </c:pt>
                <c:pt idx="89">
                  <c:v>109.8</c:v>
                </c:pt>
                <c:pt idx="90">
                  <c:v>134.30000000000001</c:v>
                </c:pt>
                <c:pt idx="91">
                  <c:v>28.6</c:v>
                </c:pt>
                <c:pt idx="92">
                  <c:v>217.7</c:v>
                </c:pt>
                <c:pt idx="93">
                  <c:v>250.9</c:v>
                </c:pt>
                <c:pt idx="94">
                  <c:v>107.4</c:v>
                </c:pt>
                <c:pt idx="95">
                  <c:v>163.30000000000001</c:v>
                </c:pt>
                <c:pt idx="96">
                  <c:v>197.6</c:v>
                </c:pt>
                <c:pt idx="97">
                  <c:v>184.9</c:v>
                </c:pt>
                <c:pt idx="98">
                  <c:v>289.7</c:v>
                </c:pt>
                <c:pt idx="99">
                  <c:v>135.19999999999999</c:v>
                </c:pt>
                <c:pt idx="100">
                  <c:v>222.4</c:v>
                </c:pt>
                <c:pt idx="101">
                  <c:v>296.39999999999998</c:v>
                </c:pt>
                <c:pt idx="102">
                  <c:v>280.2</c:v>
                </c:pt>
                <c:pt idx="103">
                  <c:v>187.9</c:v>
                </c:pt>
                <c:pt idx="104">
                  <c:v>238.2</c:v>
                </c:pt>
                <c:pt idx="105">
                  <c:v>137.9</c:v>
                </c:pt>
                <c:pt idx="106">
                  <c:v>25</c:v>
                </c:pt>
                <c:pt idx="107">
                  <c:v>90.4</c:v>
                </c:pt>
                <c:pt idx="108">
                  <c:v>13.1</c:v>
                </c:pt>
                <c:pt idx="109">
                  <c:v>255.4</c:v>
                </c:pt>
                <c:pt idx="110">
                  <c:v>225.8</c:v>
                </c:pt>
                <c:pt idx="111">
                  <c:v>241.7</c:v>
                </c:pt>
                <c:pt idx="112">
                  <c:v>175.7</c:v>
                </c:pt>
                <c:pt idx="113">
                  <c:v>209.6</c:v>
                </c:pt>
                <c:pt idx="114">
                  <c:v>78.2</c:v>
                </c:pt>
                <c:pt idx="115">
                  <c:v>75.099999999999994</c:v>
                </c:pt>
                <c:pt idx="116">
                  <c:v>139.19999999999999</c:v>
                </c:pt>
                <c:pt idx="117">
                  <c:v>76.400000000000006</c:v>
                </c:pt>
                <c:pt idx="118">
                  <c:v>125.7</c:v>
                </c:pt>
                <c:pt idx="119">
                  <c:v>19.399999999999999</c:v>
                </c:pt>
                <c:pt idx="120">
                  <c:v>141.30000000000001</c:v>
                </c:pt>
                <c:pt idx="121">
                  <c:v>18.8</c:v>
                </c:pt>
                <c:pt idx="122">
                  <c:v>224</c:v>
                </c:pt>
                <c:pt idx="123">
                  <c:v>123.1</c:v>
                </c:pt>
                <c:pt idx="124">
                  <c:v>229.5</c:v>
                </c:pt>
                <c:pt idx="125">
                  <c:v>87.2</c:v>
                </c:pt>
                <c:pt idx="126">
                  <c:v>7.8</c:v>
                </c:pt>
                <c:pt idx="127">
                  <c:v>80.2</c:v>
                </c:pt>
                <c:pt idx="128">
                  <c:v>220.3</c:v>
                </c:pt>
                <c:pt idx="129">
                  <c:v>59.6</c:v>
                </c:pt>
                <c:pt idx="130">
                  <c:v>0.7</c:v>
                </c:pt>
                <c:pt idx="131">
                  <c:v>265.2</c:v>
                </c:pt>
                <c:pt idx="132">
                  <c:v>8.4</c:v>
                </c:pt>
                <c:pt idx="133">
                  <c:v>219.8</c:v>
                </c:pt>
                <c:pt idx="134">
                  <c:v>36.9</c:v>
                </c:pt>
                <c:pt idx="135">
                  <c:v>48.3</c:v>
                </c:pt>
                <c:pt idx="136">
                  <c:v>25.6</c:v>
                </c:pt>
                <c:pt idx="137">
                  <c:v>273.7</c:v>
                </c:pt>
                <c:pt idx="138">
                  <c:v>43</c:v>
                </c:pt>
                <c:pt idx="139">
                  <c:v>184.9</c:v>
                </c:pt>
                <c:pt idx="140">
                  <c:v>73.400000000000006</c:v>
                </c:pt>
                <c:pt idx="141">
                  <c:v>193.7</c:v>
                </c:pt>
                <c:pt idx="142">
                  <c:v>220.5</c:v>
                </c:pt>
                <c:pt idx="143">
                  <c:v>104.6</c:v>
                </c:pt>
                <c:pt idx="144">
                  <c:v>96.2</c:v>
                </c:pt>
                <c:pt idx="145">
                  <c:v>140.30000000000001</c:v>
                </c:pt>
                <c:pt idx="146">
                  <c:v>240.1</c:v>
                </c:pt>
                <c:pt idx="147">
                  <c:v>243.2</c:v>
                </c:pt>
                <c:pt idx="148">
                  <c:v>38</c:v>
                </c:pt>
                <c:pt idx="149">
                  <c:v>44.7</c:v>
                </c:pt>
                <c:pt idx="150">
                  <c:v>280.7</c:v>
                </c:pt>
                <c:pt idx="151">
                  <c:v>121</c:v>
                </c:pt>
                <c:pt idx="152">
                  <c:v>197.6</c:v>
                </c:pt>
                <c:pt idx="153">
                  <c:v>171.3</c:v>
                </c:pt>
                <c:pt idx="154">
                  <c:v>187.8</c:v>
                </c:pt>
                <c:pt idx="155">
                  <c:v>4.0999999999999996</c:v>
                </c:pt>
                <c:pt idx="156">
                  <c:v>93.9</c:v>
                </c:pt>
                <c:pt idx="157">
                  <c:v>149.80000000000001</c:v>
                </c:pt>
                <c:pt idx="158">
                  <c:v>11.7</c:v>
                </c:pt>
                <c:pt idx="159">
                  <c:v>131.69999999999999</c:v>
                </c:pt>
                <c:pt idx="160">
                  <c:v>172.5</c:v>
                </c:pt>
                <c:pt idx="161">
                  <c:v>85.7</c:v>
                </c:pt>
                <c:pt idx="162">
                  <c:v>188.4</c:v>
                </c:pt>
                <c:pt idx="163">
                  <c:v>163.5</c:v>
                </c:pt>
                <c:pt idx="164">
                  <c:v>117.2</c:v>
                </c:pt>
                <c:pt idx="165">
                  <c:v>234.5</c:v>
                </c:pt>
                <c:pt idx="166">
                  <c:v>17.899999999999999</c:v>
                </c:pt>
                <c:pt idx="167">
                  <c:v>206.8</c:v>
                </c:pt>
                <c:pt idx="168">
                  <c:v>215.4</c:v>
                </c:pt>
                <c:pt idx="169">
                  <c:v>284.3</c:v>
                </c:pt>
                <c:pt idx="170">
                  <c:v>50</c:v>
                </c:pt>
                <c:pt idx="171">
                  <c:v>164.5</c:v>
                </c:pt>
                <c:pt idx="172">
                  <c:v>19.600000000000001</c:v>
                </c:pt>
                <c:pt idx="173">
                  <c:v>168.4</c:v>
                </c:pt>
                <c:pt idx="174">
                  <c:v>222.4</c:v>
                </c:pt>
                <c:pt idx="175">
                  <c:v>276.89999999999998</c:v>
                </c:pt>
                <c:pt idx="176">
                  <c:v>248.4</c:v>
                </c:pt>
                <c:pt idx="177">
                  <c:v>170.2</c:v>
                </c:pt>
                <c:pt idx="178">
                  <c:v>276.7</c:v>
                </c:pt>
                <c:pt idx="179">
                  <c:v>165.6</c:v>
                </c:pt>
                <c:pt idx="180">
                  <c:v>156.6</c:v>
                </c:pt>
                <c:pt idx="181">
                  <c:v>218.5</c:v>
                </c:pt>
                <c:pt idx="182">
                  <c:v>56.2</c:v>
                </c:pt>
                <c:pt idx="183">
                  <c:v>287.60000000000002</c:v>
                </c:pt>
                <c:pt idx="184">
                  <c:v>253.8</c:v>
                </c:pt>
                <c:pt idx="185">
                  <c:v>205</c:v>
                </c:pt>
                <c:pt idx="186">
                  <c:v>139.5</c:v>
                </c:pt>
                <c:pt idx="187">
                  <c:v>191.1</c:v>
                </c:pt>
                <c:pt idx="188">
                  <c:v>286</c:v>
                </c:pt>
                <c:pt idx="189">
                  <c:v>18.7</c:v>
                </c:pt>
                <c:pt idx="190">
                  <c:v>39.5</c:v>
                </c:pt>
                <c:pt idx="191">
                  <c:v>75.5</c:v>
                </c:pt>
                <c:pt idx="192">
                  <c:v>17.2</c:v>
                </c:pt>
                <c:pt idx="193">
                  <c:v>166.8</c:v>
                </c:pt>
                <c:pt idx="194">
                  <c:v>149.69999999999999</c:v>
                </c:pt>
                <c:pt idx="195">
                  <c:v>38.200000000000003</c:v>
                </c:pt>
                <c:pt idx="196">
                  <c:v>94.2</c:v>
                </c:pt>
                <c:pt idx="197">
                  <c:v>177</c:v>
                </c:pt>
                <c:pt idx="198">
                  <c:v>283.60000000000002</c:v>
                </c:pt>
                <c:pt idx="199">
                  <c:v>232.1</c:v>
                </c:pt>
              </c:numCache>
            </c:numRef>
          </c:xVal>
          <c:yVal>
            <c:numRef>
              <c:f>Advertising!$G$29:$G$228</c:f>
              <c:numCache>
                <c:formatCode>General</c:formatCode>
                <c:ptCount val="200"/>
                <c:pt idx="0">
                  <c:v>20.523974409715162</c:v>
                </c:pt>
                <c:pt idx="1">
                  <c:v>12.337854820894361</c:v>
                </c:pt>
                <c:pt idx="2">
                  <c:v>12.307670779994229</c:v>
                </c:pt>
                <c:pt idx="3">
                  <c:v>17.597829511689124</c:v>
                </c:pt>
                <c:pt idx="4">
                  <c:v>13.18867185683129</c:v>
                </c:pt>
                <c:pt idx="5">
                  <c:v>12.478347634035847</c:v>
                </c:pt>
                <c:pt idx="6">
                  <c:v>11.729759951563686</c:v>
                </c:pt>
                <c:pt idx="7">
                  <c:v>12.122953165502285</c:v>
                </c:pt>
                <c:pt idx="8">
                  <c:v>3.7273408628615892</c:v>
                </c:pt>
                <c:pt idx="9">
                  <c:v>12.550848722934685</c:v>
                </c:pt>
                <c:pt idx="10">
                  <c:v>7.0322992005588549</c:v>
                </c:pt>
                <c:pt idx="11">
                  <c:v>17.285129182600272</c:v>
                </c:pt>
                <c:pt idx="12">
                  <c:v>10.577120733627664</c:v>
                </c:pt>
                <c:pt idx="13">
                  <c:v>8.8263004800332023</c:v>
                </c:pt>
                <c:pt idx="14">
                  <c:v>18.43436638356107</c:v>
                </c:pt>
                <c:pt idx="15">
                  <c:v>20.819299516495455</c:v>
                </c:pt>
                <c:pt idx="16">
                  <c:v>12.823656743699356</c:v>
                </c:pt>
                <c:pt idx="17">
                  <c:v>23.224957158799004</c:v>
                </c:pt>
                <c:pt idx="18">
                  <c:v>9.9516820591188022</c:v>
                </c:pt>
                <c:pt idx="19">
                  <c:v>14.166072932273263</c:v>
                </c:pt>
                <c:pt idx="20">
                  <c:v>18.100767277084273</c:v>
                </c:pt>
                <c:pt idx="21">
                  <c:v>14.740538200355449</c:v>
                </c:pt>
                <c:pt idx="22">
                  <c:v>6.4891503035632914</c:v>
                </c:pt>
                <c:pt idx="23">
                  <c:v>16.545932895131454</c:v>
                </c:pt>
                <c:pt idx="24">
                  <c:v>8.1465188718227441</c:v>
                </c:pt>
                <c:pt idx="25">
                  <c:v>15.610038604568864</c:v>
                </c:pt>
                <c:pt idx="26">
                  <c:v>14.989514288403914</c:v>
                </c:pt>
                <c:pt idx="27">
                  <c:v>17.051673435161675</c:v>
                </c:pt>
                <c:pt idx="28">
                  <c:v>19.410538026572961</c:v>
                </c:pt>
                <c:pt idx="29">
                  <c:v>9.1440238931687237</c:v>
                </c:pt>
                <c:pt idx="30">
                  <c:v>21.633933802695569</c:v>
                </c:pt>
                <c:pt idx="31">
                  <c:v>11.346092904310975</c:v>
                </c:pt>
                <c:pt idx="32">
                  <c:v>7.6388831418270788</c:v>
                </c:pt>
                <c:pt idx="33">
                  <c:v>18.864268292864352</c:v>
                </c:pt>
                <c:pt idx="34">
                  <c:v>7.5748305147121249</c:v>
                </c:pt>
                <c:pt idx="35">
                  <c:v>17.006826181847078</c:v>
                </c:pt>
                <c:pt idx="36">
                  <c:v>23.405900517309995</c:v>
                </c:pt>
                <c:pt idx="37">
                  <c:v>15.623477788695743</c:v>
                </c:pt>
                <c:pt idx="38">
                  <c:v>9.9086810345121901</c:v>
                </c:pt>
                <c:pt idx="39">
                  <c:v>20.447610393747123</c:v>
                </c:pt>
                <c:pt idx="40">
                  <c:v>16.37766467131113</c:v>
                </c:pt>
                <c:pt idx="41">
                  <c:v>17.295983199388978</c:v>
                </c:pt>
                <c:pt idx="42">
                  <c:v>21.595803256321947</c:v>
                </c:pt>
                <c:pt idx="43">
                  <c:v>13.963856839972715</c:v>
                </c:pt>
                <c:pt idx="44">
                  <c:v>8.8878799564485256</c:v>
                </c:pt>
                <c:pt idx="45">
                  <c:v>15.161523138521126</c:v>
                </c:pt>
                <c:pt idx="46">
                  <c:v>8.8733867326823983</c:v>
                </c:pt>
                <c:pt idx="47">
                  <c:v>21.722629895028959</c:v>
                </c:pt>
                <c:pt idx="48">
                  <c:v>16.263620181413803</c:v>
                </c:pt>
                <c:pt idx="49">
                  <c:v>8.1681656044053774</c:v>
                </c:pt>
                <c:pt idx="50">
                  <c:v>12.631211324624605</c:v>
                </c:pt>
                <c:pt idx="51">
                  <c:v>9.3398129606431795</c:v>
                </c:pt>
                <c:pt idx="52">
                  <c:v>20.662975627014507</c:v>
                </c:pt>
                <c:pt idx="53">
                  <c:v>19.944699569642697</c:v>
                </c:pt>
                <c:pt idx="54">
                  <c:v>20.374430078461266</c:v>
                </c:pt>
                <c:pt idx="55">
                  <c:v>21.292610603748713</c:v>
                </c:pt>
                <c:pt idx="56">
                  <c:v>8.5277125447268425</c:v>
                </c:pt>
                <c:pt idx="57">
                  <c:v>12.774588020808983</c:v>
                </c:pt>
                <c:pt idx="58">
                  <c:v>21.898051982898803</c:v>
                </c:pt>
                <c:pt idx="59">
                  <c:v>18.13348698070368</c:v>
                </c:pt>
                <c:pt idx="60">
                  <c:v>5.7421555840506038</c:v>
                </c:pt>
                <c:pt idx="61">
                  <c:v>22.890672079938675</c:v>
                </c:pt>
                <c:pt idx="62">
                  <c:v>16.78426072910862</c:v>
                </c:pt>
                <c:pt idx="63">
                  <c:v>13.210692016950794</c:v>
                </c:pt>
                <c:pt idx="64">
                  <c:v>16.977735563833615</c:v>
                </c:pt>
                <c:pt idx="65">
                  <c:v>7.8490453194829195</c:v>
                </c:pt>
                <c:pt idx="66">
                  <c:v>9.0160316327988195</c:v>
                </c:pt>
                <c:pt idx="67">
                  <c:v>12.037007297677002</c:v>
                </c:pt>
                <c:pt idx="68">
                  <c:v>18.976579242354177</c:v>
                </c:pt>
                <c:pt idx="69">
                  <c:v>21.108912436143427</c:v>
                </c:pt>
                <c:pt idx="70">
                  <c:v>17.779497816582293</c:v>
                </c:pt>
                <c:pt idx="71">
                  <c:v>10.626938152945893</c:v>
                </c:pt>
                <c:pt idx="72">
                  <c:v>10.366848810245022</c:v>
                </c:pt>
                <c:pt idx="73">
                  <c:v>9.9029820555921209</c:v>
                </c:pt>
                <c:pt idx="74">
                  <c:v>17.329311966972643</c:v>
                </c:pt>
                <c:pt idx="75">
                  <c:v>11.858321738983788</c:v>
                </c:pt>
                <c:pt idx="76">
                  <c:v>4.4775890405727177</c:v>
                </c:pt>
                <c:pt idx="77">
                  <c:v>13.811902227800482</c:v>
                </c:pt>
                <c:pt idx="78">
                  <c:v>8.8133135261735962</c:v>
                </c:pt>
                <c:pt idx="79">
                  <c:v>9.6753032832745074</c:v>
                </c:pt>
                <c:pt idx="80">
                  <c:v>11.445923639120625</c:v>
                </c:pt>
                <c:pt idx="81">
                  <c:v>14.647940925761016</c:v>
                </c:pt>
                <c:pt idx="82">
                  <c:v>10.178407991809921</c:v>
                </c:pt>
                <c:pt idx="83">
                  <c:v>14.421842119156549</c:v>
                </c:pt>
                <c:pt idx="84">
                  <c:v>20.781364636833885</c:v>
                </c:pt>
                <c:pt idx="85">
                  <c:v>15.181407889846495</c:v>
                </c:pt>
                <c:pt idx="86">
                  <c:v>11.59870739427725</c:v>
                </c:pt>
                <c:pt idx="87">
                  <c:v>15.593784747966524</c:v>
                </c:pt>
                <c:pt idx="88">
                  <c:v>11.711271005267474</c:v>
                </c:pt>
                <c:pt idx="89">
                  <c:v>16.922255106768954</c:v>
                </c:pt>
                <c:pt idx="90">
                  <c:v>9.9992296517234802</c:v>
                </c:pt>
                <c:pt idx="91">
                  <c:v>4.4963159844593772</c:v>
                </c:pt>
                <c:pt idx="92">
                  <c:v>19.156396162353211</c:v>
                </c:pt>
                <c:pt idx="93">
                  <c:v>21.22757378476209</c:v>
                </c:pt>
                <c:pt idx="94">
                  <c:v>10.482123854060985</c:v>
                </c:pt>
                <c:pt idx="95">
                  <c:v>16.3149211249941</c:v>
                </c:pt>
                <c:pt idx="96">
                  <c:v>12.63571716170908</c:v>
                </c:pt>
                <c:pt idx="97">
                  <c:v>15.337077822510238</c:v>
                </c:pt>
                <c:pt idx="98">
                  <c:v>24.118607229753348</c:v>
                </c:pt>
                <c:pt idx="99">
                  <c:v>16.940350209868626</c:v>
                </c:pt>
                <c:pt idx="100">
                  <c:v>13.875958437972796</c:v>
                </c:pt>
                <c:pt idx="101">
                  <c:v>23.242486848584214</c:v>
                </c:pt>
                <c:pt idx="102">
                  <c:v>17.644093845826685</c:v>
                </c:pt>
                <c:pt idx="103">
                  <c:v>14.762211416061408</c:v>
                </c:pt>
                <c:pt idx="104">
                  <c:v>20.301108784104397</c:v>
                </c:pt>
                <c:pt idx="105">
                  <c:v>17.936414673257321</c:v>
                </c:pt>
                <c:pt idx="106">
                  <c:v>6.1260221485830586</c:v>
                </c:pt>
                <c:pt idx="107">
                  <c:v>7.108502485117369</c:v>
                </c:pt>
                <c:pt idx="108">
                  <c:v>3.5872584098050151</c:v>
                </c:pt>
                <c:pt idx="109">
                  <c:v>19.692931062134029</c:v>
                </c:pt>
                <c:pt idx="110">
                  <c:v>14.759874095117553</c:v>
                </c:pt>
                <c:pt idx="111">
                  <c:v>21.14027498033532</c:v>
                </c:pt>
                <c:pt idx="112">
                  <c:v>13.880609853211171</c:v>
                </c:pt>
                <c:pt idx="113">
                  <c:v>16.403776229871259</c:v>
                </c:pt>
                <c:pt idx="114">
                  <c:v>15.305095925878035</c:v>
                </c:pt>
                <c:pt idx="115">
                  <c:v>12.919688951958426</c:v>
                </c:pt>
                <c:pt idx="116">
                  <c:v>11.978747436893686</c:v>
                </c:pt>
                <c:pt idx="117">
                  <c:v>6.5707773987577056</c:v>
                </c:pt>
                <c:pt idx="118">
                  <c:v>15.566093478520511</c:v>
                </c:pt>
                <c:pt idx="119">
                  <c:v>6.8200676671381784</c:v>
                </c:pt>
                <c:pt idx="120">
                  <c:v>14.410106047152565</c:v>
                </c:pt>
                <c:pt idx="121">
                  <c:v>7.8380764218051215</c:v>
                </c:pt>
                <c:pt idx="122">
                  <c:v>13.626457100609532</c:v>
                </c:pt>
                <c:pt idx="123">
                  <c:v>15.08279089666202</c:v>
                </c:pt>
                <c:pt idx="124">
                  <c:v>19.454413064179416</c:v>
                </c:pt>
                <c:pt idx="125">
                  <c:v>9.1273495830047597</c:v>
                </c:pt>
                <c:pt idx="126">
                  <c:v>10.577174114180366</c:v>
                </c:pt>
                <c:pt idx="127">
                  <c:v>6.59966899899152</c:v>
                </c:pt>
                <c:pt idx="128">
                  <c:v>22.25549161453959</c:v>
                </c:pt>
                <c:pt idx="129">
                  <c:v>7.8841064914888364</c:v>
                </c:pt>
                <c:pt idx="130">
                  <c:v>10.427687101769544</c:v>
                </c:pt>
                <c:pt idx="131">
                  <c:v>15.577798192467164</c:v>
                </c:pt>
                <c:pt idx="132">
                  <c:v>8.4491501160707134</c:v>
                </c:pt>
                <c:pt idx="133">
                  <c:v>19.266923071099967</c:v>
                </c:pt>
                <c:pt idx="134">
                  <c:v>11.836803896219831</c:v>
                </c:pt>
                <c:pt idx="135">
                  <c:v>14.001413849249673</c:v>
                </c:pt>
                <c:pt idx="136">
                  <c:v>11.453486267632533</c:v>
                </c:pt>
                <c:pt idx="137">
                  <c:v>20.851251984901999</c:v>
                </c:pt>
                <c:pt idx="138">
                  <c:v>9.7684279548522408</c:v>
                </c:pt>
                <c:pt idx="139">
                  <c:v>19.675476318699388</c:v>
                </c:pt>
                <c:pt idx="140">
                  <c:v>9.489640973247127</c:v>
                </c:pt>
                <c:pt idx="141">
                  <c:v>18.39902931906315</c:v>
                </c:pt>
                <c:pt idx="142">
                  <c:v>19.249869267749116</c:v>
                </c:pt>
                <c:pt idx="143">
                  <c:v>8.7648026198665843</c:v>
                </c:pt>
                <c:pt idx="144">
                  <c:v>10.09133403330576</c:v>
                </c:pt>
                <c:pt idx="145">
                  <c:v>9.708538721613996</c:v>
                </c:pt>
                <c:pt idx="146">
                  <c:v>15.29422367733372</c:v>
                </c:pt>
                <c:pt idx="147">
                  <c:v>23.260861031422419</c:v>
                </c:pt>
                <c:pt idx="148">
                  <c:v>12.263359411362689</c:v>
                </c:pt>
                <c:pt idx="149">
                  <c:v>9.8272711011303482</c:v>
                </c:pt>
                <c:pt idx="150">
                  <c:v>18.367205341380927</c:v>
                </c:pt>
                <c:pt idx="151">
                  <c:v>10.009537700506844</c:v>
                </c:pt>
                <c:pt idx="152">
                  <c:v>16.360000304436973</c:v>
                </c:pt>
                <c:pt idx="153">
                  <c:v>18.223901319920376</c:v>
                </c:pt>
                <c:pt idx="154">
                  <c:v>15.501616959053665</c:v>
                </c:pt>
                <c:pt idx="155">
                  <c:v>5.3075589017356029</c:v>
                </c:pt>
                <c:pt idx="156">
                  <c:v>15.384851915018084</c:v>
                </c:pt>
                <c:pt idx="157">
                  <c:v>10.014311199739465</c:v>
                </c:pt>
                <c:pt idx="158">
                  <c:v>10.38419866004938</c:v>
                </c:pt>
                <c:pt idx="159">
                  <c:v>12.399148227960556</c:v>
                </c:pt>
                <c:pt idx="160">
                  <c:v>14.213832980330974</c:v>
                </c:pt>
                <c:pt idx="161">
                  <c:v>13.559145683664621</c:v>
                </c:pt>
                <c:pt idx="162">
                  <c:v>14.946782057588425</c:v>
                </c:pt>
                <c:pt idx="163">
                  <c:v>17.351636075492511</c:v>
                </c:pt>
                <c:pt idx="164">
                  <c:v>11.068294603100242</c:v>
                </c:pt>
                <c:pt idx="165">
                  <c:v>14.223721376270053</c:v>
                </c:pt>
                <c:pt idx="166">
                  <c:v>10.824395309518028</c:v>
                </c:pt>
                <c:pt idx="167">
                  <c:v>13.363246772586256</c:v>
                </c:pt>
                <c:pt idx="168">
                  <c:v>17.186142800575041</c:v>
                </c:pt>
                <c:pt idx="169">
                  <c:v>17.941556296290063</c:v>
                </c:pt>
                <c:pt idx="170">
                  <c:v>7.3949799664989024</c:v>
                </c:pt>
                <c:pt idx="171">
                  <c:v>14.358273730249413</c:v>
                </c:pt>
                <c:pt idx="172">
                  <c:v>7.6076923787190207</c:v>
                </c:pt>
                <c:pt idx="173">
                  <c:v>11.970938873323922</c:v>
                </c:pt>
                <c:pt idx="174">
                  <c:v>13.744357417405292</c:v>
                </c:pt>
                <c:pt idx="175">
                  <c:v>24.786870314183684</c:v>
                </c:pt>
                <c:pt idx="176">
                  <c:v>19.979372702747675</c:v>
                </c:pt>
                <c:pt idx="177">
                  <c:v>12.16204640283491</c:v>
                </c:pt>
                <c:pt idx="178">
                  <c:v>16.010997220773103</c:v>
                </c:pt>
                <c:pt idx="179">
                  <c:v>12.384554948507715</c:v>
                </c:pt>
                <c:pt idx="180">
                  <c:v>10.587199699509453</c:v>
                </c:pt>
                <c:pt idx="181">
                  <c:v>13.928099183458238</c:v>
                </c:pt>
                <c:pt idx="182">
                  <c:v>6.5546699971249796</c:v>
                </c:pt>
                <c:pt idx="183">
                  <c:v>24.133100129464747</c:v>
                </c:pt>
                <c:pt idx="184">
                  <c:v>18.538520955122785</c:v>
                </c:pt>
                <c:pt idx="185">
                  <c:v>20.803010587194397</c:v>
                </c:pt>
                <c:pt idx="186">
                  <c:v>9.6913731310857365</c:v>
                </c:pt>
                <c:pt idx="187">
                  <c:v>17.076442228165288</c:v>
                </c:pt>
                <c:pt idx="188">
                  <c:v>18.644306480608996</c:v>
                </c:pt>
                <c:pt idx="189">
                  <c:v>6.051624106991679</c:v>
                </c:pt>
                <c:pt idx="190">
                  <c:v>12.489159100639457</c:v>
                </c:pt>
                <c:pt idx="191">
                  <c:v>8.4240193258036822</c:v>
                </c:pt>
                <c:pt idx="192">
                  <c:v>4.4662295605146429</c:v>
                </c:pt>
                <c:pt idx="193">
                  <c:v>18.486957967031397</c:v>
                </c:pt>
                <c:pt idx="194">
                  <c:v>16.495300438165646</c:v>
                </c:pt>
                <c:pt idx="195">
                  <c:v>5.3703424844667875</c:v>
                </c:pt>
                <c:pt idx="196">
                  <c:v>8.1653123606130116</c:v>
                </c:pt>
                <c:pt idx="197">
                  <c:v>12.785920816932238</c:v>
                </c:pt>
                <c:pt idx="198">
                  <c:v>23.767321491762818</c:v>
                </c:pt>
                <c:pt idx="199">
                  <c:v>15.173195535684206</c:v>
                </c:pt>
              </c:numCache>
            </c:numRef>
          </c:yVal>
          <c:smooth val="0"/>
          <c:extLst>
            <c:ext xmlns:c16="http://schemas.microsoft.com/office/drawing/2014/chart" uri="{C3380CC4-5D6E-409C-BE32-E72D297353CC}">
              <c16:uniqueId val="{00000002-6AD9-4026-8DED-E4961DAD0510}"/>
            </c:ext>
          </c:extLst>
        </c:ser>
        <c:dLbls>
          <c:showLegendKey val="0"/>
          <c:showVal val="0"/>
          <c:showCatName val="0"/>
          <c:showSerName val="0"/>
          <c:showPercent val="0"/>
          <c:showBubbleSize val="0"/>
        </c:dLbls>
        <c:axId val="176878256"/>
        <c:axId val="176873456"/>
      </c:scatterChart>
      <c:valAx>
        <c:axId val="176878256"/>
        <c:scaling>
          <c:orientation val="minMax"/>
        </c:scaling>
        <c:delete val="0"/>
        <c:axPos val="b"/>
        <c:title>
          <c:tx>
            <c:rich>
              <a:bodyPr/>
              <a:lstStyle/>
              <a:p>
                <a:pPr>
                  <a:defRPr/>
                </a:pPr>
                <a:r>
                  <a:rPr lang="en-US"/>
                  <a:t>TV</a:t>
                </a:r>
              </a:p>
            </c:rich>
          </c:tx>
          <c:overlay val="0"/>
        </c:title>
        <c:numFmt formatCode="General" sourceLinked="1"/>
        <c:majorTickMark val="out"/>
        <c:minorTickMark val="none"/>
        <c:tickLblPos val="nextTo"/>
        <c:crossAx val="176873456"/>
        <c:crosses val="autoZero"/>
        <c:crossBetween val="midCat"/>
      </c:valAx>
      <c:valAx>
        <c:axId val="176873456"/>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7687825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radio Line Fit  Plot</a:t>
            </a:r>
          </a:p>
        </c:rich>
      </c:tx>
      <c:overlay val="0"/>
    </c:title>
    <c:autoTitleDeleted val="0"/>
    <c:plotArea>
      <c:layout/>
      <c:scatterChart>
        <c:scatterStyle val="lineMarker"/>
        <c:varyColors val="0"/>
        <c:ser>
          <c:idx val="0"/>
          <c:order val="0"/>
          <c:tx>
            <c:v>sales</c:v>
          </c:tx>
          <c:spPr>
            <a:ln w="19050">
              <a:noFill/>
            </a:ln>
          </c:spPr>
          <c:xVal>
            <c:numRef>
              <c:f>Advertising!$B$2:$B$201</c:f>
              <c:numCache>
                <c:formatCode>General</c:formatCode>
                <c:ptCount val="200"/>
                <c:pt idx="0">
                  <c:v>37.799999999999997</c:v>
                </c:pt>
                <c:pt idx="1">
                  <c:v>39.299999999999997</c:v>
                </c:pt>
                <c:pt idx="2">
                  <c:v>45.9</c:v>
                </c:pt>
                <c:pt idx="3">
                  <c:v>41.3</c:v>
                </c:pt>
                <c:pt idx="4">
                  <c:v>10.8</c:v>
                </c:pt>
                <c:pt idx="5">
                  <c:v>48.9</c:v>
                </c:pt>
                <c:pt idx="6">
                  <c:v>32.799999999999997</c:v>
                </c:pt>
                <c:pt idx="7">
                  <c:v>19.600000000000001</c:v>
                </c:pt>
                <c:pt idx="8">
                  <c:v>2.1</c:v>
                </c:pt>
                <c:pt idx="9">
                  <c:v>2.6</c:v>
                </c:pt>
                <c:pt idx="10">
                  <c:v>5.8</c:v>
                </c:pt>
                <c:pt idx="11">
                  <c:v>24</c:v>
                </c:pt>
                <c:pt idx="12">
                  <c:v>35.1</c:v>
                </c:pt>
                <c:pt idx="13">
                  <c:v>7.6</c:v>
                </c:pt>
                <c:pt idx="14">
                  <c:v>32.9</c:v>
                </c:pt>
                <c:pt idx="15">
                  <c:v>47.7</c:v>
                </c:pt>
                <c:pt idx="16">
                  <c:v>36.6</c:v>
                </c:pt>
                <c:pt idx="17">
                  <c:v>39.6</c:v>
                </c:pt>
                <c:pt idx="18">
                  <c:v>20.5</c:v>
                </c:pt>
                <c:pt idx="19">
                  <c:v>23.9</c:v>
                </c:pt>
                <c:pt idx="20">
                  <c:v>27.7</c:v>
                </c:pt>
                <c:pt idx="21">
                  <c:v>5.0999999999999996</c:v>
                </c:pt>
                <c:pt idx="22">
                  <c:v>15.9</c:v>
                </c:pt>
                <c:pt idx="23">
                  <c:v>16.899999999999999</c:v>
                </c:pt>
                <c:pt idx="24">
                  <c:v>12.6</c:v>
                </c:pt>
                <c:pt idx="25">
                  <c:v>3.5</c:v>
                </c:pt>
                <c:pt idx="26">
                  <c:v>29.3</c:v>
                </c:pt>
                <c:pt idx="27">
                  <c:v>16.7</c:v>
                </c:pt>
                <c:pt idx="28">
                  <c:v>27.1</c:v>
                </c:pt>
                <c:pt idx="29">
                  <c:v>16</c:v>
                </c:pt>
                <c:pt idx="30">
                  <c:v>28.3</c:v>
                </c:pt>
                <c:pt idx="31">
                  <c:v>17.399999999999999</c:v>
                </c:pt>
                <c:pt idx="32">
                  <c:v>1.5</c:v>
                </c:pt>
                <c:pt idx="33">
                  <c:v>20</c:v>
                </c:pt>
                <c:pt idx="34">
                  <c:v>1.4</c:v>
                </c:pt>
                <c:pt idx="35">
                  <c:v>4.0999999999999996</c:v>
                </c:pt>
                <c:pt idx="36">
                  <c:v>43.8</c:v>
                </c:pt>
                <c:pt idx="37">
                  <c:v>49.4</c:v>
                </c:pt>
                <c:pt idx="38">
                  <c:v>26.7</c:v>
                </c:pt>
                <c:pt idx="39">
                  <c:v>37.700000000000003</c:v>
                </c:pt>
                <c:pt idx="40">
                  <c:v>22.3</c:v>
                </c:pt>
                <c:pt idx="41">
                  <c:v>33.4</c:v>
                </c:pt>
                <c:pt idx="42">
                  <c:v>27.7</c:v>
                </c:pt>
                <c:pt idx="43">
                  <c:v>8.4</c:v>
                </c:pt>
                <c:pt idx="44">
                  <c:v>25.7</c:v>
                </c:pt>
                <c:pt idx="45">
                  <c:v>22.5</c:v>
                </c:pt>
                <c:pt idx="46">
                  <c:v>9.9</c:v>
                </c:pt>
                <c:pt idx="47">
                  <c:v>41.5</c:v>
                </c:pt>
                <c:pt idx="48">
                  <c:v>15.8</c:v>
                </c:pt>
                <c:pt idx="49">
                  <c:v>11.7</c:v>
                </c:pt>
                <c:pt idx="50">
                  <c:v>3.1</c:v>
                </c:pt>
                <c:pt idx="51">
                  <c:v>9.6</c:v>
                </c:pt>
                <c:pt idx="52">
                  <c:v>41.7</c:v>
                </c:pt>
                <c:pt idx="53">
                  <c:v>46.2</c:v>
                </c:pt>
                <c:pt idx="54">
                  <c:v>28.8</c:v>
                </c:pt>
                <c:pt idx="55">
                  <c:v>49.4</c:v>
                </c:pt>
                <c:pt idx="56">
                  <c:v>28.1</c:v>
                </c:pt>
                <c:pt idx="57">
                  <c:v>19.2</c:v>
                </c:pt>
                <c:pt idx="58">
                  <c:v>49.6</c:v>
                </c:pt>
                <c:pt idx="59">
                  <c:v>29.5</c:v>
                </c:pt>
                <c:pt idx="60">
                  <c:v>2</c:v>
                </c:pt>
                <c:pt idx="61">
                  <c:v>42.7</c:v>
                </c:pt>
                <c:pt idx="62">
                  <c:v>15.5</c:v>
                </c:pt>
                <c:pt idx="63">
                  <c:v>29.6</c:v>
                </c:pt>
                <c:pt idx="64">
                  <c:v>42.8</c:v>
                </c:pt>
                <c:pt idx="65">
                  <c:v>9.3000000000000007</c:v>
                </c:pt>
                <c:pt idx="66">
                  <c:v>24.6</c:v>
                </c:pt>
                <c:pt idx="67">
                  <c:v>14.5</c:v>
                </c:pt>
                <c:pt idx="68">
                  <c:v>27.5</c:v>
                </c:pt>
                <c:pt idx="69">
                  <c:v>43.9</c:v>
                </c:pt>
                <c:pt idx="70">
                  <c:v>30.6</c:v>
                </c:pt>
                <c:pt idx="71">
                  <c:v>14.3</c:v>
                </c:pt>
                <c:pt idx="72">
                  <c:v>33</c:v>
                </c:pt>
                <c:pt idx="73">
                  <c:v>5.7</c:v>
                </c:pt>
                <c:pt idx="74">
                  <c:v>24.6</c:v>
                </c:pt>
                <c:pt idx="75">
                  <c:v>43.7</c:v>
                </c:pt>
                <c:pt idx="76">
                  <c:v>1.6</c:v>
                </c:pt>
                <c:pt idx="77">
                  <c:v>28.5</c:v>
                </c:pt>
                <c:pt idx="78">
                  <c:v>29.9</c:v>
                </c:pt>
                <c:pt idx="79">
                  <c:v>7.7</c:v>
                </c:pt>
                <c:pt idx="80">
                  <c:v>26.7</c:v>
                </c:pt>
                <c:pt idx="81">
                  <c:v>4.0999999999999996</c:v>
                </c:pt>
                <c:pt idx="82">
                  <c:v>20.3</c:v>
                </c:pt>
                <c:pt idx="83">
                  <c:v>44.5</c:v>
                </c:pt>
                <c:pt idx="84">
                  <c:v>43</c:v>
                </c:pt>
                <c:pt idx="85">
                  <c:v>18.399999999999999</c:v>
                </c:pt>
                <c:pt idx="86">
                  <c:v>27.5</c:v>
                </c:pt>
                <c:pt idx="87">
                  <c:v>40.6</c:v>
                </c:pt>
                <c:pt idx="88">
                  <c:v>25.5</c:v>
                </c:pt>
                <c:pt idx="89">
                  <c:v>47.8</c:v>
                </c:pt>
                <c:pt idx="90">
                  <c:v>4.9000000000000004</c:v>
                </c:pt>
                <c:pt idx="91">
                  <c:v>1.5</c:v>
                </c:pt>
                <c:pt idx="92">
                  <c:v>33.5</c:v>
                </c:pt>
                <c:pt idx="93">
                  <c:v>36.5</c:v>
                </c:pt>
                <c:pt idx="94">
                  <c:v>14</c:v>
                </c:pt>
                <c:pt idx="95">
                  <c:v>31.6</c:v>
                </c:pt>
                <c:pt idx="96">
                  <c:v>3.5</c:v>
                </c:pt>
                <c:pt idx="97">
                  <c:v>21</c:v>
                </c:pt>
                <c:pt idx="98">
                  <c:v>42.3</c:v>
                </c:pt>
                <c:pt idx="99">
                  <c:v>41.7</c:v>
                </c:pt>
                <c:pt idx="100">
                  <c:v>4.3</c:v>
                </c:pt>
                <c:pt idx="101">
                  <c:v>36.299999999999997</c:v>
                </c:pt>
                <c:pt idx="102">
                  <c:v>10.1</c:v>
                </c:pt>
                <c:pt idx="103">
                  <c:v>17.2</c:v>
                </c:pt>
                <c:pt idx="104">
                  <c:v>34.299999999999997</c:v>
                </c:pt>
                <c:pt idx="105">
                  <c:v>46.4</c:v>
                </c:pt>
                <c:pt idx="106">
                  <c:v>11</c:v>
                </c:pt>
                <c:pt idx="107">
                  <c:v>0.3</c:v>
                </c:pt>
                <c:pt idx="108">
                  <c:v>0.4</c:v>
                </c:pt>
                <c:pt idx="109">
                  <c:v>26.9</c:v>
                </c:pt>
                <c:pt idx="110">
                  <c:v>8.1999999999999993</c:v>
                </c:pt>
                <c:pt idx="111">
                  <c:v>38</c:v>
                </c:pt>
                <c:pt idx="112">
                  <c:v>15.4</c:v>
                </c:pt>
                <c:pt idx="113">
                  <c:v>20.6</c:v>
                </c:pt>
                <c:pt idx="114">
                  <c:v>46.8</c:v>
                </c:pt>
                <c:pt idx="115">
                  <c:v>35</c:v>
                </c:pt>
                <c:pt idx="116">
                  <c:v>14.3</c:v>
                </c:pt>
                <c:pt idx="117">
                  <c:v>0.8</c:v>
                </c:pt>
                <c:pt idx="118">
                  <c:v>36.9</c:v>
                </c:pt>
                <c:pt idx="119">
                  <c:v>16</c:v>
                </c:pt>
                <c:pt idx="120">
                  <c:v>26.8</c:v>
                </c:pt>
                <c:pt idx="121">
                  <c:v>21.7</c:v>
                </c:pt>
                <c:pt idx="122">
                  <c:v>2.4</c:v>
                </c:pt>
                <c:pt idx="123">
                  <c:v>34.6</c:v>
                </c:pt>
                <c:pt idx="124">
                  <c:v>32.299999999999997</c:v>
                </c:pt>
                <c:pt idx="125">
                  <c:v>11.8</c:v>
                </c:pt>
                <c:pt idx="126">
                  <c:v>38.9</c:v>
                </c:pt>
                <c:pt idx="127">
                  <c:v>0</c:v>
                </c:pt>
                <c:pt idx="128">
                  <c:v>49</c:v>
                </c:pt>
                <c:pt idx="129">
                  <c:v>12</c:v>
                </c:pt>
                <c:pt idx="130">
                  <c:v>39.6</c:v>
                </c:pt>
                <c:pt idx="131">
                  <c:v>2.9</c:v>
                </c:pt>
                <c:pt idx="132">
                  <c:v>27.2</c:v>
                </c:pt>
                <c:pt idx="133">
                  <c:v>33.5</c:v>
                </c:pt>
                <c:pt idx="134">
                  <c:v>38.6</c:v>
                </c:pt>
                <c:pt idx="135">
                  <c:v>47</c:v>
                </c:pt>
                <c:pt idx="136">
                  <c:v>39</c:v>
                </c:pt>
                <c:pt idx="137">
                  <c:v>28.9</c:v>
                </c:pt>
                <c:pt idx="138">
                  <c:v>25.9</c:v>
                </c:pt>
                <c:pt idx="139">
                  <c:v>43.9</c:v>
                </c:pt>
                <c:pt idx="140">
                  <c:v>17</c:v>
                </c:pt>
                <c:pt idx="141">
                  <c:v>35.4</c:v>
                </c:pt>
                <c:pt idx="142">
                  <c:v>33.200000000000003</c:v>
                </c:pt>
                <c:pt idx="143">
                  <c:v>5.7</c:v>
                </c:pt>
                <c:pt idx="144">
                  <c:v>14.8</c:v>
                </c:pt>
                <c:pt idx="145">
                  <c:v>1.9</c:v>
                </c:pt>
                <c:pt idx="146">
                  <c:v>7.3</c:v>
                </c:pt>
                <c:pt idx="147">
                  <c:v>49</c:v>
                </c:pt>
                <c:pt idx="148">
                  <c:v>40.299999999999997</c:v>
                </c:pt>
                <c:pt idx="149">
                  <c:v>25.8</c:v>
                </c:pt>
                <c:pt idx="150">
                  <c:v>13.9</c:v>
                </c:pt>
                <c:pt idx="151">
                  <c:v>8.4</c:v>
                </c:pt>
                <c:pt idx="152">
                  <c:v>23.3</c:v>
                </c:pt>
                <c:pt idx="153">
                  <c:v>39.700000000000003</c:v>
                </c:pt>
                <c:pt idx="154">
                  <c:v>21.1</c:v>
                </c:pt>
                <c:pt idx="155">
                  <c:v>11.6</c:v>
                </c:pt>
                <c:pt idx="156">
                  <c:v>43.5</c:v>
                </c:pt>
                <c:pt idx="157">
                  <c:v>1.3</c:v>
                </c:pt>
                <c:pt idx="158">
                  <c:v>36.9</c:v>
                </c:pt>
                <c:pt idx="159">
                  <c:v>18.399999999999999</c:v>
                </c:pt>
                <c:pt idx="160">
                  <c:v>18.100000000000001</c:v>
                </c:pt>
                <c:pt idx="161">
                  <c:v>35.799999999999997</c:v>
                </c:pt>
                <c:pt idx="162">
                  <c:v>18.100000000000001</c:v>
                </c:pt>
                <c:pt idx="163">
                  <c:v>36.799999999999997</c:v>
                </c:pt>
                <c:pt idx="164">
                  <c:v>14.7</c:v>
                </c:pt>
                <c:pt idx="165">
                  <c:v>3.4</c:v>
                </c:pt>
                <c:pt idx="166">
                  <c:v>37.6</c:v>
                </c:pt>
                <c:pt idx="167">
                  <c:v>5.2</c:v>
                </c:pt>
                <c:pt idx="168">
                  <c:v>23.6</c:v>
                </c:pt>
                <c:pt idx="169">
                  <c:v>10.6</c:v>
                </c:pt>
                <c:pt idx="170">
                  <c:v>11.6</c:v>
                </c:pt>
                <c:pt idx="171">
                  <c:v>20.9</c:v>
                </c:pt>
                <c:pt idx="172">
                  <c:v>20.100000000000001</c:v>
                </c:pt>
                <c:pt idx="173">
                  <c:v>7.1</c:v>
                </c:pt>
                <c:pt idx="174">
                  <c:v>3.4</c:v>
                </c:pt>
                <c:pt idx="175">
                  <c:v>48.9</c:v>
                </c:pt>
                <c:pt idx="176">
                  <c:v>30.2</c:v>
                </c:pt>
                <c:pt idx="177">
                  <c:v>7.8</c:v>
                </c:pt>
                <c:pt idx="178">
                  <c:v>2.2999999999999998</c:v>
                </c:pt>
                <c:pt idx="179">
                  <c:v>10</c:v>
                </c:pt>
                <c:pt idx="180">
                  <c:v>2.6</c:v>
                </c:pt>
                <c:pt idx="181">
                  <c:v>5.4</c:v>
                </c:pt>
                <c:pt idx="182">
                  <c:v>5.7</c:v>
                </c:pt>
                <c:pt idx="183">
                  <c:v>43</c:v>
                </c:pt>
                <c:pt idx="184">
                  <c:v>21.3</c:v>
                </c:pt>
                <c:pt idx="185">
                  <c:v>45.1</c:v>
                </c:pt>
                <c:pt idx="186">
                  <c:v>2.1</c:v>
                </c:pt>
                <c:pt idx="187">
                  <c:v>28.7</c:v>
                </c:pt>
                <c:pt idx="188">
                  <c:v>13.9</c:v>
                </c:pt>
                <c:pt idx="189">
                  <c:v>12.1</c:v>
                </c:pt>
                <c:pt idx="190">
                  <c:v>41.1</c:v>
                </c:pt>
                <c:pt idx="191">
                  <c:v>10.8</c:v>
                </c:pt>
                <c:pt idx="192">
                  <c:v>4.0999999999999996</c:v>
                </c:pt>
                <c:pt idx="193">
                  <c:v>42</c:v>
                </c:pt>
                <c:pt idx="194">
                  <c:v>35.6</c:v>
                </c:pt>
                <c:pt idx="195">
                  <c:v>3.7</c:v>
                </c:pt>
                <c:pt idx="196">
                  <c:v>4.9000000000000004</c:v>
                </c:pt>
                <c:pt idx="197">
                  <c:v>9.3000000000000007</c:v>
                </c:pt>
                <c:pt idx="198">
                  <c:v>42</c:v>
                </c:pt>
                <c:pt idx="199">
                  <c:v>8.6</c:v>
                </c:pt>
              </c:numCache>
            </c:numRef>
          </c:xVal>
          <c:yVal>
            <c:numRef>
              <c:f>Advertising!$D$2:$D$201</c:f>
              <c:numCache>
                <c:formatCode>General</c:formatCode>
                <c:ptCount val="200"/>
                <c:pt idx="0">
                  <c:v>22.1</c:v>
                </c:pt>
                <c:pt idx="1">
                  <c:v>10.4</c:v>
                </c:pt>
                <c:pt idx="2">
                  <c:v>9.3000000000000007</c:v>
                </c:pt>
                <c:pt idx="3">
                  <c:v>18.5</c:v>
                </c:pt>
                <c:pt idx="4">
                  <c:v>12.9</c:v>
                </c:pt>
                <c:pt idx="5">
                  <c:v>7.2</c:v>
                </c:pt>
                <c:pt idx="6">
                  <c:v>11.8</c:v>
                </c:pt>
                <c:pt idx="7">
                  <c:v>13.2</c:v>
                </c:pt>
                <c:pt idx="8">
                  <c:v>4.8</c:v>
                </c:pt>
                <c:pt idx="9">
                  <c:v>10.6</c:v>
                </c:pt>
                <c:pt idx="10">
                  <c:v>8.6</c:v>
                </c:pt>
                <c:pt idx="11">
                  <c:v>17.399999999999999</c:v>
                </c:pt>
                <c:pt idx="12">
                  <c:v>9.1999999999999993</c:v>
                </c:pt>
                <c:pt idx="13">
                  <c:v>9.6999999999999993</c:v>
                </c:pt>
                <c:pt idx="14">
                  <c:v>19</c:v>
                </c:pt>
                <c:pt idx="15">
                  <c:v>22.4</c:v>
                </c:pt>
                <c:pt idx="16">
                  <c:v>12.5</c:v>
                </c:pt>
                <c:pt idx="17">
                  <c:v>24.4</c:v>
                </c:pt>
                <c:pt idx="18">
                  <c:v>11.3</c:v>
                </c:pt>
                <c:pt idx="19">
                  <c:v>14.6</c:v>
                </c:pt>
                <c:pt idx="20">
                  <c:v>18</c:v>
                </c:pt>
                <c:pt idx="21">
                  <c:v>12.5</c:v>
                </c:pt>
                <c:pt idx="22">
                  <c:v>5.6</c:v>
                </c:pt>
                <c:pt idx="23">
                  <c:v>15.5</c:v>
                </c:pt>
                <c:pt idx="24">
                  <c:v>9.6999999999999993</c:v>
                </c:pt>
                <c:pt idx="25">
                  <c:v>12</c:v>
                </c:pt>
                <c:pt idx="26">
                  <c:v>15</c:v>
                </c:pt>
                <c:pt idx="27">
                  <c:v>15.9</c:v>
                </c:pt>
                <c:pt idx="28">
                  <c:v>18.899999999999999</c:v>
                </c:pt>
                <c:pt idx="29">
                  <c:v>10.5</c:v>
                </c:pt>
                <c:pt idx="30">
                  <c:v>21.4</c:v>
                </c:pt>
                <c:pt idx="31">
                  <c:v>11.9</c:v>
                </c:pt>
                <c:pt idx="32">
                  <c:v>9.6</c:v>
                </c:pt>
                <c:pt idx="33">
                  <c:v>17.399999999999999</c:v>
                </c:pt>
                <c:pt idx="34">
                  <c:v>9.5</c:v>
                </c:pt>
                <c:pt idx="35">
                  <c:v>12.8</c:v>
                </c:pt>
                <c:pt idx="36">
                  <c:v>25.4</c:v>
                </c:pt>
                <c:pt idx="37">
                  <c:v>14.7</c:v>
                </c:pt>
                <c:pt idx="38">
                  <c:v>10.1</c:v>
                </c:pt>
                <c:pt idx="39">
                  <c:v>21.5</c:v>
                </c:pt>
                <c:pt idx="40">
                  <c:v>16.600000000000001</c:v>
                </c:pt>
                <c:pt idx="41">
                  <c:v>17.100000000000001</c:v>
                </c:pt>
                <c:pt idx="42">
                  <c:v>20.7</c:v>
                </c:pt>
                <c:pt idx="43">
                  <c:v>12.9</c:v>
                </c:pt>
                <c:pt idx="44">
                  <c:v>8.5</c:v>
                </c:pt>
                <c:pt idx="45">
                  <c:v>14.9</c:v>
                </c:pt>
                <c:pt idx="46">
                  <c:v>10.6</c:v>
                </c:pt>
                <c:pt idx="47">
                  <c:v>23.2</c:v>
                </c:pt>
                <c:pt idx="48">
                  <c:v>14.8</c:v>
                </c:pt>
                <c:pt idx="49">
                  <c:v>9.6999999999999993</c:v>
                </c:pt>
                <c:pt idx="50">
                  <c:v>11.4</c:v>
                </c:pt>
                <c:pt idx="51">
                  <c:v>10.7</c:v>
                </c:pt>
                <c:pt idx="52">
                  <c:v>22.6</c:v>
                </c:pt>
                <c:pt idx="53">
                  <c:v>21.2</c:v>
                </c:pt>
                <c:pt idx="54">
                  <c:v>20.2</c:v>
                </c:pt>
                <c:pt idx="55">
                  <c:v>23.7</c:v>
                </c:pt>
                <c:pt idx="56">
                  <c:v>5.5</c:v>
                </c:pt>
                <c:pt idx="57">
                  <c:v>13.2</c:v>
                </c:pt>
                <c:pt idx="58">
                  <c:v>23.8</c:v>
                </c:pt>
                <c:pt idx="59">
                  <c:v>18.399999999999999</c:v>
                </c:pt>
                <c:pt idx="60">
                  <c:v>8.1</c:v>
                </c:pt>
                <c:pt idx="61">
                  <c:v>24.2</c:v>
                </c:pt>
                <c:pt idx="62">
                  <c:v>15.7</c:v>
                </c:pt>
                <c:pt idx="63">
                  <c:v>14</c:v>
                </c:pt>
                <c:pt idx="64">
                  <c:v>18</c:v>
                </c:pt>
                <c:pt idx="65">
                  <c:v>9.3000000000000007</c:v>
                </c:pt>
                <c:pt idx="66">
                  <c:v>9.5</c:v>
                </c:pt>
                <c:pt idx="67">
                  <c:v>13.4</c:v>
                </c:pt>
                <c:pt idx="68">
                  <c:v>18.899999999999999</c:v>
                </c:pt>
                <c:pt idx="69">
                  <c:v>22.3</c:v>
                </c:pt>
                <c:pt idx="70">
                  <c:v>18.3</c:v>
                </c:pt>
                <c:pt idx="71">
                  <c:v>12.4</c:v>
                </c:pt>
                <c:pt idx="72">
                  <c:v>8.8000000000000007</c:v>
                </c:pt>
                <c:pt idx="73">
                  <c:v>11</c:v>
                </c:pt>
                <c:pt idx="74">
                  <c:v>17</c:v>
                </c:pt>
                <c:pt idx="75">
                  <c:v>8.6999999999999993</c:v>
                </c:pt>
                <c:pt idx="76">
                  <c:v>6.9</c:v>
                </c:pt>
                <c:pt idx="77">
                  <c:v>14.2</c:v>
                </c:pt>
                <c:pt idx="78">
                  <c:v>5.3</c:v>
                </c:pt>
                <c:pt idx="79">
                  <c:v>11</c:v>
                </c:pt>
                <c:pt idx="80">
                  <c:v>11.8</c:v>
                </c:pt>
                <c:pt idx="81">
                  <c:v>12.3</c:v>
                </c:pt>
                <c:pt idx="82">
                  <c:v>11.3</c:v>
                </c:pt>
                <c:pt idx="83">
                  <c:v>13.6</c:v>
                </c:pt>
                <c:pt idx="84">
                  <c:v>21.7</c:v>
                </c:pt>
                <c:pt idx="85">
                  <c:v>15.2</c:v>
                </c:pt>
                <c:pt idx="86">
                  <c:v>12</c:v>
                </c:pt>
                <c:pt idx="87">
                  <c:v>16</c:v>
                </c:pt>
                <c:pt idx="88">
                  <c:v>12.9</c:v>
                </c:pt>
                <c:pt idx="89">
                  <c:v>16.7</c:v>
                </c:pt>
                <c:pt idx="90">
                  <c:v>11.2</c:v>
                </c:pt>
                <c:pt idx="91">
                  <c:v>7.3</c:v>
                </c:pt>
                <c:pt idx="92">
                  <c:v>19.399999999999999</c:v>
                </c:pt>
                <c:pt idx="93">
                  <c:v>22.2</c:v>
                </c:pt>
                <c:pt idx="94">
                  <c:v>11.5</c:v>
                </c:pt>
                <c:pt idx="95">
                  <c:v>16.899999999999999</c:v>
                </c:pt>
                <c:pt idx="96">
                  <c:v>11.7</c:v>
                </c:pt>
                <c:pt idx="97">
                  <c:v>15.5</c:v>
                </c:pt>
                <c:pt idx="98">
                  <c:v>25.4</c:v>
                </c:pt>
                <c:pt idx="99">
                  <c:v>17.2</c:v>
                </c:pt>
                <c:pt idx="100">
                  <c:v>11.7</c:v>
                </c:pt>
                <c:pt idx="101">
                  <c:v>23.8</c:v>
                </c:pt>
                <c:pt idx="102">
                  <c:v>14.8</c:v>
                </c:pt>
                <c:pt idx="103">
                  <c:v>14.7</c:v>
                </c:pt>
                <c:pt idx="104">
                  <c:v>20.7</c:v>
                </c:pt>
                <c:pt idx="105">
                  <c:v>19.2</c:v>
                </c:pt>
                <c:pt idx="106">
                  <c:v>7.2</c:v>
                </c:pt>
                <c:pt idx="107">
                  <c:v>8.6999999999999993</c:v>
                </c:pt>
                <c:pt idx="108">
                  <c:v>5.3</c:v>
                </c:pt>
                <c:pt idx="109">
                  <c:v>19.8</c:v>
                </c:pt>
                <c:pt idx="110">
                  <c:v>13.4</c:v>
                </c:pt>
                <c:pt idx="111">
                  <c:v>21.8</c:v>
                </c:pt>
                <c:pt idx="112">
                  <c:v>14.1</c:v>
                </c:pt>
                <c:pt idx="113">
                  <c:v>15.9</c:v>
                </c:pt>
                <c:pt idx="114">
                  <c:v>14.6</c:v>
                </c:pt>
                <c:pt idx="115">
                  <c:v>12.6</c:v>
                </c:pt>
                <c:pt idx="116">
                  <c:v>12.2</c:v>
                </c:pt>
                <c:pt idx="117">
                  <c:v>9.4</c:v>
                </c:pt>
                <c:pt idx="118">
                  <c:v>15.9</c:v>
                </c:pt>
                <c:pt idx="119">
                  <c:v>6.6</c:v>
                </c:pt>
                <c:pt idx="120">
                  <c:v>15.5</c:v>
                </c:pt>
                <c:pt idx="121">
                  <c:v>7</c:v>
                </c:pt>
                <c:pt idx="122">
                  <c:v>11.6</c:v>
                </c:pt>
                <c:pt idx="123">
                  <c:v>15.2</c:v>
                </c:pt>
                <c:pt idx="124">
                  <c:v>19.7</c:v>
                </c:pt>
                <c:pt idx="125">
                  <c:v>10.6</c:v>
                </c:pt>
                <c:pt idx="126">
                  <c:v>6.6</c:v>
                </c:pt>
                <c:pt idx="127">
                  <c:v>8.8000000000000007</c:v>
                </c:pt>
                <c:pt idx="128">
                  <c:v>24.7</c:v>
                </c:pt>
                <c:pt idx="129">
                  <c:v>9.6999999999999993</c:v>
                </c:pt>
                <c:pt idx="130">
                  <c:v>1.6</c:v>
                </c:pt>
                <c:pt idx="131">
                  <c:v>12.7</c:v>
                </c:pt>
                <c:pt idx="132">
                  <c:v>5.7</c:v>
                </c:pt>
                <c:pt idx="133">
                  <c:v>19.600000000000001</c:v>
                </c:pt>
                <c:pt idx="134">
                  <c:v>10.8</c:v>
                </c:pt>
                <c:pt idx="135">
                  <c:v>11.6</c:v>
                </c:pt>
                <c:pt idx="136">
                  <c:v>9.5</c:v>
                </c:pt>
                <c:pt idx="137">
                  <c:v>20.8</c:v>
                </c:pt>
                <c:pt idx="138">
                  <c:v>9.6</c:v>
                </c:pt>
                <c:pt idx="139">
                  <c:v>20.7</c:v>
                </c:pt>
                <c:pt idx="140">
                  <c:v>10.9</c:v>
                </c:pt>
                <c:pt idx="141">
                  <c:v>19.2</c:v>
                </c:pt>
                <c:pt idx="142">
                  <c:v>20.100000000000001</c:v>
                </c:pt>
                <c:pt idx="143">
                  <c:v>10.4</c:v>
                </c:pt>
                <c:pt idx="144">
                  <c:v>11.4</c:v>
                </c:pt>
                <c:pt idx="145">
                  <c:v>10.3</c:v>
                </c:pt>
                <c:pt idx="146">
                  <c:v>13.2</c:v>
                </c:pt>
                <c:pt idx="147">
                  <c:v>25.4</c:v>
                </c:pt>
                <c:pt idx="148">
                  <c:v>10.9</c:v>
                </c:pt>
                <c:pt idx="149">
                  <c:v>10.1</c:v>
                </c:pt>
                <c:pt idx="150">
                  <c:v>16.100000000000001</c:v>
                </c:pt>
                <c:pt idx="151">
                  <c:v>11.6</c:v>
                </c:pt>
                <c:pt idx="152">
                  <c:v>16.600000000000001</c:v>
                </c:pt>
                <c:pt idx="153">
                  <c:v>19</c:v>
                </c:pt>
                <c:pt idx="154">
                  <c:v>15.6</c:v>
                </c:pt>
                <c:pt idx="155">
                  <c:v>3.2</c:v>
                </c:pt>
                <c:pt idx="156">
                  <c:v>15.3</c:v>
                </c:pt>
                <c:pt idx="157">
                  <c:v>10.1</c:v>
                </c:pt>
                <c:pt idx="158">
                  <c:v>7.3</c:v>
                </c:pt>
                <c:pt idx="159">
                  <c:v>12.9</c:v>
                </c:pt>
                <c:pt idx="160">
                  <c:v>14.4</c:v>
                </c:pt>
                <c:pt idx="161">
                  <c:v>13.3</c:v>
                </c:pt>
                <c:pt idx="162">
                  <c:v>14.9</c:v>
                </c:pt>
                <c:pt idx="163">
                  <c:v>18</c:v>
                </c:pt>
                <c:pt idx="164">
                  <c:v>11.9</c:v>
                </c:pt>
                <c:pt idx="165">
                  <c:v>11.9</c:v>
                </c:pt>
                <c:pt idx="166">
                  <c:v>8</c:v>
                </c:pt>
                <c:pt idx="167">
                  <c:v>12.2</c:v>
                </c:pt>
                <c:pt idx="168">
                  <c:v>17.100000000000001</c:v>
                </c:pt>
                <c:pt idx="169">
                  <c:v>15</c:v>
                </c:pt>
                <c:pt idx="170">
                  <c:v>8.4</c:v>
                </c:pt>
                <c:pt idx="171">
                  <c:v>14.5</c:v>
                </c:pt>
                <c:pt idx="172">
                  <c:v>7.6</c:v>
                </c:pt>
                <c:pt idx="173">
                  <c:v>11.7</c:v>
                </c:pt>
                <c:pt idx="174">
                  <c:v>11.5</c:v>
                </c:pt>
                <c:pt idx="175">
                  <c:v>27</c:v>
                </c:pt>
                <c:pt idx="176">
                  <c:v>20.2</c:v>
                </c:pt>
                <c:pt idx="177">
                  <c:v>11.7</c:v>
                </c:pt>
                <c:pt idx="178">
                  <c:v>11.8</c:v>
                </c:pt>
                <c:pt idx="179">
                  <c:v>12.6</c:v>
                </c:pt>
                <c:pt idx="180">
                  <c:v>10.5</c:v>
                </c:pt>
                <c:pt idx="181">
                  <c:v>12.2</c:v>
                </c:pt>
                <c:pt idx="182">
                  <c:v>8.6999999999999993</c:v>
                </c:pt>
                <c:pt idx="183">
                  <c:v>26.2</c:v>
                </c:pt>
                <c:pt idx="184">
                  <c:v>17.600000000000001</c:v>
                </c:pt>
                <c:pt idx="185">
                  <c:v>22.6</c:v>
                </c:pt>
                <c:pt idx="186">
                  <c:v>10.3</c:v>
                </c:pt>
                <c:pt idx="187">
                  <c:v>17.3</c:v>
                </c:pt>
                <c:pt idx="188">
                  <c:v>15.9</c:v>
                </c:pt>
                <c:pt idx="189">
                  <c:v>6.7</c:v>
                </c:pt>
                <c:pt idx="190">
                  <c:v>10.8</c:v>
                </c:pt>
                <c:pt idx="191">
                  <c:v>9.9</c:v>
                </c:pt>
                <c:pt idx="192">
                  <c:v>5.9</c:v>
                </c:pt>
                <c:pt idx="193">
                  <c:v>19.600000000000001</c:v>
                </c:pt>
                <c:pt idx="194">
                  <c:v>17.3</c:v>
                </c:pt>
                <c:pt idx="195">
                  <c:v>7.6</c:v>
                </c:pt>
                <c:pt idx="196">
                  <c:v>9.6999999999999993</c:v>
                </c:pt>
                <c:pt idx="197">
                  <c:v>12.8</c:v>
                </c:pt>
                <c:pt idx="198">
                  <c:v>25.5</c:v>
                </c:pt>
                <c:pt idx="199">
                  <c:v>13.4</c:v>
                </c:pt>
              </c:numCache>
            </c:numRef>
          </c:yVal>
          <c:smooth val="0"/>
          <c:extLst>
            <c:ext xmlns:c16="http://schemas.microsoft.com/office/drawing/2014/chart" uri="{C3380CC4-5D6E-409C-BE32-E72D297353CC}">
              <c16:uniqueId val="{00000001-9F93-4216-A6FB-B158BFD5A27A}"/>
            </c:ext>
          </c:extLst>
        </c:ser>
        <c:ser>
          <c:idx val="1"/>
          <c:order val="1"/>
          <c:tx>
            <c:v>Predicted sales</c:v>
          </c:tx>
          <c:spPr>
            <a:ln w="19050">
              <a:noFill/>
            </a:ln>
          </c:spPr>
          <c:xVal>
            <c:numRef>
              <c:f>Advertising!$B$2:$B$201</c:f>
              <c:numCache>
                <c:formatCode>General</c:formatCode>
                <c:ptCount val="200"/>
                <c:pt idx="0">
                  <c:v>37.799999999999997</c:v>
                </c:pt>
                <c:pt idx="1">
                  <c:v>39.299999999999997</c:v>
                </c:pt>
                <c:pt idx="2">
                  <c:v>45.9</c:v>
                </c:pt>
                <c:pt idx="3">
                  <c:v>41.3</c:v>
                </c:pt>
                <c:pt idx="4">
                  <c:v>10.8</c:v>
                </c:pt>
                <c:pt idx="5">
                  <c:v>48.9</c:v>
                </c:pt>
                <c:pt idx="6">
                  <c:v>32.799999999999997</c:v>
                </c:pt>
                <c:pt idx="7">
                  <c:v>19.600000000000001</c:v>
                </c:pt>
                <c:pt idx="8">
                  <c:v>2.1</c:v>
                </c:pt>
                <c:pt idx="9">
                  <c:v>2.6</c:v>
                </c:pt>
                <c:pt idx="10">
                  <c:v>5.8</c:v>
                </c:pt>
                <c:pt idx="11">
                  <c:v>24</c:v>
                </c:pt>
                <c:pt idx="12">
                  <c:v>35.1</c:v>
                </c:pt>
                <c:pt idx="13">
                  <c:v>7.6</c:v>
                </c:pt>
                <c:pt idx="14">
                  <c:v>32.9</c:v>
                </c:pt>
                <c:pt idx="15">
                  <c:v>47.7</c:v>
                </c:pt>
                <c:pt idx="16">
                  <c:v>36.6</c:v>
                </c:pt>
                <c:pt idx="17">
                  <c:v>39.6</c:v>
                </c:pt>
                <c:pt idx="18">
                  <c:v>20.5</c:v>
                </c:pt>
                <c:pt idx="19">
                  <c:v>23.9</c:v>
                </c:pt>
                <c:pt idx="20">
                  <c:v>27.7</c:v>
                </c:pt>
                <c:pt idx="21">
                  <c:v>5.0999999999999996</c:v>
                </c:pt>
                <c:pt idx="22">
                  <c:v>15.9</c:v>
                </c:pt>
                <c:pt idx="23">
                  <c:v>16.899999999999999</c:v>
                </c:pt>
                <c:pt idx="24">
                  <c:v>12.6</c:v>
                </c:pt>
                <c:pt idx="25">
                  <c:v>3.5</c:v>
                </c:pt>
                <c:pt idx="26">
                  <c:v>29.3</c:v>
                </c:pt>
                <c:pt idx="27">
                  <c:v>16.7</c:v>
                </c:pt>
                <c:pt idx="28">
                  <c:v>27.1</c:v>
                </c:pt>
                <c:pt idx="29">
                  <c:v>16</c:v>
                </c:pt>
                <c:pt idx="30">
                  <c:v>28.3</c:v>
                </c:pt>
                <c:pt idx="31">
                  <c:v>17.399999999999999</c:v>
                </c:pt>
                <c:pt idx="32">
                  <c:v>1.5</c:v>
                </c:pt>
                <c:pt idx="33">
                  <c:v>20</c:v>
                </c:pt>
                <c:pt idx="34">
                  <c:v>1.4</c:v>
                </c:pt>
                <c:pt idx="35">
                  <c:v>4.0999999999999996</c:v>
                </c:pt>
                <c:pt idx="36">
                  <c:v>43.8</c:v>
                </c:pt>
                <c:pt idx="37">
                  <c:v>49.4</c:v>
                </c:pt>
                <c:pt idx="38">
                  <c:v>26.7</c:v>
                </c:pt>
                <c:pt idx="39">
                  <c:v>37.700000000000003</c:v>
                </c:pt>
                <c:pt idx="40">
                  <c:v>22.3</c:v>
                </c:pt>
                <c:pt idx="41">
                  <c:v>33.4</c:v>
                </c:pt>
                <c:pt idx="42">
                  <c:v>27.7</c:v>
                </c:pt>
                <c:pt idx="43">
                  <c:v>8.4</c:v>
                </c:pt>
                <c:pt idx="44">
                  <c:v>25.7</c:v>
                </c:pt>
                <c:pt idx="45">
                  <c:v>22.5</c:v>
                </c:pt>
                <c:pt idx="46">
                  <c:v>9.9</c:v>
                </c:pt>
                <c:pt idx="47">
                  <c:v>41.5</c:v>
                </c:pt>
                <c:pt idx="48">
                  <c:v>15.8</c:v>
                </c:pt>
                <c:pt idx="49">
                  <c:v>11.7</c:v>
                </c:pt>
                <c:pt idx="50">
                  <c:v>3.1</c:v>
                </c:pt>
                <c:pt idx="51">
                  <c:v>9.6</c:v>
                </c:pt>
                <c:pt idx="52">
                  <c:v>41.7</c:v>
                </c:pt>
                <c:pt idx="53">
                  <c:v>46.2</c:v>
                </c:pt>
                <c:pt idx="54">
                  <c:v>28.8</c:v>
                </c:pt>
                <c:pt idx="55">
                  <c:v>49.4</c:v>
                </c:pt>
                <c:pt idx="56">
                  <c:v>28.1</c:v>
                </c:pt>
                <c:pt idx="57">
                  <c:v>19.2</c:v>
                </c:pt>
                <c:pt idx="58">
                  <c:v>49.6</c:v>
                </c:pt>
                <c:pt idx="59">
                  <c:v>29.5</c:v>
                </c:pt>
                <c:pt idx="60">
                  <c:v>2</c:v>
                </c:pt>
                <c:pt idx="61">
                  <c:v>42.7</c:v>
                </c:pt>
                <c:pt idx="62">
                  <c:v>15.5</c:v>
                </c:pt>
                <c:pt idx="63">
                  <c:v>29.6</c:v>
                </c:pt>
                <c:pt idx="64">
                  <c:v>42.8</c:v>
                </c:pt>
                <c:pt idx="65">
                  <c:v>9.3000000000000007</c:v>
                </c:pt>
                <c:pt idx="66">
                  <c:v>24.6</c:v>
                </c:pt>
                <c:pt idx="67">
                  <c:v>14.5</c:v>
                </c:pt>
                <c:pt idx="68">
                  <c:v>27.5</c:v>
                </c:pt>
                <c:pt idx="69">
                  <c:v>43.9</c:v>
                </c:pt>
                <c:pt idx="70">
                  <c:v>30.6</c:v>
                </c:pt>
                <c:pt idx="71">
                  <c:v>14.3</c:v>
                </c:pt>
                <c:pt idx="72">
                  <c:v>33</c:v>
                </c:pt>
                <c:pt idx="73">
                  <c:v>5.7</c:v>
                </c:pt>
                <c:pt idx="74">
                  <c:v>24.6</c:v>
                </c:pt>
                <c:pt idx="75">
                  <c:v>43.7</c:v>
                </c:pt>
                <c:pt idx="76">
                  <c:v>1.6</c:v>
                </c:pt>
                <c:pt idx="77">
                  <c:v>28.5</c:v>
                </c:pt>
                <c:pt idx="78">
                  <c:v>29.9</c:v>
                </c:pt>
                <c:pt idx="79">
                  <c:v>7.7</c:v>
                </c:pt>
                <c:pt idx="80">
                  <c:v>26.7</c:v>
                </c:pt>
                <c:pt idx="81">
                  <c:v>4.0999999999999996</c:v>
                </c:pt>
                <c:pt idx="82">
                  <c:v>20.3</c:v>
                </c:pt>
                <c:pt idx="83">
                  <c:v>44.5</c:v>
                </c:pt>
                <c:pt idx="84">
                  <c:v>43</c:v>
                </c:pt>
                <c:pt idx="85">
                  <c:v>18.399999999999999</c:v>
                </c:pt>
                <c:pt idx="86">
                  <c:v>27.5</c:v>
                </c:pt>
                <c:pt idx="87">
                  <c:v>40.6</c:v>
                </c:pt>
                <c:pt idx="88">
                  <c:v>25.5</c:v>
                </c:pt>
                <c:pt idx="89">
                  <c:v>47.8</c:v>
                </c:pt>
                <c:pt idx="90">
                  <c:v>4.9000000000000004</c:v>
                </c:pt>
                <c:pt idx="91">
                  <c:v>1.5</c:v>
                </c:pt>
                <c:pt idx="92">
                  <c:v>33.5</c:v>
                </c:pt>
                <c:pt idx="93">
                  <c:v>36.5</c:v>
                </c:pt>
                <c:pt idx="94">
                  <c:v>14</c:v>
                </c:pt>
                <c:pt idx="95">
                  <c:v>31.6</c:v>
                </c:pt>
                <c:pt idx="96">
                  <c:v>3.5</c:v>
                </c:pt>
                <c:pt idx="97">
                  <c:v>21</c:v>
                </c:pt>
                <c:pt idx="98">
                  <c:v>42.3</c:v>
                </c:pt>
                <c:pt idx="99">
                  <c:v>41.7</c:v>
                </c:pt>
                <c:pt idx="100">
                  <c:v>4.3</c:v>
                </c:pt>
                <c:pt idx="101">
                  <c:v>36.299999999999997</c:v>
                </c:pt>
                <c:pt idx="102">
                  <c:v>10.1</c:v>
                </c:pt>
                <c:pt idx="103">
                  <c:v>17.2</c:v>
                </c:pt>
                <c:pt idx="104">
                  <c:v>34.299999999999997</c:v>
                </c:pt>
                <c:pt idx="105">
                  <c:v>46.4</c:v>
                </c:pt>
                <c:pt idx="106">
                  <c:v>11</c:v>
                </c:pt>
                <c:pt idx="107">
                  <c:v>0.3</c:v>
                </c:pt>
                <c:pt idx="108">
                  <c:v>0.4</c:v>
                </c:pt>
                <c:pt idx="109">
                  <c:v>26.9</c:v>
                </c:pt>
                <c:pt idx="110">
                  <c:v>8.1999999999999993</c:v>
                </c:pt>
                <c:pt idx="111">
                  <c:v>38</c:v>
                </c:pt>
                <c:pt idx="112">
                  <c:v>15.4</c:v>
                </c:pt>
                <c:pt idx="113">
                  <c:v>20.6</c:v>
                </c:pt>
                <c:pt idx="114">
                  <c:v>46.8</c:v>
                </c:pt>
                <c:pt idx="115">
                  <c:v>35</c:v>
                </c:pt>
                <c:pt idx="116">
                  <c:v>14.3</c:v>
                </c:pt>
                <c:pt idx="117">
                  <c:v>0.8</c:v>
                </c:pt>
                <c:pt idx="118">
                  <c:v>36.9</c:v>
                </c:pt>
                <c:pt idx="119">
                  <c:v>16</c:v>
                </c:pt>
                <c:pt idx="120">
                  <c:v>26.8</c:v>
                </c:pt>
                <c:pt idx="121">
                  <c:v>21.7</c:v>
                </c:pt>
                <c:pt idx="122">
                  <c:v>2.4</c:v>
                </c:pt>
                <c:pt idx="123">
                  <c:v>34.6</c:v>
                </c:pt>
                <c:pt idx="124">
                  <c:v>32.299999999999997</c:v>
                </c:pt>
                <c:pt idx="125">
                  <c:v>11.8</c:v>
                </c:pt>
                <c:pt idx="126">
                  <c:v>38.9</c:v>
                </c:pt>
                <c:pt idx="127">
                  <c:v>0</c:v>
                </c:pt>
                <c:pt idx="128">
                  <c:v>49</c:v>
                </c:pt>
                <c:pt idx="129">
                  <c:v>12</c:v>
                </c:pt>
                <c:pt idx="130">
                  <c:v>39.6</c:v>
                </c:pt>
                <c:pt idx="131">
                  <c:v>2.9</c:v>
                </c:pt>
                <c:pt idx="132">
                  <c:v>27.2</c:v>
                </c:pt>
                <c:pt idx="133">
                  <c:v>33.5</c:v>
                </c:pt>
                <c:pt idx="134">
                  <c:v>38.6</c:v>
                </c:pt>
                <c:pt idx="135">
                  <c:v>47</c:v>
                </c:pt>
                <c:pt idx="136">
                  <c:v>39</c:v>
                </c:pt>
                <c:pt idx="137">
                  <c:v>28.9</c:v>
                </c:pt>
                <c:pt idx="138">
                  <c:v>25.9</c:v>
                </c:pt>
                <c:pt idx="139">
                  <c:v>43.9</c:v>
                </c:pt>
                <c:pt idx="140">
                  <c:v>17</c:v>
                </c:pt>
                <c:pt idx="141">
                  <c:v>35.4</c:v>
                </c:pt>
                <c:pt idx="142">
                  <c:v>33.200000000000003</c:v>
                </c:pt>
                <c:pt idx="143">
                  <c:v>5.7</c:v>
                </c:pt>
                <c:pt idx="144">
                  <c:v>14.8</c:v>
                </c:pt>
                <c:pt idx="145">
                  <c:v>1.9</c:v>
                </c:pt>
                <c:pt idx="146">
                  <c:v>7.3</c:v>
                </c:pt>
                <c:pt idx="147">
                  <c:v>49</c:v>
                </c:pt>
                <c:pt idx="148">
                  <c:v>40.299999999999997</c:v>
                </c:pt>
                <c:pt idx="149">
                  <c:v>25.8</c:v>
                </c:pt>
                <c:pt idx="150">
                  <c:v>13.9</c:v>
                </c:pt>
                <c:pt idx="151">
                  <c:v>8.4</c:v>
                </c:pt>
                <c:pt idx="152">
                  <c:v>23.3</c:v>
                </c:pt>
                <c:pt idx="153">
                  <c:v>39.700000000000003</c:v>
                </c:pt>
                <c:pt idx="154">
                  <c:v>21.1</c:v>
                </c:pt>
                <c:pt idx="155">
                  <c:v>11.6</c:v>
                </c:pt>
                <c:pt idx="156">
                  <c:v>43.5</c:v>
                </c:pt>
                <c:pt idx="157">
                  <c:v>1.3</c:v>
                </c:pt>
                <c:pt idx="158">
                  <c:v>36.9</c:v>
                </c:pt>
                <c:pt idx="159">
                  <c:v>18.399999999999999</c:v>
                </c:pt>
                <c:pt idx="160">
                  <c:v>18.100000000000001</c:v>
                </c:pt>
                <c:pt idx="161">
                  <c:v>35.799999999999997</c:v>
                </c:pt>
                <c:pt idx="162">
                  <c:v>18.100000000000001</c:v>
                </c:pt>
                <c:pt idx="163">
                  <c:v>36.799999999999997</c:v>
                </c:pt>
                <c:pt idx="164">
                  <c:v>14.7</c:v>
                </c:pt>
                <c:pt idx="165">
                  <c:v>3.4</c:v>
                </c:pt>
                <c:pt idx="166">
                  <c:v>37.6</c:v>
                </c:pt>
                <c:pt idx="167">
                  <c:v>5.2</c:v>
                </c:pt>
                <c:pt idx="168">
                  <c:v>23.6</c:v>
                </c:pt>
                <c:pt idx="169">
                  <c:v>10.6</c:v>
                </c:pt>
                <c:pt idx="170">
                  <c:v>11.6</c:v>
                </c:pt>
                <c:pt idx="171">
                  <c:v>20.9</c:v>
                </c:pt>
                <c:pt idx="172">
                  <c:v>20.100000000000001</c:v>
                </c:pt>
                <c:pt idx="173">
                  <c:v>7.1</c:v>
                </c:pt>
                <c:pt idx="174">
                  <c:v>3.4</c:v>
                </c:pt>
                <c:pt idx="175">
                  <c:v>48.9</c:v>
                </c:pt>
                <c:pt idx="176">
                  <c:v>30.2</c:v>
                </c:pt>
                <c:pt idx="177">
                  <c:v>7.8</c:v>
                </c:pt>
                <c:pt idx="178">
                  <c:v>2.2999999999999998</c:v>
                </c:pt>
                <c:pt idx="179">
                  <c:v>10</c:v>
                </c:pt>
                <c:pt idx="180">
                  <c:v>2.6</c:v>
                </c:pt>
                <c:pt idx="181">
                  <c:v>5.4</c:v>
                </c:pt>
                <c:pt idx="182">
                  <c:v>5.7</c:v>
                </c:pt>
                <c:pt idx="183">
                  <c:v>43</c:v>
                </c:pt>
                <c:pt idx="184">
                  <c:v>21.3</c:v>
                </c:pt>
                <c:pt idx="185">
                  <c:v>45.1</c:v>
                </c:pt>
                <c:pt idx="186">
                  <c:v>2.1</c:v>
                </c:pt>
                <c:pt idx="187">
                  <c:v>28.7</c:v>
                </c:pt>
                <c:pt idx="188">
                  <c:v>13.9</c:v>
                </c:pt>
                <c:pt idx="189">
                  <c:v>12.1</c:v>
                </c:pt>
                <c:pt idx="190">
                  <c:v>41.1</c:v>
                </c:pt>
                <c:pt idx="191">
                  <c:v>10.8</c:v>
                </c:pt>
                <c:pt idx="192">
                  <c:v>4.0999999999999996</c:v>
                </c:pt>
                <c:pt idx="193">
                  <c:v>42</c:v>
                </c:pt>
                <c:pt idx="194">
                  <c:v>35.6</c:v>
                </c:pt>
                <c:pt idx="195">
                  <c:v>3.7</c:v>
                </c:pt>
                <c:pt idx="196">
                  <c:v>4.9000000000000004</c:v>
                </c:pt>
                <c:pt idx="197">
                  <c:v>9.3000000000000007</c:v>
                </c:pt>
                <c:pt idx="198">
                  <c:v>42</c:v>
                </c:pt>
                <c:pt idx="199">
                  <c:v>8.6</c:v>
                </c:pt>
              </c:numCache>
            </c:numRef>
          </c:xVal>
          <c:yVal>
            <c:numRef>
              <c:f>Advertising!$G$29:$G$228</c:f>
              <c:numCache>
                <c:formatCode>General</c:formatCode>
                <c:ptCount val="200"/>
                <c:pt idx="0">
                  <c:v>20.523974409715162</c:v>
                </c:pt>
                <c:pt idx="1">
                  <c:v>12.337854820894361</c:v>
                </c:pt>
                <c:pt idx="2">
                  <c:v>12.307670779994229</c:v>
                </c:pt>
                <c:pt idx="3">
                  <c:v>17.597829511689124</c:v>
                </c:pt>
                <c:pt idx="4">
                  <c:v>13.18867185683129</c:v>
                </c:pt>
                <c:pt idx="5">
                  <c:v>12.478347634035847</c:v>
                </c:pt>
                <c:pt idx="6">
                  <c:v>11.729759951563686</c:v>
                </c:pt>
                <c:pt idx="7">
                  <c:v>12.122953165502285</c:v>
                </c:pt>
                <c:pt idx="8">
                  <c:v>3.7273408628615892</c:v>
                </c:pt>
                <c:pt idx="9">
                  <c:v>12.550848722934685</c:v>
                </c:pt>
                <c:pt idx="10">
                  <c:v>7.0322992005588549</c:v>
                </c:pt>
                <c:pt idx="11">
                  <c:v>17.285129182600272</c:v>
                </c:pt>
                <c:pt idx="12">
                  <c:v>10.577120733627664</c:v>
                </c:pt>
                <c:pt idx="13">
                  <c:v>8.8263004800332023</c:v>
                </c:pt>
                <c:pt idx="14">
                  <c:v>18.43436638356107</c:v>
                </c:pt>
                <c:pt idx="15">
                  <c:v>20.819299516495455</c:v>
                </c:pt>
                <c:pt idx="16">
                  <c:v>12.823656743699356</c:v>
                </c:pt>
                <c:pt idx="17">
                  <c:v>23.224957158799004</c:v>
                </c:pt>
                <c:pt idx="18">
                  <c:v>9.9516820591188022</c:v>
                </c:pt>
                <c:pt idx="19">
                  <c:v>14.166072932273263</c:v>
                </c:pt>
                <c:pt idx="20">
                  <c:v>18.100767277084273</c:v>
                </c:pt>
                <c:pt idx="21">
                  <c:v>14.740538200355449</c:v>
                </c:pt>
                <c:pt idx="22">
                  <c:v>6.4891503035632914</c:v>
                </c:pt>
                <c:pt idx="23">
                  <c:v>16.545932895131454</c:v>
                </c:pt>
                <c:pt idx="24">
                  <c:v>8.1465188718227441</c:v>
                </c:pt>
                <c:pt idx="25">
                  <c:v>15.610038604568864</c:v>
                </c:pt>
                <c:pt idx="26">
                  <c:v>14.989514288403914</c:v>
                </c:pt>
                <c:pt idx="27">
                  <c:v>17.051673435161675</c:v>
                </c:pt>
                <c:pt idx="28">
                  <c:v>19.410538026572961</c:v>
                </c:pt>
                <c:pt idx="29">
                  <c:v>9.1440238931687237</c:v>
                </c:pt>
                <c:pt idx="30">
                  <c:v>21.633933802695569</c:v>
                </c:pt>
                <c:pt idx="31">
                  <c:v>11.346092904310975</c:v>
                </c:pt>
                <c:pt idx="32">
                  <c:v>7.6388831418270788</c:v>
                </c:pt>
                <c:pt idx="33">
                  <c:v>18.864268292864352</c:v>
                </c:pt>
                <c:pt idx="34">
                  <c:v>7.5748305147121249</c:v>
                </c:pt>
                <c:pt idx="35">
                  <c:v>17.006826181847078</c:v>
                </c:pt>
                <c:pt idx="36">
                  <c:v>23.405900517309995</c:v>
                </c:pt>
                <c:pt idx="37">
                  <c:v>15.623477788695743</c:v>
                </c:pt>
                <c:pt idx="38">
                  <c:v>9.9086810345121901</c:v>
                </c:pt>
                <c:pt idx="39">
                  <c:v>20.447610393747123</c:v>
                </c:pt>
                <c:pt idx="40">
                  <c:v>16.37766467131113</c:v>
                </c:pt>
                <c:pt idx="41">
                  <c:v>17.295983199388978</c:v>
                </c:pt>
                <c:pt idx="42">
                  <c:v>21.595803256321947</c:v>
                </c:pt>
                <c:pt idx="43">
                  <c:v>13.963856839972715</c:v>
                </c:pt>
                <c:pt idx="44">
                  <c:v>8.8878799564485256</c:v>
                </c:pt>
                <c:pt idx="45">
                  <c:v>15.161523138521126</c:v>
                </c:pt>
                <c:pt idx="46">
                  <c:v>8.8733867326823983</c:v>
                </c:pt>
                <c:pt idx="47">
                  <c:v>21.722629895028959</c:v>
                </c:pt>
                <c:pt idx="48">
                  <c:v>16.263620181413803</c:v>
                </c:pt>
                <c:pt idx="49">
                  <c:v>8.1681656044053774</c:v>
                </c:pt>
                <c:pt idx="50">
                  <c:v>12.631211324624605</c:v>
                </c:pt>
                <c:pt idx="51">
                  <c:v>9.3398129606431795</c:v>
                </c:pt>
                <c:pt idx="52">
                  <c:v>20.662975627014507</c:v>
                </c:pt>
                <c:pt idx="53">
                  <c:v>19.944699569642697</c:v>
                </c:pt>
                <c:pt idx="54">
                  <c:v>20.374430078461266</c:v>
                </c:pt>
                <c:pt idx="55">
                  <c:v>21.292610603748713</c:v>
                </c:pt>
                <c:pt idx="56">
                  <c:v>8.5277125447268425</c:v>
                </c:pt>
                <c:pt idx="57">
                  <c:v>12.774588020808983</c:v>
                </c:pt>
                <c:pt idx="58">
                  <c:v>21.898051982898803</c:v>
                </c:pt>
                <c:pt idx="59">
                  <c:v>18.13348698070368</c:v>
                </c:pt>
                <c:pt idx="60">
                  <c:v>5.7421555840506038</c:v>
                </c:pt>
                <c:pt idx="61">
                  <c:v>22.890672079938675</c:v>
                </c:pt>
                <c:pt idx="62">
                  <c:v>16.78426072910862</c:v>
                </c:pt>
                <c:pt idx="63">
                  <c:v>13.210692016950794</c:v>
                </c:pt>
                <c:pt idx="64">
                  <c:v>16.977735563833615</c:v>
                </c:pt>
                <c:pt idx="65">
                  <c:v>7.8490453194829195</c:v>
                </c:pt>
                <c:pt idx="66">
                  <c:v>9.0160316327988195</c:v>
                </c:pt>
                <c:pt idx="67">
                  <c:v>12.037007297677002</c:v>
                </c:pt>
                <c:pt idx="68">
                  <c:v>18.976579242354177</c:v>
                </c:pt>
                <c:pt idx="69">
                  <c:v>21.108912436143427</c:v>
                </c:pt>
                <c:pt idx="70">
                  <c:v>17.779497816582293</c:v>
                </c:pt>
                <c:pt idx="71">
                  <c:v>10.626938152945893</c:v>
                </c:pt>
                <c:pt idx="72">
                  <c:v>10.366848810245022</c:v>
                </c:pt>
                <c:pt idx="73">
                  <c:v>9.9029820555921209</c:v>
                </c:pt>
                <c:pt idx="74">
                  <c:v>17.329311966972643</c:v>
                </c:pt>
                <c:pt idx="75">
                  <c:v>11.858321738983788</c:v>
                </c:pt>
                <c:pt idx="76">
                  <c:v>4.4775890405727177</c:v>
                </c:pt>
                <c:pt idx="77">
                  <c:v>13.811902227800482</c:v>
                </c:pt>
                <c:pt idx="78">
                  <c:v>8.8133135261735962</c:v>
                </c:pt>
                <c:pt idx="79">
                  <c:v>9.6753032832745074</c:v>
                </c:pt>
                <c:pt idx="80">
                  <c:v>11.445923639120625</c:v>
                </c:pt>
                <c:pt idx="81">
                  <c:v>14.647940925761016</c:v>
                </c:pt>
                <c:pt idx="82">
                  <c:v>10.178407991809921</c:v>
                </c:pt>
                <c:pt idx="83">
                  <c:v>14.421842119156549</c:v>
                </c:pt>
                <c:pt idx="84">
                  <c:v>20.781364636833885</c:v>
                </c:pt>
                <c:pt idx="85">
                  <c:v>15.181407889846495</c:v>
                </c:pt>
                <c:pt idx="86">
                  <c:v>11.59870739427725</c:v>
                </c:pt>
                <c:pt idx="87">
                  <c:v>15.593784747966524</c:v>
                </c:pt>
                <c:pt idx="88">
                  <c:v>11.711271005267474</c:v>
                </c:pt>
                <c:pt idx="89">
                  <c:v>16.922255106768954</c:v>
                </c:pt>
                <c:pt idx="90">
                  <c:v>9.9992296517234802</c:v>
                </c:pt>
                <c:pt idx="91">
                  <c:v>4.4963159844593772</c:v>
                </c:pt>
                <c:pt idx="92">
                  <c:v>19.156396162353211</c:v>
                </c:pt>
                <c:pt idx="93">
                  <c:v>21.22757378476209</c:v>
                </c:pt>
                <c:pt idx="94">
                  <c:v>10.482123854060985</c:v>
                </c:pt>
                <c:pt idx="95">
                  <c:v>16.3149211249941</c:v>
                </c:pt>
                <c:pt idx="96">
                  <c:v>12.63571716170908</c:v>
                </c:pt>
                <c:pt idx="97">
                  <c:v>15.337077822510238</c:v>
                </c:pt>
                <c:pt idx="98">
                  <c:v>24.118607229753348</c:v>
                </c:pt>
                <c:pt idx="99">
                  <c:v>16.940350209868626</c:v>
                </c:pt>
                <c:pt idx="100">
                  <c:v>13.875958437972796</c:v>
                </c:pt>
                <c:pt idx="101">
                  <c:v>23.242486848584214</c:v>
                </c:pt>
                <c:pt idx="102">
                  <c:v>17.644093845826685</c:v>
                </c:pt>
                <c:pt idx="103">
                  <c:v>14.762211416061408</c:v>
                </c:pt>
                <c:pt idx="104">
                  <c:v>20.301108784104397</c:v>
                </c:pt>
                <c:pt idx="105">
                  <c:v>17.936414673257321</c:v>
                </c:pt>
                <c:pt idx="106">
                  <c:v>6.1260221485830586</c:v>
                </c:pt>
                <c:pt idx="107">
                  <c:v>7.108502485117369</c:v>
                </c:pt>
                <c:pt idx="108">
                  <c:v>3.5872584098050151</c:v>
                </c:pt>
                <c:pt idx="109">
                  <c:v>19.692931062134029</c:v>
                </c:pt>
                <c:pt idx="110">
                  <c:v>14.759874095117553</c:v>
                </c:pt>
                <c:pt idx="111">
                  <c:v>21.14027498033532</c:v>
                </c:pt>
                <c:pt idx="112">
                  <c:v>13.880609853211171</c:v>
                </c:pt>
                <c:pt idx="113">
                  <c:v>16.403776229871259</c:v>
                </c:pt>
                <c:pt idx="114">
                  <c:v>15.305095925878035</c:v>
                </c:pt>
                <c:pt idx="115">
                  <c:v>12.919688951958426</c:v>
                </c:pt>
                <c:pt idx="116">
                  <c:v>11.978747436893686</c:v>
                </c:pt>
                <c:pt idx="117">
                  <c:v>6.5707773987577056</c:v>
                </c:pt>
                <c:pt idx="118">
                  <c:v>15.566093478520511</c:v>
                </c:pt>
                <c:pt idx="119">
                  <c:v>6.8200676671381784</c:v>
                </c:pt>
                <c:pt idx="120">
                  <c:v>14.410106047152565</c:v>
                </c:pt>
                <c:pt idx="121">
                  <c:v>7.8380764218051215</c:v>
                </c:pt>
                <c:pt idx="122">
                  <c:v>13.626457100609532</c:v>
                </c:pt>
                <c:pt idx="123">
                  <c:v>15.08279089666202</c:v>
                </c:pt>
                <c:pt idx="124">
                  <c:v>19.454413064179416</c:v>
                </c:pt>
                <c:pt idx="125">
                  <c:v>9.1273495830047597</c:v>
                </c:pt>
                <c:pt idx="126">
                  <c:v>10.577174114180366</c:v>
                </c:pt>
                <c:pt idx="127">
                  <c:v>6.59966899899152</c:v>
                </c:pt>
                <c:pt idx="128">
                  <c:v>22.25549161453959</c:v>
                </c:pt>
                <c:pt idx="129">
                  <c:v>7.8841064914888364</c:v>
                </c:pt>
                <c:pt idx="130">
                  <c:v>10.427687101769544</c:v>
                </c:pt>
                <c:pt idx="131">
                  <c:v>15.577798192467164</c:v>
                </c:pt>
                <c:pt idx="132">
                  <c:v>8.4491501160707134</c:v>
                </c:pt>
                <c:pt idx="133">
                  <c:v>19.266923071099967</c:v>
                </c:pt>
                <c:pt idx="134">
                  <c:v>11.836803896219831</c:v>
                </c:pt>
                <c:pt idx="135">
                  <c:v>14.001413849249673</c:v>
                </c:pt>
                <c:pt idx="136">
                  <c:v>11.453486267632533</c:v>
                </c:pt>
                <c:pt idx="137">
                  <c:v>20.851251984901999</c:v>
                </c:pt>
                <c:pt idx="138">
                  <c:v>9.7684279548522408</c:v>
                </c:pt>
                <c:pt idx="139">
                  <c:v>19.675476318699388</c:v>
                </c:pt>
                <c:pt idx="140">
                  <c:v>9.489640973247127</c:v>
                </c:pt>
                <c:pt idx="141">
                  <c:v>18.39902931906315</c:v>
                </c:pt>
                <c:pt idx="142">
                  <c:v>19.249869267749116</c:v>
                </c:pt>
                <c:pt idx="143">
                  <c:v>8.7648026198665843</c:v>
                </c:pt>
                <c:pt idx="144">
                  <c:v>10.09133403330576</c:v>
                </c:pt>
                <c:pt idx="145">
                  <c:v>9.708538721613996</c:v>
                </c:pt>
                <c:pt idx="146">
                  <c:v>15.29422367733372</c:v>
                </c:pt>
                <c:pt idx="147">
                  <c:v>23.260861031422419</c:v>
                </c:pt>
                <c:pt idx="148">
                  <c:v>12.263359411362689</c:v>
                </c:pt>
                <c:pt idx="149">
                  <c:v>9.8272711011303482</c:v>
                </c:pt>
                <c:pt idx="150">
                  <c:v>18.367205341380927</c:v>
                </c:pt>
                <c:pt idx="151">
                  <c:v>10.009537700506844</c:v>
                </c:pt>
                <c:pt idx="152">
                  <c:v>16.360000304436973</c:v>
                </c:pt>
                <c:pt idx="153">
                  <c:v>18.223901319920376</c:v>
                </c:pt>
                <c:pt idx="154">
                  <c:v>15.501616959053665</c:v>
                </c:pt>
                <c:pt idx="155">
                  <c:v>5.3075589017356029</c:v>
                </c:pt>
                <c:pt idx="156">
                  <c:v>15.384851915018084</c:v>
                </c:pt>
                <c:pt idx="157">
                  <c:v>10.014311199739465</c:v>
                </c:pt>
                <c:pt idx="158">
                  <c:v>10.38419866004938</c:v>
                </c:pt>
                <c:pt idx="159">
                  <c:v>12.399148227960556</c:v>
                </c:pt>
                <c:pt idx="160">
                  <c:v>14.213832980330974</c:v>
                </c:pt>
                <c:pt idx="161">
                  <c:v>13.559145683664621</c:v>
                </c:pt>
                <c:pt idx="162">
                  <c:v>14.946782057588425</c:v>
                </c:pt>
                <c:pt idx="163">
                  <c:v>17.351636075492511</c:v>
                </c:pt>
                <c:pt idx="164">
                  <c:v>11.068294603100242</c:v>
                </c:pt>
                <c:pt idx="165">
                  <c:v>14.223721376270053</c:v>
                </c:pt>
                <c:pt idx="166">
                  <c:v>10.824395309518028</c:v>
                </c:pt>
                <c:pt idx="167">
                  <c:v>13.363246772586256</c:v>
                </c:pt>
                <c:pt idx="168">
                  <c:v>17.186142800575041</c:v>
                </c:pt>
                <c:pt idx="169">
                  <c:v>17.941556296290063</c:v>
                </c:pt>
                <c:pt idx="170">
                  <c:v>7.3949799664989024</c:v>
                </c:pt>
                <c:pt idx="171">
                  <c:v>14.358273730249413</c:v>
                </c:pt>
                <c:pt idx="172">
                  <c:v>7.6076923787190207</c:v>
                </c:pt>
                <c:pt idx="173">
                  <c:v>11.970938873323922</c:v>
                </c:pt>
                <c:pt idx="174">
                  <c:v>13.744357417405292</c:v>
                </c:pt>
                <c:pt idx="175">
                  <c:v>24.786870314183684</c:v>
                </c:pt>
                <c:pt idx="176">
                  <c:v>19.979372702747675</c:v>
                </c:pt>
                <c:pt idx="177">
                  <c:v>12.16204640283491</c:v>
                </c:pt>
                <c:pt idx="178">
                  <c:v>16.010997220773103</c:v>
                </c:pt>
                <c:pt idx="179">
                  <c:v>12.384554948507715</c:v>
                </c:pt>
                <c:pt idx="180">
                  <c:v>10.587199699509453</c:v>
                </c:pt>
                <c:pt idx="181">
                  <c:v>13.928099183458238</c:v>
                </c:pt>
                <c:pt idx="182">
                  <c:v>6.5546699971249796</c:v>
                </c:pt>
                <c:pt idx="183">
                  <c:v>24.133100129464747</c:v>
                </c:pt>
                <c:pt idx="184">
                  <c:v>18.538520955122785</c:v>
                </c:pt>
                <c:pt idx="185">
                  <c:v>20.803010587194397</c:v>
                </c:pt>
                <c:pt idx="186">
                  <c:v>9.6913731310857365</c:v>
                </c:pt>
                <c:pt idx="187">
                  <c:v>17.076442228165288</c:v>
                </c:pt>
                <c:pt idx="188">
                  <c:v>18.644306480608996</c:v>
                </c:pt>
                <c:pt idx="189">
                  <c:v>6.051624106991679</c:v>
                </c:pt>
                <c:pt idx="190">
                  <c:v>12.489159100639457</c:v>
                </c:pt>
                <c:pt idx="191">
                  <c:v>8.4240193258036822</c:v>
                </c:pt>
                <c:pt idx="192">
                  <c:v>4.4662295605146429</c:v>
                </c:pt>
                <c:pt idx="193">
                  <c:v>18.486957967031397</c:v>
                </c:pt>
                <c:pt idx="194">
                  <c:v>16.495300438165646</c:v>
                </c:pt>
                <c:pt idx="195">
                  <c:v>5.3703424844667875</c:v>
                </c:pt>
                <c:pt idx="196">
                  <c:v>8.1653123606130116</c:v>
                </c:pt>
                <c:pt idx="197">
                  <c:v>12.785920816932238</c:v>
                </c:pt>
                <c:pt idx="198">
                  <c:v>23.767321491762818</c:v>
                </c:pt>
                <c:pt idx="199">
                  <c:v>15.173195535684206</c:v>
                </c:pt>
              </c:numCache>
            </c:numRef>
          </c:yVal>
          <c:smooth val="0"/>
          <c:extLst>
            <c:ext xmlns:c16="http://schemas.microsoft.com/office/drawing/2014/chart" uri="{C3380CC4-5D6E-409C-BE32-E72D297353CC}">
              <c16:uniqueId val="{00000002-9F93-4216-A6FB-B158BFD5A27A}"/>
            </c:ext>
          </c:extLst>
        </c:ser>
        <c:dLbls>
          <c:showLegendKey val="0"/>
          <c:showVal val="0"/>
          <c:showCatName val="0"/>
          <c:showSerName val="0"/>
          <c:showPercent val="0"/>
          <c:showBubbleSize val="0"/>
        </c:dLbls>
        <c:axId val="176867216"/>
        <c:axId val="176871056"/>
      </c:scatterChart>
      <c:valAx>
        <c:axId val="176867216"/>
        <c:scaling>
          <c:orientation val="minMax"/>
        </c:scaling>
        <c:delete val="0"/>
        <c:axPos val="b"/>
        <c:title>
          <c:tx>
            <c:rich>
              <a:bodyPr/>
              <a:lstStyle/>
              <a:p>
                <a:pPr>
                  <a:defRPr/>
                </a:pPr>
                <a:r>
                  <a:rPr lang="en-US"/>
                  <a:t>radio</a:t>
                </a:r>
              </a:p>
            </c:rich>
          </c:tx>
          <c:overlay val="0"/>
        </c:title>
        <c:numFmt formatCode="General" sourceLinked="1"/>
        <c:majorTickMark val="out"/>
        <c:minorTickMark val="none"/>
        <c:tickLblPos val="nextTo"/>
        <c:crossAx val="176871056"/>
        <c:crosses val="autoZero"/>
        <c:crossBetween val="midCat"/>
      </c:valAx>
      <c:valAx>
        <c:axId val="176871056"/>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7686721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newspaper Line Fit  Plot</a:t>
            </a:r>
          </a:p>
        </c:rich>
      </c:tx>
      <c:overlay val="0"/>
    </c:title>
    <c:autoTitleDeleted val="0"/>
    <c:plotArea>
      <c:layout/>
      <c:scatterChart>
        <c:scatterStyle val="lineMarker"/>
        <c:varyColors val="0"/>
        <c:ser>
          <c:idx val="0"/>
          <c:order val="0"/>
          <c:tx>
            <c:v>sales</c:v>
          </c:tx>
          <c:spPr>
            <a:ln w="19050">
              <a:noFill/>
            </a:ln>
          </c:spPr>
          <c:xVal>
            <c:numRef>
              <c:f>Advertising!$C$2:$C$201</c:f>
              <c:numCache>
                <c:formatCode>General</c:formatCode>
                <c:ptCount val="200"/>
                <c:pt idx="0">
                  <c:v>69.2</c:v>
                </c:pt>
                <c:pt idx="1">
                  <c:v>45.1</c:v>
                </c:pt>
                <c:pt idx="2">
                  <c:v>69.3</c:v>
                </c:pt>
                <c:pt idx="3">
                  <c:v>58.5</c:v>
                </c:pt>
                <c:pt idx="4">
                  <c:v>58.4</c:v>
                </c:pt>
                <c:pt idx="5">
                  <c:v>75</c:v>
                </c:pt>
                <c:pt idx="6">
                  <c:v>23.5</c:v>
                </c:pt>
                <c:pt idx="7">
                  <c:v>11.6</c:v>
                </c:pt>
                <c:pt idx="8">
                  <c:v>1</c:v>
                </c:pt>
                <c:pt idx="9">
                  <c:v>21.2</c:v>
                </c:pt>
                <c:pt idx="10">
                  <c:v>24.2</c:v>
                </c:pt>
                <c:pt idx="11">
                  <c:v>4</c:v>
                </c:pt>
                <c:pt idx="12">
                  <c:v>65.900000000000006</c:v>
                </c:pt>
                <c:pt idx="13">
                  <c:v>7.2</c:v>
                </c:pt>
                <c:pt idx="14">
                  <c:v>46</c:v>
                </c:pt>
                <c:pt idx="15">
                  <c:v>52.9</c:v>
                </c:pt>
                <c:pt idx="16">
                  <c:v>114</c:v>
                </c:pt>
                <c:pt idx="17">
                  <c:v>55.8</c:v>
                </c:pt>
                <c:pt idx="18">
                  <c:v>18.3</c:v>
                </c:pt>
                <c:pt idx="19">
                  <c:v>19.100000000000001</c:v>
                </c:pt>
                <c:pt idx="20">
                  <c:v>53.4</c:v>
                </c:pt>
                <c:pt idx="21">
                  <c:v>23.5</c:v>
                </c:pt>
                <c:pt idx="22">
                  <c:v>49.6</c:v>
                </c:pt>
                <c:pt idx="23">
                  <c:v>26.2</c:v>
                </c:pt>
                <c:pt idx="24">
                  <c:v>18.3</c:v>
                </c:pt>
                <c:pt idx="25">
                  <c:v>19.5</c:v>
                </c:pt>
                <c:pt idx="26">
                  <c:v>12.6</c:v>
                </c:pt>
                <c:pt idx="27">
                  <c:v>22.9</c:v>
                </c:pt>
                <c:pt idx="28">
                  <c:v>22.9</c:v>
                </c:pt>
                <c:pt idx="29">
                  <c:v>40.799999999999997</c:v>
                </c:pt>
                <c:pt idx="30">
                  <c:v>43.2</c:v>
                </c:pt>
                <c:pt idx="31">
                  <c:v>38.6</c:v>
                </c:pt>
                <c:pt idx="32">
                  <c:v>30</c:v>
                </c:pt>
                <c:pt idx="33">
                  <c:v>0.3</c:v>
                </c:pt>
                <c:pt idx="34">
                  <c:v>7.4</c:v>
                </c:pt>
                <c:pt idx="35">
                  <c:v>8.5</c:v>
                </c:pt>
                <c:pt idx="36">
                  <c:v>5</c:v>
                </c:pt>
                <c:pt idx="37">
                  <c:v>45.7</c:v>
                </c:pt>
                <c:pt idx="38">
                  <c:v>35.1</c:v>
                </c:pt>
                <c:pt idx="39">
                  <c:v>32</c:v>
                </c:pt>
                <c:pt idx="40">
                  <c:v>31.6</c:v>
                </c:pt>
                <c:pt idx="41">
                  <c:v>38.700000000000003</c:v>
                </c:pt>
                <c:pt idx="42">
                  <c:v>1.8</c:v>
                </c:pt>
                <c:pt idx="43">
                  <c:v>26.4</c:v>
                </c:pt>
                <c:pt idx="44">
                  <c:v>43.3</c:v>
                </c:pt>
                <c:pt idx="45">
                  <c:v>31.5</c:v>
                </c:pt>
                <c:pt idx="46">
                  <c:v>35.700000000000003</c:v>
                </c:pt>
                <c:pt idx="47">
                  <c:v>18.5</c:v>
                </c:pt>
                <c:pt idx="48">
                  <c:v>49.9</c:v>
                </c:pt>
                <c:pt idx="49">
                  <c:v>36.799999999999997</c:v>
                </c:pt>
                <c:pt idx="50">
                  <c:v>34.6</c:v>
                </c:pt>
                <c:pt idx="51">
                  <c:v>3.6</c:v>
                </c:pt>
                <c:pt idx="52">
                  <c:v>39.6</c:v>
                </c:pt>
                <c:pt idx="53">
                  <c:v>58.7</c:v>
                </c:pt>
                <c:pt idx="54">
                  <c:v>15.9</c:v>
                </c:pt>
                <c:pt idx="55">
                  <c:v>60</c:v>
                </c:pt>
                <c:pt idx="56">
                  <c:v>41.4</c:v>
                </c:pt>
                <c:pt idx="57">
                  <c:v>16.600000000000001</c:v>
                </c:pt>
                <c:pt idx="58">
                  <c:v>37.700000000000003</c:v>
                </c:pt>
                <c:pt idx="59">
                  <c:v>9.3000000000000007</c:v>
                </c:pt>
                <c:pt idx="60">
                  <c:v>21.4</c:v>
                </c:pt>
                <c:pt idx="61">
                  <c:v>54.7</c:v>
                </c:pt>
                <c:pt idx="62">
                  <c:v>27.3</c:v>
                </c:pt>
                <c:pt idx="63">
                  <c:v>8.4</c:v>
                </c:pt>
                <c:pt idx="64">
                  <c:v>28.9</c:v>
                </c:pt>
                <c:pt idx="65">
                  <c:v>0.9</c:v>
                </c:pt>
                <c:pt idx="66">
                  <c:v>2.2000000000000002</c:v>
                </c:pt>
                <c:pt idx="67">
                  <c:v>10.199999999999999</c:v>
                </c:pt>
                <c:pt idx="68">
                  <c:v>11</c:v>
                </c:pt>
                <c:pt idx="69">
                  <c:v>27.2</c:v>
                </c:pt>
                <c:pt idx="70">
                  <c:v>38.700000000000003</c:v>
                </c:pt>
                <c:pt idx="71">
                  <c:v>31.7</c:v>
                </c:pt>
                <c:pt idx="72">
                  <c:v>19.3</c:v>
                </c:pt>
                <c:pt idx="73">
                  <c:v>31.3</c:v>
                </c:pt>
                <c:pt idx="74">
                  <c:v>13.1</c:v>
                </c:pt>
                <c:pt idx="75">
                  <c:v>89.4</c:v>
                </c:pt>
                <c:pt idx="76">
                  <c:v>20.7</c:v>
                </c:pt>
                <c:pt idx="77">
                  <c:v>14.2</c:v>
                </c:pt>
                <c:pt idx="78">
                  <c:v>9.4</c:v>
                </c:pt>
                <c:pt idx="79">
                  <c:v>23.1</c:v>
                </c:pt>
                <c:pt idx="80">
                  <c:v>22.3</c:v>
                </c:pt>
                <c:pt idx="81">
                  <c:v>36.9</c:v>
                </c:pt>
                <c:pt idx="82">
                  <c:v>32.5</c:v>
                </c:pt>
                <c:pt idx="83">
                  <c:v>35.6</c:v>
                </c:pt>
                <c:pt idx="84">
                  <c:v>33.799999999999997</c:v>
                </c:pt>
                <c:pt idx="85">
                  <c:v>65.7</c:v>
                </c:pt>
                <c:pt idx="86">
                  <c:v>16</c:v>
                </c:pt>
                <c:pt idx="87">
                  <c:v>63.2</c:v>
                </c:pt>
                <c:pt idx="88">
                  <c:v>73.400000000000006</c:v>
                </c:pt>
                <c:pt idx="89">
                  <c:v>51.4</c:v>
                </c:pt>
                <c:pt idx="90">
                  <c:v>9.3000000000000007</c:v>
                </c:pt>
                <c:pt idx="91">
                  <c:v>33</c:v>
                </c:pt>
                <c:pt idx="92">
                  <c:v>59</c:v>
                </c:pt>
                <c:pt idx="93">
                  <c:v>72.3</c:v>
                </c:pt>
                <c:pt idx="94">
                  <c:v>10.9</c:v>
                </c:pt>
                <c:pt idx="95">
                  <c:v>52.9</c:v>
                </c:pt>
                <c:pt idx="96">
                  <c:v>5.9</c:v>
                </c:pt>
                <c:pt idx="97">
                  <c:v>22</c:v>
                </c:pt>
                <c:pt idx="98">
                  <c:v>51.2</c:v>
                </c:pt>
                <c:pt idx="99">
                  <c:v>45.9</c:v>
                </c:pt>
                <c:pt idx="100">
                  <c:v>49.8</c:v>
                </c:pt>
                <c:pt idx="101">
                  <c:v>100.9</c:v>
                </c:pt>
                <c:pt idx="102">
                  <c:v>21.4</c:v>
                </c:pt>
                <c:pt idx="103">
                  <c:v>17.899999999999999</c:v>
                </c:pt>
                <c:pt idx="104">
                  <c:v>5.3</c:v>
                </c:pt>
                <c:pt idx="105">
                  <c:v>59</c:v>
                </c:pt>
                <c:pt idx="106">
                  <c:v>29.7</c:v>
                </c:pt>
                <c:pt idx="107">
                  <c:v>23.2</c:v>
                </c:pt>
                <c:pt idx="108">
                  <c:v>25.6</c:v>
                </c:pt>
                <c:pt idx="109">
                  <c:v>5.5</c:v>
                </c:pt>
                <c:pt idx="110">
                  <c:v>56.5</c:v>
                </c:pt>
                <c:pt idx="111">
                  <c:v>23.2</c:v>
                </c:pt>
                <c:pt idx="112">
                  <c:v>2.4</c:v>
                </c:pt>
                <c:pt idx="113">
                  <c:v>10.7</c:v>
                </c:pt>
                <c:pt idx="114">
                  <c:v>34.5</c:v>
                </c:pt>
                <c:pt idx="115">
                  <c:v>52.7</c:v>
                </c:pt>
                <c:pt idx="116">
                  <c:v>25.6</c:v>
                </c:pt>
                <c:pt idx="117">
                  <c:v>14.8</c:v>
                </c:pt>
                <c:pt idx="118">
                  <c:v>79.2</c:v>
                </c:pt>
                <c:pt idx="119">
                  <c:v>22.3</c:v>
                </c:pt>
                <c:pt idx="120">
                  <c:v>46.2</c:v>
                </c:pt>
                <c:pt idx="121">
                  <c:v>50.4</c:v>
                </c:pt>
                <c:pt idx="122">
                  <c:v>15.6</c:v>
                </c:pt>
                <c:pt idx="123">
                  <c:v>12.4</c:v>
                </c:pt>
                <c:pt idx="124">
                  <c:v>74.2</c:v>
                </c:pt>
                <c:pt idx="125">
                  <c:v>25.9</c:v>
                </c:pt>
                <c:pt idx="126">
                  <c:v>50.6</c:v>
                </c:pt>
                <c:pt idx="127">
                  <c:v>9.1999999999999993</c:v>
                </c:pt>
                <c:pt idx="128">
                  <c:v>3.2</c:v>
                </c:pt>
                <c:pt idx="129">
                  <c:v>43.1</c:v>
                </c:pt>
                <c:pt idx="130">
                  <c:v>8.6999999999999993</c:v>
                </c:pt>
                <c:pt idx="131">
                  <c:v>43</c:v>
                </c:pt>
                <c:pt idx="132">
                  <c:v>2.1</c:v>
                </c:pt>
                <c:pt idx="133">
                  <c:v>45.1</c:v>
                </c:pt>
                <c:pt idx="134">
                  <c:v>65.599999999999994</c:v>
                </c:pt>
                <c:pt idx="135">
                  <c:v>8.5</c:v>
                </c:pt>
                <c:pt idx="136">
                  <c:v>9.3000000000000007</c:v>
                </c:pt>
                <c:pt idx="137">
                  <c:v>59.7</c:v>
                </c:pt>
                <c:pt idx="138">
                  <c:v>20.5</c:v>
                </c:pt>
                <c:pt idx="139">
                  <c:v>1.7</c:v>
                </c:pt>
                <c:pt idx="140">
                  <c:v>12.9</c:v>
                </c:pt>
                <c:pt idx="141">
                  <c:v>75.599999999999994</c:v>
                </c:pt>
                <c:pt idx="142">
                  <c:v>37.9</c:v>
                </c:pt>
                <c:pt idx="143">
                  <c:v>34.4</c:v>
                </c:pt>
                <c:pt idx="144">
                  <c:v>38.9</c:v>
                </c:pt>
                <c:pt idx="145">
                  <c:v>9</c:v>
                </c:pt>
                <c:pt idx="146">
                  <c:v>8.6999999999999993</c:v>
                </c:pt>
                <c:pt idx="147">
                  <c:v>44.3</c:v>
                </c:pt>
                <c:pt idx="148">
                  <c:v>11.9</c:v>
                </c:pt>
                <c:pt idx="149">
                  <c:v>20.6</c:v>
                </c:pt>
                <c:pt idx="150">
                  <c:v>37</c:v>
                </c:pt>
                <c:pt idx="151">
                  <c:v>48.7</c:v>
                </c:pt>
                <c:pt idx="152">
                  <c:v>14.2</c:v>
                </c:pt>
                <c:pt idx="153">
                  <c:v>37.700000000000003</c:v>
                </c:pt>
                <c:pt idx="154">
                  <c:v>9.5</c:v>
                </c:pt>
                <c:pt idx="155">
                  <c:v>5.7</c:v>
                </c:pt>
                <c:pt idx="156">
                  <c:v>50.5</c:v>
                </c:pt>
                <c:pt idx="157">
                  <c:v>24.3</c:v>
                </c:pt>
                <c:pt idx="158">
                  <c:v>45.2</c:v>
                </c:pt>
                <c:pt idx="159">
                  <c:v>34.6</c:v>
                </c:pt>
                <c:pt idx="160">
                  <c:v>30.7</c:v>
                </c:pt>
                <c:pt idx="161">
                  <c:v>49.3</c:v>
                </c:pt>
                <c:pt idx="162">
                  <c:v>25.6</c:v>
                </c:pt>
                <c:pt idx="163">
                  <c:v>7.4</c:v>
                </c:pt>
                <c:pt idx="164">
                  <c:v>5.4</c:v>
                </c:pt>
                <c:pt idx="165">
                  <c:v>84.8</c:v>
                </c:pt>
                <c:pt idx="166">
                  <c:v>21.6</c:v>
                </c:pt>
                <c:pt idx="167">
                  <c:v>19.399999999999999</c:v>
                </c:pt>
                <c:pt idx="168">
                  <c:v>57.6</c:v>
                </c:pt>
                <c:pt idx="169">
                  <c:v>6.4</c:v>
                </c:pt>
                <c:pt idx="170">
                  <c:v>18.399999999999999</c:v>
                </c:pt>
                <c:pt idx="171">
                  <c:v>47.4</c:v>
                </c:pt>
                <c:pt idx="172">
                  <c:v>17</c:v>
                </c:pt>
                <c:pt idx="173">
                  <c:v>12.8</c:v>
                </c:pt>
                <c:pt idx="174">
                  <c:v>13.1</c:v>
                </c:pt>
                <c:pt idx="175">
                  <c:v>41.8</c:v>
                </c:pt>
                <c:pt idx="176">
                  <c:v>20.3</c:v>
                </c:pt>
                <c:pt idx="177">
                  <c:v>35.200000000000003</c:v>
                </c:pt>
                <c:pt idx="178">
                  <c:v>23.7</c:v>
                </c:pt>
                <c:pt idx="179">
                  <c:v>17.600000000000001</c:v>
                </c:pt>
                <c:pt idx="180">
                  <c:v>8.3000000000000007</c:v>
                </c:pt>
                <c:pt idx="181">
                  <c:v>27.4</c:v>
                </c:pt>
                <c:pt idx="182">
                  <c:v>29.7</c:v>
                </c:pt>
                <c:pt idx="183">
                  <c:v>71.8</c:v>
                </c:pt>
                <c:pt idx="184">
                  <c:v>30</c:v>
                </c:pt>
                <c:pt idx="185">
                  <c:v>19.600000000000001</c:v>
                </c:pt>
                <c:pt idx="186">
                  <c:v>26.6</c:v>
                </c:pt>
                <c:pt idx="187">
                  <c:v>18.2</c:v>
                </c:pt>
                <c:pt idx="188">
                  <c:v>3.7</c:v>
                </c:pt>
                <c:pt idx="189">
                  <c:v>23.4</c:v>
                </c:pt>
                <c:pt idx="190">
                  <c:v>5.8</c:v>
                </c:pt>
                <c:pt idx="191">
                  <c:v>6</c:v>
                </c:pt>
                <c:pt idx="192">
                  <c:v>31.6</c:v>
                </c:pt>
                <c:pt idx="193">
                  <c:v>3.6</c:v>
                </c:pt>
                <c:pt idx="194">
                  <c:v>6</c:v>
                </c:pt>
                <c:pt idx="195">
                  <c:v>13.8</c:v>
                </c:pt>
                <c:pt idx="196">
                  <c:v>8.1</c:v>
                </c:pt>
                <c:pt idx="197">
                  <c:v>6.4</c:v>
                </c:pt>
                <c:pt idx="198">
                  <c:v>66.2</c:v>
                </c:pt>
                <c:pt idx="199">
                  <c:v>8.6999999999999993</c:v>
                </c:pt>
              </c:numCache>
            </c:numRef>
          </c:xVal>
          <c:yVal>
            <c:numRef>
              <c:f>Advertising!$D$2:$D$201</c:f>
              <c:numCache>
                <c:formatCode>General</c:formatCode>
                <c:ptCount val="200"/>
                <c:pt idx="0">
                  <c:v>22.1</c:v>
                </c:pt>
                <c:pt idx="1">
                  <c:v>10.4</c:v>
                </c:pt>
                <c:pt idx="2">
                  <c:v>9.3000000000000007</c:v>
                </c:pt>
                <c:pt idx="3">
                  <c:v>18.5</c:v>
                </c:pt>
                <c:pt idx="4">
                  <c:v>12.9</c:v>
                </c:pt>
                <c:pt idx="5">
                  <c:v>7.2</c:v>
                </c:pt>
                <c:pt idx="6">
                  <c:v>11.8</c:v>
                </c:pt>
                <c:pt idx="7">
                  <c:v>13.2</c:v>
                </c:pt>
                <c:pt idx="8">
                  <c:v>4.8</c:v>
                </c:pt>
                <c:pt idx="9">
                  <c:v>10.6</c:v>
                </c:pt>
                <c:pt idx="10">
                  <c:v>8.6</c:v>
                </c:pt>
                <c:pt idx="11">
                  <c:v>17.399999999999999</c:v>
                </c:pt>
                <c:pt idx="12">
                  <c:v>9.1999999999999993</c:v>
                </c:pt>
                <c:pt idx="13">
                  <c:v>9.6999999999999993</c:v>
                </c:pt>
                <c:pt idx="14">
                  <c:v>19</c:v>
                </c:pt>
                <c:pt idx="15">
                  <c:v>22.4</c:v>
                </c:pt>
                <c:pt idx="16">
                  <c:v>12.5</c:v>
                </c:pt>
                <c:pt idx="17">
                  <c:v>24.4</c:v>
                </c:pt>
                <c:pt idx="18">
                  <c:v>11.3</c:v>
                </c:pt>
                <c:pt idx="19">
                  <c:v>14.6</c:v>
                </c:pt>
                <c:pt idx="20">
                  <c:v>18</c:v>
                </c:pt>
                <c:pt idx="21">
                  <c:v>12.5</c:v>
                </c:pt>
                <c:pt idx="22">
                  <c:v>5.6</c:v>
                </c:pt>
                <c:pt idx="23">
                  <c:v>15.5</c:v>
                </c:pt>
                <c:pt idx="24">
                  <c:v>9.6999999999999993</c:v>
                </c:pt>
                <c:pt idx="25">
                  <c:v>12</c:v>
                </c:pt>
                <c:pt idx="26">
                  <c:v>15</c:v>
                </c:pt>
                <c:pt idx="27">
                  <c:v>15.9</c:v>
                </c:pt>
                <c:pt idx="28">
                  <c:v>18.899999999999999</c:v>
                </c:pt>
                <c:pt idx="29">
                  <c:v>10.5</c:v>
                </c:pt>
                <c:pt idx="30">
                  <c:v>21.4</c:v>
                </c:pt>
                <c:pt idx="31">
                  <c:v>11.9</c:v>
                </c:pt>
                <c:pt idx="32">
                  <c:v>9.6</c:v>
                </c:pt>
                <c:pt idx="33">
                  <c:v>17.399999999999999</c:v>
                </c:pt>
                <c:pt idx="34">
                  <c:v>9.5</c:v>
                </c:pt>
                <c:pt idx="35">
                  <c:v>12.8</c:v>
                </c:pt>
                <c:pt idx="36">
                  <c:v>25.4</c:v>
                </c:pt>
                <c:pt idx="37">
                  <c:v>14.7</c:v>
                </c:pt>
                <c:pt idx="38">
                  <c:v>10.1</c:v>
                </c:pt>
                <c:pt idx="39">
                  <c:v>21.5</c:v>
                </c:pt>
                <c:pt idx="40">
                  <c:v>16.600000000000001</c:v>
                </c:pt>
                <c:pt idx="41">
                  <c:v>17.100000000000001</c:v>
                </c:pt>
                <c:pt idx="42">
                  <c:v>20.7</c:v>
                </c:pt>
                <c:pt idx="43">
                  <c:v>12.9</c:v>
                </c:pt>
                <c:pt idx="44">
                  <c:v>8.5</c:v>
                </c:pt>
                <c:pt idx="45">
                  <c:v>14.9</c:v>
                </c:pt>
                <c:pt idx="46">
                  <c:v>10.6</c:v>
                </c:pt>
                <c:pt idx="47">
                  <c:v>23.2</c:v>
                </c:pt>
                <c:pt idx="48">
                  <c:v>14.8</c:v>
                </c:pt>
                <c:pt idx="49">
                  <c:v>9.6999999999999993</c:v>
                </c:pt>
                <c:pt idx="50">
                  <c:v>11.4</c:v>
                </c:pt>
                <c:pt idx="51">
                  <c:v>10.7</c:v>
                </c:pt>
                <c:pt idx="52">
                  <c:v>22.6</c:v>
                </c:pt>
                <c:pt idx="53">
                  <c:v>21.2</c:v>
                </c:pt>
                <c:pt idx="54">
                  <c:v>20.2</c:v>
                </c:pt>
                <c:pt idx="55">
                  <c:v>23.7</c:v>
                </c:pt>
                <c:pt idx="56">
                  <c:v>5.5</c:v>
                </c:pt>
                <c:pt idx="57">
                  <c:v>13.2</c:v>
                </c:pt>
                <c:pt idx="58">
                  <c:v>23.8</c:v>
                </c:pt>
                <c:pt idx="59">
                  <c:v>18.399999999999999</c:v>
                </c:pt>
                <c:pt idx="60">
                  <c:v>8.1</c:v>
                </c:pt>
                <c:pt idx="61">
                  <c:v>24.2</c:v>
                </c:pt>
                <c:pt idx="62">
                  <c:v>15.7</c:v>
                </c:pt>
                <c:pt idx="63">
                  <c:v>14</c:v>
                </c:pt>
                <c:pt idx="64">
                  <c:v>18</c:v>
                </c:pt>
                <c:pt idx="65">
                  <c:v>9.3000000000000007</c:v>
                </c:pt>
                <c:pt idx="66">
                  <c:v>9.5</c:v>
                </c:pt>
                <c:pt idx="67">
                  <c:v>13.4</c:v>
                </c:pt>
                <c:pt idx="68">
                  <c:v>18.899999999999999</c:v>
                </c:pt>
                <c:pt idx="69">
                  <c:v>22.3</c:v>
                </c:pt>
                <c:pt idx="70">
                  <c:v>18.3</c:v>
                </c:pt>
                <c:pt idx="71">
                  <c:v>12.4</c:v>
                </c:pt>
                <c:pt idx="72">
                  <c:v>8.8000000000000007</c:v>
                </c:pt>
                <c:pt idx="73">
                  <c:v>11</c:v>
                </c:pt>
                <c:pt idx="74">
                  <c:v>17</c:v>
                </c:pt>
                <c:pt idx="75">
                  <c:v>8.6999999999999993</c:v>
                </c:pt>
                <c:pt idx="76">
                  <c:v>6.9</c:v>
                </c:pt>
                <c:pt idx="77">
                  <c:v>14.2</c:v>
                </c:pt>
                <c:pt idx="78">
                  <c:v>5.3</c:v>
                </c:pt>
                <c:pt idx="79">
                  <c:v>11</c:v>
                </c:pt>
                <c:pt idx="80">
                  <c:v>11.8</c:v>
                </c:pt>
                <c:pt idx="81">
                  <c:v>12.3</c:v>
                </c:pt>
                <c:pt idx="82">
                  <c:v>11.3</c:v>
                </c:pt>
                <c:pt idx="83">
                  <c:v>13.6</c:v>
                </c:pt>
                <c:pt idx="84">
                  <c:v>21.7</c:v>
                </c:pt>
                <c:pt idx="85">
                  <c:v>15.2</c:v>
                </c:pt>
                <c:pt idx="86">
                  <c:v>12</c:v>
                </c:pt>
                <c:pt idx="87">
                  <c:v>16</c:v>
                </c:pt>
                <c:pt idx="88">
                  <c:v>12.9</c:v>
                </c:pt>
                <c:pt idx="89">
                  <c:v>16.7</c:v>
                </c:pt>
                <c:pt idx="90">
                  <c:v>11.2</c:v>
                </c:pt>
                <c:pt idx="91">
                  <c:v>7.3</c:v>
                </c:pt>
                <c:pt idx="92">
                  <c:v>19.399999999999999</c:v>
                </c:pt>
                <c:pt idx="93">
                  <c:v>22.2</c:v>
                </c:pt>
                <c:pt idx="94">
                  <c:v>11.5</c:v>
                </c:pt>
                <c:pt idx="95">
                  <c:v>16.899999999999999</c:v>
                </c:pt>
                <c:pt idx="96">
                  <c:v>11.7</c:v>
                </c:pt>
                <c:pt idx="97">
                  <c:v>15.5</c:v>
                </c:pt>
                <c:pt idx="98">
                  <c:v>25.4</c:v>
                </c:pt>
                <c:pt idx="99">
                  <c:v>17.2</c:v>
                </c:pt>
                <c:pt idx="100">
                  <c:v>11.7</c:v>
                </c:pt>
                <c:pt idx="101">
                  <c:v>23.8</c:v>
                </c:pt>
                <c:pt idx="102">
                  <c:v>14.8</c:v>
                </c:pt>
                <c:pt idx="103">
                  <c:v>14.7</c:v>
                </c:pt>
                <c:pt idx="104">
                  <c:v>20.7</c:v>
                </c:pt>
                <c:pt idx="105">
                  <c:v>19.2</c:v>
                </c:pt>
                <c:pt idx="106">
                  <c:v>7.2</c:v>
                </c:pt>
                <c:pt idx="107">
                  <c:v>8.6999999999999993</c:v>
                </c:pt>
                <c:pt idx="108">
                  <c:v>5.3</c:v>
                </c:pt>
                <c:pt idx="109">
                  <c:v>19.8</c:v>
                </c:pt>
                <c:pt idx="110">
                  <c:v>13.4</c:v>
                </c:pt>
                <c:pt idx="111">
                  <c:v>21.8</c:v>
                </c:pt>
                <c:pt idx="112">
                  <c:v>14.1</c:v>
                </c:pt>
                <c:pt idx="113">
                  <c:v>15.9</c:v>
                </c:pt>
                <c:pt idx="114">
                  <c:v>14.6</c:v>
                </c:pt>
                <c:pt idx="115">
                  <c:v>12.6</c:v>
                </c:pt>
                <c:pt idx="116">
                  <c:v>12.2</c:v>
                </c:pt>
                <c:pt idx="117">
                  <c:v>9.4</c:v>
                </c:pt>
                <c:pt idx="118">
                  <c:v>15.9</c:v>
                </c:pt>
                <c:pt idx="119">
                  <c:v>6.6</c:v>
                </c:pt>
                <c:pt idx="120">
                  <c:v>15.5</c:v>
                </c:pt>
                <c:pt idx="121">
                  <c:v>7</c:v>
                </c:pt>
                <c:pt idx="122">
                  <c:v>11.6</c:v>
                </c:pt>
                <c:pt idx="123">
                  <c:v>15.2</c:v>
                </c:pt>
                <c:pt idx="124">
                  <c:v>19.7</c:v>
                </c:pt>
                <c:pt idx="125">
                  <c:v>10.6</c:v>
                </c:pt>
                <c:pt idx="126">
                  <c:v>6.6</c:v>
                </c:pt>
                <c:pt idx="127">
                  <c:v>8.8000000000000007</c:v>
                </c:pt>
                <c:pt idx="128">
                  <c:v>24.7</c:v>
                </c:pt>
                <c:pt idx="129">
                  <c:v>9.6999999999999993</c:v>
                </c:pt>
                <c:pt idx="130">
                  <c:v>1.6</c:v>
                </c:pt>
                <c:pt idx="131">
                  <c:v>12.7</c:v>
                </c:pt>
                <c:pt idx="132">
                  <c:v>5.7</c:v>
                </c:pt>
                <c:pt idx="133">
                  <c:v>19.600000000000001</c:v>
                </c:pt>
                <c:pt idx="134">
                  <c:v>10.8</c:v>
                </c:pt>
                <c:pt idx="135">
                  <c:v>11.6</c:v>
                </c:pt>
                <c:pt idx="136">
                  <c:v>9.5</c:v>
                </c:pt>
                <c:pt idx="137">
                  <c:v>20.8</c:v>
                </c:pt>
                <c:pt idx="138">
                  <c:v>9.6</c:v>
                </c:pt>
                <c:pt idx="139">
                  <c:v>20.7</c:v>
                </c:pt>
                <c:pt idx="140">
                  <c:v>10.9</c:v>
                </c:pt>
                <c:pt idx="141">
                  <c:v>19.2</c:v>
                </c:pt>
                <c:pt idx="142">
                  <c:v>20.100000000000001</c:v>
                </c:pt>
                <c:pt idx="143">
                  <c:v>10.4</c:v>
                </c:pt>
                <c:pt idx="144">
                  <c:v>11.4</c:v>
                </c:pt>
                <c:pt idx="145">
                  <c:v>10.3</c:v>
                </c:pt>
                <c:pt idx="146">
                  <c:v>13.2</c:v>
                </c:pt>
                <c:pt idx="147">
                  <c:v>25.4</c:v>
                </c:pt>
                <c:pt idx="148">
                  <c:v>10.9</c:v>
                </c:pt>
                <c:pt idx="149">
                  <c:v>10.1</c:v>
                </c:pt>
                <c:pt idx="150">
                  <c:v>16.100000000000001</c:v>
                </c:pt>
                <c:pt idx="151">
                  <c:v>11.6</c:v>
                </c:pt>
                <c:pt idx="152">
                  <c:v>16.600000000000001</c:v>
                </c:pt>
                <c:pt idx="153">
                  <c:v>19</c:v>
                </c:pt>
                <c:pt idx="154">
                  <c:v>15.6</c:v>
                </c:pt>
                <c:pt idx="155">
                  <c:v>3.2</c:v>
                </c:pt>
                <c:pt idx="156">
                  <c:v>15.3</c:v>
                </c:pt>
                <c:pt idx="157">
                  <c:v>10.1</c:v>
                </c:pt>
                <c:pt idx="158">
                  <c:v>7.3</c:v>
                </c:pt>
                <c:pt idx="159">
                  <c:v>12.9</c:v>
                </c:pt>
                <c:pt idx="160">
                  <c:v>14.4</c:v>
                </c:pt>
                <c:pt idx="161">
                  <c:v>13.3</c:v>
                </c:pt>
                <c:pt idx="162">
                  <c:v>14.9</c:v>
                </c:pt>
                <c:pt idx="163">
                  <c:v>18</c:v>
                </c:pt>
                <c:pt idx="164">
                  <c:v>11.9</c:v>
                </c:pt>
                <c:pt idx="165">
                  <c:v>11.9</c:v>
                </c:pt>
                <c:pt idx="166">
                  <c:v>8</c:v>
                </c:pt>
                <c:pt idx="167">
                  <c:v>12.2</c:v>
                </c:pt>
                <c:pt idx="168">
                  <c:v>17.100000000000001</c:v>
                </c:pt>
                <c:pt idx="169">
                  <c:v>15</c:v>
                </c:pt>
                <c:pt idx="170">
                  <c:v>8.4</c:v>
                </c:pt>
                <c:pt idx="171">
                  <c:v>14.5</c:v>
                </c:pt>
                <c:pt idx="172">
                  <c:v>7.6</c:v>
                </c:pt>
                <c:pt idx="173">
                  <c:v>11.7</c:v>
                </c:pt>
                <c:pt idx="174">
                  <c:v>11.5</c:v>
                </c:pt>
                <c:pt idx="175">
                  <c:v>27</c:v>
                </c:pt>
                <c:pt idx="176">
                  <c:v>20.2</c:v>
                </c:pt>
                <c:pt idx="177">
                  <c:v>11.7</c:v>
                </c:pt>
                <c:pt idx="178">
                  <c:v>11.8</c:v>
                </c:pt>
                <c:pt idx="179">
                  <c:v>12.6</c:v>
                </c:pt>
                <c:pt idx="180">
                  <c:v>10.5</c:v>
                </c:pt>
                <c:pt idx="181">
                  <c:v>12.2</c:v>
                </c:pt>
                <c:pt idx="182">
                  <c:v>8.6999999999999993</c:v>
                </c:pt>
                <c:pt idx="183">
                  <c:v>26.2</c:v>
                </c:pt>
                <c:pt idx="184">
                  <c:v>17.600000000000001</c:v>
                </c:pt>
                <c:pt idx="185">
                  <c:v>22.6</c:v>
                </c:pt>
                <c:pt idx="186">
                  <c:v>10.3</c:v>
                </c:pt>
                <c:pt idx="187">
                  <c:v>17.3</c:v>
                </c:pt>
                <c:pt idx="188">
                  <c:v>15.9</c:v>
                </c:pt>
                <c:pt idx="189">
                  <c:v>6.7</c:v>
                </c:pt>
                <c:pt idx="190">
                  <c:v>10.8</c:v>
                </c:pt>
                <c:pt idx="191">
                  <c:v>9.9</c:v>
                </c:pt>
                <c:pt idx="192">
                  <c:v>5.9</c:v>
                </c:pt>
                <c:pt idx="193">
                  <c:v>19.600000000000001</c:v>
                </c:pt>
                <c:pt idx="194">
                  <c:v>17.3</c:v>
                </c:pt>
                <c:pt idx="195">
                  <c:v>7.6</c:v>
                </c:pt>
                <c:pt idx="196">
                  <c:v>9.6999999999999993</c:v>
                </c:pt>
                <c:pt idx="197">
                  <c:v>12.8</c:v>
                </c:pt>
                <c:pt idx="198">
                  <c:v>25.5</c:v>
                </c:pt>
                <c:pt idx="199">
                  <c:v>13.4</c:v>
                </c:pt>
              </c:numCache>
            </c:numRef>
          </c:yVal>
          <c:smooth val="0"/>
          <c:extLst>
            <c:ext xmlns:c16="http://schemas.microsoft.com/office/drawing/2014/chart" uri="{C3380CC4-5D6E-409C-BE32-E72D297353CC}">
              <c16:uniqueId val="{00000001-70DF-41C6-A82D-3A22FAF6CA45}"/>
            </c:ext>
          </c:extLst>
        </c:ser>
        <c:ser>
          <c:idx val="1"/>
          <c:order val="1"/>
          <c:tx>
            <c:v>Predicted sales</c:v>
          </c:tx>
          <c:spPr>
            <a:ln w="19050">
              <a:noFill/>
            </a:ln>
          </c:spPr>
          <c:xVal>
            <c:numRef>
              <c:f>Advertising!$C$2:$C$201</c:f>
              <c:numCache>
                <c:formatCode>General</c:formatCode>
                <c:ptCount val="200"/>
                <c:pt idx="0">
                  <c:v>69.2</c:v>
                </c:pt>
                <c:pt idx="1">
                  <c:v>45.1</c:v>
                </c:pt>
                <c:pt idx="2">
                  <c:v>69.3</c:v>
                </c:pt>
                <c:pt idx="3">
                  <c:v>58.5</c:v>
                </c:pt>
                <c:pt idx="4">
                  <c:v>58.4</c:v>
                </c:pt>
                <c:pt idx="5">
                  <c:v>75</c:v>
                </c:pt>
                <c:pt idx="6">
                  <c:v>23.5</c:v>
                </c:pt>
                <c:pt idx="7">
                  <c:v>11.6</c:v>
                </c:pt>
                <c:pt idx="8">
                  <c:v>1</c:v>
                </c:pt>
                <c:pt idx="9">
                  <c:v>21.2</c:v>
                </c:pt>
                <c:pt idx="10">
                  <c:v>24.2</c:v>
                </c:pt>
                <c:pt idx="11">
                  <c:v>4</c:v>
                </c:pt>
                <c:pt idx="12">
                  <c:v>65.900000000000006</c:v>
                </c:pt>
                <c:pt idx="13">
                  <c:v>7.2</c:v>
                </c:pt>
                <c:pt idx="14">
                  <c:v>46</c:v>
                </c:pt>
                <c:pt idx="15">
                  <c:v>52.9</c:v>
                </c:pt>
                <c:pt idx="16">
                  <c:v>114</c:v>
                </c:pt>
                <c:pt idx="17">
                  <c:v>55.8</c:v>
                </c:pt>
                <c:pt idx="18">
                  <c:v>18.3</c:v>
                </c:pt>
                <c:pt idx="19">
                  <c:v>19.100000000000001</c:v>
                </c:pt>
                <c:pt idx="20">
                  <c:v>53.4</c:v>
                </c:pt>
                <c:pt idx="21">
                  <c:v>23.5</c:v>
                </c:pt>
                <c:pt idx="22">
                  <c:v>49.6</c:v>
                </c:pt>
                <c:pt idx="23">
                  <c:v>26.2</c:v>
                </c:pt>
                <c:pt idx="24">
                  <c:v>18.3</c:v>
                </c:pt>
                <c:pt idx="25">
                  <c:v>19.5</c:v>
                </c:pt>
                <c:pt idx="26">
                  <c:v>12.6</c:v>
                </c:pt>
                <c:pt idx="27">
                  <c:v>22.9</c:v>
                </c:pt>
                <c:pt idx="28">
                  <c:v>22.9</c:v>
                </c:pt>
                <c:pt idx="29">
                  <c:v>40.799999999999997</c:v>
                </c:pt>
                <c:pt idx="30">
                  <c:v>43.2</c:v>
                </c:pt>
                <c:pt idx="31">
                  <c:v>38.6</c:v>
                </c:pt>
                <c:pt idx="32">
                  <c:v>30</c:v>
                </c:pt>
                <c:pt idx="33">
                  <c:v>0.3</c:v>
                </c:pt>
                <c:pt idx="34">
                  <c:v>7.4</c:v>
                </c:pt>
                <c:pt idx="35">
                  <c:v>8.5</c:v>
                </c:pt>
                <c:pt idx="36">
                  <c:v>5</c:v>
                </c:pt>
                <c:pt idx="37">
                  <c:v>45.7</c:v>
                </c:pt>
                <c:pt idx="38">
                  <c:v>35.1</c:v>
                </c:pt>
                <c:pt idx="39">
                  <c:v>32</c:v>
                </c:pt>
                <c:pt idx="40">
                  <c:v>31.6</c:v>
                </c:pt>
                <c:pt idx="41">
                  <c:v>38.700000000000003</c:v>
                </c:pt>
                <c:pt idx="42">
                  <c:v>1.8</c:v>
                </c:pt>
                <c:pt idx="43">
                  <c:v>26.4</c:v>
                </c:pt>
                <c:pt idx="44">
                  <c:v>43.3</c:v>
                </c:pt>
                <c:pt idx="45">
                  <c:v>31.5</c:v>
                </c:pt>
                <c:pt idx="46">
                  <c:v>35.700000000000003</c:v>
                </c:pt>
                <c:pt idx="47">
                  <c:v>18.5</c:v>
                </c:pt>
                <c:pt idx="48">
                  <c:v>49.9</c:v>
                </c:pt>
                <c:pt idx="49">
                  <c:v>36.799999999999997</c:v>
                </c:pt>
                <c:pt idx="50">
                  <c:v>34.6</c:v>
                </c:pt>
                <c:pt idx="51">
                  <c:v>3.6</c:v>
                </c:pt>
                <c:pt idx="52">
                  <c:v>39.6</c:v>
                </c:pt>
                <c:pt idx="53">
                  <c:v>58.7</c:v>
                </c:pt>
                <c:pt idx="54">
                  <c:v>15.9</c:v>
                </c:pt>
                <c:pt idx="55">
                  <c:v>60</c:v>
                </c:pt>
                <c:pt idx="56">
                  <c:v>41.4</c:v>
                </c:pt>
                <c:pt idx="57">
                  <c:v>16.600000000000001</c:v>
                </c:pt>
                <c:pt idx="58">
                  <c:v>37.700000000000003</c:v>
                </c:pt>
                <c:pt idx="59">
                  <c:v>9.3000000000000007</c:v>
                </c:pt>
                <c:pt idx="60">
                  <c:v>21.4</c:v>
                </c:pt>
                <c:pt idx="61">
                  <c:v>54.7</c:v>
                </c:pt>
                <c:pt idx="62">
                  <c:v>27.3</c:v>
                </c:pt>
                <c:pt idx="63">
                  <c:v>8.4</c:v>
                </c:pt>
                <c:pt idx="64">
                  <c:v>28.9</c:v>
                </c:pt>
                <c:pt idx="65">
                  <c:v>0.9</c:v>
                </c:pt>
                <c:pt idx="66">
                  <c:v>2.2000000000000002</c:v>
                </c:pt>
                <c:pt idx="67">
                  <c:v>10.199999999999999</c:v>
                </c:pt>
                <c:pt idx="68">
                  <c:v>11</c:v>
                </c:pt>
                <c:pt idx="69">
                  <c:v>27.2</c:v>
                </c:pt>
                <c:pt idx="70">
                  <c:v>38.700000000000003</c:v>
                </c:pt>
                <c:pt idx="71">
                  <c:v>31.7</c:v>
                </c:pt>
                <c:pt idx="72">
                  <c:v>19.3</c:v>
                </c:pt>
                <c:pt idx="73">
                  <c:v>31.3</c:v>
                </c:pt>
                <c:pt idx="74">
                  <c:v>13.1</c:v>
                </c:pt>
                <c:pt idx="75">
                  <c:v>89.4</c:v>
                </c:pt>
                <c:pt idx="76">
                  <c:v>20.7</c:v>
                </c:pt>
                <c:pt idx="77">
                  <c:v>14.2</c:v>
                </c:pt>
                <c:pt idx="78">
                  <c:v>9.4</c:v>
                </c:pt>
                <c:pt idx="79">
                  <c:v>23.1</c:v>
                </c:pt>
                <c:pt idx="80">
                  <c:v>22.3</c:v>
                </c:pt>
                <c:pt idx="81">
                  <c:v>36.9</c:v>
                </c:pt>
                <c:pt idx="82">
                  <c:v>32.5</c:v>
                </c:pt>
                <c:pt idx="83">
                  <c:v>35.6</c:v>
                </c:pt>
                <c:pt idx="84">
                  <c:v>33.799999999999997</c:v>
                </c:pt>
                <c:pt idx="85">
                  <c:v>65.7</c:v>
                </c:pt>
                <c:pt idx="86">
                  <c:v>16</c:v>
                </c:pt>
                <c:pt idx="87">
                  <c:v>63.2</c:v>
                </c:pt>
                <c:pt idx="88">
                  <c:v>73.400000000000006</c:v>
                </c:pt>
                <c:pt idx="89">
                  <c:v>51.4</c:v>
                </c:pt>
                <c:pt idx="90">
                  <c:v>9.3000000000000007</c:v>
                </c:pt>
                <c:pt idx="91">
                  <c:v>33</c:v>
                </c:pt>
                <c:pt idx="92">
                  <c:v>59</c:v>
                </c:pt>
                <c:pt idx="93">
                  <c:v>72.3</c:v>
                </c:pt>
                <c:pt idx="94">
                  <c:v>10.9</c:v>
                </c:pt>
                <c:pt idx="95">
                  <c:v>52.9</c:v>
                </c:pt>
                <c:pt idx="96">
                  <c:v>5.9</c:v>
                </c:pt>
                <c:pt idx="97">
                  <c:v>22</c:v>
                </c:pt>
                <c:pt idx="98">
                  <c:v>51.2</c:v>
                </c:pt>
                <c:pt idx="99">
                  <c:v>45.9</c:v>
                </c:pt>
                <c:pt idx="100">
                  <c:v>49.8</c:v>
                </c:pt>
                <c:pt idx="101">
                  <c:v>100.9</c:v>
                </c:pt>
                <c:pt idx="102">
                  <c:v>21.4</c:v>
                </c:pt>
                <c:pt idx="103">
                  <c:v>17.899999999999999</c:v>
                </c:pt>
                <c:pt idx="104">
                  <c:v>5.3</c:v>
                </c:pt>
                <c:pt idx="105">
                  <c:v>59</c:v>
                </c:pt>
                <c:pt idx="106">
                  <c:v>29.7</c:v>
                </c:pt>
                <c:pt idx="107">
                  <c:v>23.2</c:v>
                </c:pt>
                <c:pt idx="108">
                  <c:v>25.6</c:v>
                </c:pt>
                <c:pt idx="109">
                  <c:v>5.5</c:v>
                </c:pt>
                <c:pt idx="110">
                  <c:v>56.5</c:v>
                </c:pt>
                <c:pt idx="111">
                  <c:v>23.2</c:v>
                </c:pt>
                <c:pt idx="112">
                  <c:v>2.4</c:v>
                </c:pt>
                <c:pt idx="113">
                  <c:v>10.7</c:v>
                </c:pt>
                <c:pt idx="114">
                  <c:v>34.5</c:v>
                </c:pt>
                <c:pt idx="115">
                  <c:v>52.7</c:v>
                </c:pt>
                <c:pt idx="116">
                  <c:v>25.6</c:v>
                </c:pt>
                <c:pt idx="117">
                  <c:v>14.8</c:v>
                </c:pt>
                <c:pt idx="118">
                  <c:v>79.2</c:v>
                </c:pt>
                <c:pt idx="119">
                  <c:v>22.3</c:v>
                </c:pt>
                <c:pt idx="120">
                  <c:v>46.2</c:v>
                </c:pt>
                <c:pt idx="121">
                  <c:v>50.4</c:v>
                </c:pt>
                <c:pt idx="122">
                  <c:v>15.6</c:v>
                </c:pt>
                <c:pt idx="123">
                  <c:v>12.4</c:v>
                </c:pt>
                <c:pt idx="124">
                  <c:v>74.2</c:v>
                </c:pt>
                <c:pt idx="125">
                  <c:v>25.9</c:v>
                </c:pt>
                <c:pt idx="126">
                  <c:v>50.6</c:v>
                </c:pt>
                <c:pt idx="127">
                  <c:v>9.1999999999999993</c:v>
                </c:pt>
                <c:pt idx="128">
                  <c:v>3.2</c:v>
                </c:pt>
                <c:pt idx="129">
                  <c:v>43.1</c:v>
                </c:pt>
                <c:pt idx="130">
                  <c:v>8.6999999999999993</c:v>
                </c:pt>
                <c:pt idx="131">
                  <c:v>43</c:v>
                </c:pt>
                <c:pt idx="132">
                  <c:v>2.1</c:v>
                </c:pt>
                <c:pt idx="133">
                  <c:v>45.1</c:v>
                </c:pt>
                <c:pt idx="134">
                  <c:v>65.599999999999994</c:v>
                </c:pt>
                <c:pt idx="135">
                  <c:v>8.5</c:v>
                </c:pt>
                <c:pt idx="136">
                  <c:v>9.3000000000000007</c:v>
                </c:pt>
                <c:pt idx="137">
                  <c:v>59.7</c:v>
                </c:pt>
                <c:pt idx="138">
                  <c:v>20.5</c:v>
                </c:pt>
                <c:pt idx="139">
                  <c:v>1.7</c:v>
                </c:pt>
                <c:pt idx="140">
                  <c:v>12.9</c:v>
                </c:pt>
                <c:pt idx="141">
                  <c:v>75.599999999999994</c:v>
                </c:pt>
                <c:pt idx="142">
                  <c:v>37.9</c:v>
                </c:pt>
                <c:pt idx="143">
                  <c:v>34.4</c:v>
                </c:pt>
                <c:pt idx="144">
                  <c:v>38.9</c:v>
                </c:pt>
                <c:pt idx="145">
                  <c:v>9</c:v>
                </c:pt>
                <c:pt idx="146">
                  <c:v>8.6999999999999993</c:v>
                </c:pt>
                <c:pt idx="147">
                  <c:v>44.3</c:v>
                </c:pt>
                <c:pt idx="148">
                  <c:v>11.9</c:v>
                </c:pt>
                <c:pt idx="149">
                  <c:v>20.6</c:v>
                </c:pt>
                <c:pt idx="150">
                  <c:v>37</c:v>
                </c:pt>
                <c:pt idx="151">
                  <c:v>48.7</c:v>
                </c:pt>
                <c:pt idx="152">
                  <c:v>14.2</c:v>
                </c:pt>
                <c:pt idx="153">
                  <c:v>37.700000000000003</c:v>
                </c:pt>
                <c:pt idx="154">
                  <c:v>9.5</c:v>
                </c:pt>
                <c:pt idx="155">
                  <c:v>5.7</c:v>
                </c:pt>
                <c:pt idx="156">
                  <c:v>50.5</c:v>
                </c:pt>
                <c:pt idx="157">
                  <c:v>24.3</c:v>
                </c:pt>
                <c:pt idx="158">
                  <c:v>45.2</c:v>
                </c:pt>
                <c:pt idx="159">
                  <c:v>34.6</c:v>
                </c:pt>
                <c:pt idx="160">
                  <c:v>30.7</c:v>
                </c:pt>
                <c:pt idx="161">
                  <c:v>49.3</c:v>
                </c:pt>
                <c:pt idx="162">
                  <c:v>25.6</c:v>
                </c:pt>
                <c:pt idx="163">
                  <c:v>7.4</c:v>
                </c:pt>
                <c:pt idx="164">
                  <c:v>5.4</c:v>
                </c:pt>
                <c:pt idx="165">
                  <c:v>84.8</c:v>
                </c:pt>
                <c:pt idx="166">
                  <c:v>21.6</c:v>
                </c:pt>
                <c:pt idx="167">
                  <c:v>19.399999999999999</c:v>
                </c:pt>
                <c:pt idx="168">
                  <c:v>57.6</c:v>
                </c:pt>
                <c:pt idx="169">
                  <c:v>6.4</c:v>
                </c:pt>
                <c:pt idx="170">
                  <c:v>18.399999999999999</c:v>
                </c:pt>
                <c:pt idx="171">
                  <c:v>47.4</c:v>
                </c:pt>
                <c:pt idx="172">
                  <c:v>17</c:v>
                </c:pt>
                <c:pt idx="173">
                  <c:v>12.8</c:v>
                </c:pt>
                <c:pt idx="174">
                  <c:v>13.1</c:v>
                </c:pt>
                <c:pt idx="175">
                  <c:v>41.8</c:v>
                </c:pt>
                <c:pt idx="176">
                  <c:v>20.3</c:v>
                </c:pt>
                <c:pt idx="177">
                  <c:v>35.200000000000003</c:v>
                </c:pt>
                <c:pt idx="178">
                  <c:v>23.7</c:v>
                </c:pt>
                <c:pt idx="179">
                  <c:v>17.600000000000001</c:v>
                </c:pt>
                <c:pt idx="180">
                  <c:v>8.3000000000000007</c:v>
                </c:pt>
                <c:pt idx="181">
                  <c:v>27.4</c:v>
                </c:pt>
                <c:pt idx="182">
                  <c:v>29.7</c:v>
                </c:pt>
                <c:pt idx="183">
                  <c:v>71.8</c:v>
                </c:pt>
                <c:pt idx="184">
                  <c:v>30</c:v>
                </c:pt>
                <c:pt idx="185">
                  <c:v>19.600000000000001</c:v>
                </c:pt>
                <c:pt idx="186">
                  <c:v>26.6</c:v>
                </c:pt>
                <c:pt idx="187">
                  <c:v>18.2</c:v>
                </c:pt>
                <c:pt idx="188">
                  <c:v>3.7</c:v>
                </c:pt>
                <c:pt idx="189">
                  <c:v>23.4</c:v>
                </c:pt>
                <c:pt idx="190">
                  <c:v>5.8</c:v>
                </c:pt>
                <c:pt idx="191">
                  <c:v>6</c:v>
                </c:pt>
                <c:pt idx="192">
                  <c:v>31.6</c:v>
                </c:pt>
                <c:pt idx="193">
                  <c:v>3.6</c:v>
                </c:pt>
                <c:pt idx="194">
                  <c:v>6</c:v>
                </c:pt>
                <c:pt idx="195">
                  <c:v>13.8</c:v>
                </c:pt>
                <c:pt idx="196">
                  <c:v>8.1</c:v>
                </c:pt>
                <c:pt idx="197">
                  <c:v>6.4</c:v>
                </c:pt>
                <c:pt idx="198">
                  <c:v>66.2</c:v>
                </c:pt>
                <c:pt idx="199">
                  <c:v>8.6999999999999993</c:v>
                </c:pt>
              </c:numCache>
            </c:numRef>
          </c:xVal>
          <c:yVal>
            <c:numRef>
              <c:f>Advertising!$G$29:$G$228</c:f>
              <c:numCache>
                <c:formatCode>General</c:formatCode>
                <c:ptCount val="200"/>
                <c:pt idx="0">
                  <c:v>20.523974409715162</c:v>
                </c:pt>
                <c:pt idx="1">
                  <c:v>12.337854820894361</c:v>
                </c:pt>
                <c:pt idx="2">
                  <c:v>12.307670779994229</c:v>
                </c:pt>
                <c:pt idx="3">
                  <c:v>17.597829511689124</c:v>
                </c:pt>
                <c:pt idx="4">
                  <c:v>13.18867185683129</c:v>
                </c:pt>
                <c:pt idx="5">
                  <c:v>12.478347634035847</c:v>
                </c:pt>
                <c:pt idx="6">
                  <c:v>11.729759951563686</c:v>
                </c:pt>
                <c:pt idx="7">
                  <c:v>12.122953165502285</c:v>
                </c:pt>
                <c:pt idx="8">
                  <c:v>3.7273408628615892</c:v>
                </c:pt>
                <c:pt idx="9">
                  <c:v>12.550848722934685</c:v>
                </c:pt>
                <c:pt idx="10">
                  <c:v>7.0322992005588549</c:v>
                </c:pt>
                <c:pt idx="11">
                  <c:v>17.285129182600272</c:v>
                </c:pt>
                <c:pt idx="12">
                  <c:v>10.577120733627664</c:v>
                </c:pt>
                <c:pt idx="13">
                  <c:v>8.8263004800332023</c:v>
                </c:pt>
                <c:pt idx="14">
                  <c:v>18.43436638356107</c:v>
                </c:pt>
                <c:pt idx="15">
                  <c:v>20.819299516495455</c:v>
                </c:pt>
                <c:pt idx="16">
                  <c:v>12.823656743699356</c:v>
                </c:pt>
                <c:pt idx="17">
                  <c:v>23.224957158799004</c:v>
                </c:pt>
                <c:pt idx="18">
                  <c:v>9.9516820591188022</c:v>
                </c:pt>
                <c:pt idx="19">
                  <c:v>14.166072932273263</c:v>
                </c:pt>
                <c:pt idx="20">
                  <c:v>18.100767277084273</c:v>
                </c:pt>
                <c:pt idx="21">
                  <c:v>14.740538200355449</c:v>
                </c:pt>
                <c:pt idx="22">
                  <c:v>6.4891503035632914</c:v>
                </c:pt>
                <c:pt idx="23">
                  <c:v>16.545932895131454</c:v>
                </c:pt>
                <c:pt idx="24">
                  <c:v>8.1465188718227441</c:v>
                </c:pt>
                <c:pt idx="25">
                  <c:v>15.610038604568864</c:v>
                </c:pt>
                <c:pt idx="26">
                  <c:v>14.989514288403914</c:v>
                </c:pt>
                <c:pt idx="27">
                  <c:v>17.051673435161675</c:v>
                </c:pt>
                <c:pt idx="28">
                  <c:v>19.410538026572961</c:v>
                </c:pt>
                <c:pt idx="29">
                  <c:v>9.1440238931687237</c:v>
                </c:pt>
                <c:pt idx="30">
                  <c:v>21.633933802695569</c:v>
                </c:pt>
                <c:pt idx="31">
                  <c:v>11.346092904310975</c:v>
                </c:pt>
                <c:pt idx="32">
                  <c:v>7.6388831418270788</c:v>
                </c:pt>
                <c:pt idx="33">
                  <c:v>18.864268292864352</c:v>
                </c:pt>
                <c:pt idx="34">
                  <c:v>7.5748305147121249</c:v>
                </c:pt>
                <c:pt idx="35">
                  <c:v>17.006826181847078</c:v>
                </c:pt>
                <c:pt idx="36">
                  <c:v>23.405900517309995</c:v>
                </c:pt>
                <c:pt idx="37">
                  <c:v>15.623477788695743</c:v>
                </c:pt>
                <c:pt idx="38">
                  <c:v>9.9086810345121901</c:v>
                </c:pt>
                <c:pt idx="39">
                  <c:v>20.447610393747123</c:v>
                </c:pt>
                <c:pt idx="40">
                  <c:v>16.37766467131113</c:v>
                </c:pt>
                <c:pt idx="41">
                  <c:v>17.295983199388978</c:v>
                </c:pt>
                <c:pt idx="42">
                  <c:v>21.595803256321947</c:v>
                </c:pt>
                <c:pt idx="43">
                  <c:v>13.963856839972715</c:v>
                </c:pt>
                <c:pt idx="44">
                  <c:v>8.8878799564485256</c:v>
                </c:pt>
                <c:pt idx="45">
                  <c:v>15.161523138521126</c:v>
                </c:pt>
                <c:pt idx="46">
                  <c:v>8.8733867326823983</c:v>
                </c:pt>
                <c:pt idx="47">
                  <c:v>21.722629895028959</c:v>
                </c:pt>
                <c:pt idx="48">
                  <c:v>16.263620181413803</c:v>
                </c:pt>
                <c:pt idx="49">
                  <c:v>8.1681656044053774</c:v>
                </c:pt>
                <c:pt idx="50">
                  <c:v>12.631211324624605</c:v>
                </c:pt>
                <c:pt idx="51">
                  <c:v>9.3398129606431795</c:v>
                </c:pt>
                <c:pt idx="52">
                  <c:v>20.662975627014507</c:v>
                </c:pt>
                <c:pt idx="53">
                  <c:v>19.944699569642697</c:v>
                </c:pt>
                <c:pt idx="54">
                  <c:v>20.374430078461266</c:v>
                </c:pt>
                <c:pt idx="55">
                  <c:v>21.292610603748713</c:v>
                </c:pt>
                <c:pt idx="56">
                  <c:v>8.5277125447268425</c:v>
                </c:pt>
                <c:pt idx="57">
                  <c:v>12.774588020808983</c:v>
                </c:pt>
                <c:pt idx="58">
                  <c:v>21.898051982898803</c:v>
                </c:pt>
                <c:pt idx="59">
                  <c:v>18.13348698070368</c:v>
                </c:pt>
                <c:pt idx="60">
                  <c:v>5.7421555840506038</c:v>
                </c:pt>
                <c:pt idx="61">
                  <c:v>22.890672079938675</c:v>
                </c:pt>
                <c:pt idx="62">
                  <c:v>16.78426072910862</c:v>
                </c:pt>
                <c:pt idx="63">
                  <c:v>13.210692016950794</c:v>
                </c:pt>
                <c:pt idx="64">
                  <c:v>16.977735563833615</c:v>
                </c:pt>
                <c:pt idx="65">
                  <c:v>7.8490453194829195</c:v>
                </c:pt>
                <c:pt idx="66">
                  <c:v>9.0160316327988195</c:v>
                </c:pt>
                <c:pt idx="67">
                  <c:v>12.037007297677002</c:v>
                </c:pt>
                <c:pt idx="68">
                  <c:v>18.976579242354177</c:v>
                </c:pt>
                <c:pt idx="69">
                  <c:v>21.108912436143427</c:v>
                </c:pt>
                <c:pt idx="70">
                  <c:v>17.779497816582293</c:v>
                </c:pt>
                <c:pt idx="71">
                  <c:v>10.626938152945893</c:v>
                </c:pt>
                <c:pt idx="72">
                  <c:v>10.366848810245022</c:v>
                </c:pt>
                <c:pt idx="73">
                  <c:v>9.9029820555921209</c:v>
                </c:pt>
                <c:pt idx="74">
                  <c:v>17.329311966972643</c:v>
                </c:pt>
                <c:pt idx="75">
                  <c:v>11.858321738983788</c:v>
                </c:pt>
                <c:pt idx="76">
                  <c:v>4.4775890405727177</c:v>
                </c:pt>
                <c:pt idx="77">
                  <c:v>13.811902227800482</c:v>
                </c:pt>
                <c:pt idx="78">
                  <c:v>8.8133135261735962</c:v>
                </c:pt>
                <c:pt idx="79">
                  <c:v>9.6753032832745074</c:v>
                </c:pt>
                <c:pt idx="80">
                  <c:v>11.445923639120625</c:v>
                </c:pt>
                <c:pt idx="81">
                  <c:v>14.647940925761016</c:v>
                </c:pt>
                <c:pt idx="82">
                  <c:v>10.178407991809921</c:v>
                </c:pt>
                <c:pt idx="83">
                  <c:v>14.421842119156549</c:v>
                </c:pt>
                <c:pt idx="84">
                  <c:v>20.781364636833885</c:v>
                </c:pt>
                <c:pt idx="85">
                  <c:v>15.181407889846495</c:v>
                </c:pt>
                <c:pt idx="86">
                  <c:v>11.59870739427725</c:v>
                </c:pt>
                <c:pt idx="87">
                  <c:v>15.593784747966524</c:v>
                </c:pt>
                <c:pt idx="88">
                  <c:v>11.711271005267474</c:v>
                </c:pt>
                <c:pt idx="89">
                  <c:v>16.922255106768954</c:v>
                </c:pt>
                <c:pt idx="90">
                  <c:v>9.9992296517234802</c:v>
                </c:pt>
                <c:pt idx="91">
                  <c:v>4.4963159844593772</c:v>
                </c:pt>
                <c:pt idx="92">
                  <c:v>19.156396162353211</c:v>
                </c:pt>
                <c:pt idx="93">
                  <c:v>21.22757378476209</c:v>
                </c:pt>
                <c:pt idx="94">
                  <c:v>10.482123854060985</c:v>
                </c:pt>
                <c:pt idx="95">
                  <c:v>16.3149211249941</c:v>
                </c:pt>
                <c:pt idx="96">
                  <c:v>12.63571716170908</c:v>
                </c:pt>
                <c:pt idx="97">
                  <c:v>15.337077822510238</c:v>
                </c:pt>
                <c:pt idx="98">
                  <c:v>24.118607229753348</c:v>
                </c:pt>
                <c:pt idx="99">
                  <c:v>16.940350209868626</c:v>
                </c:pt>
                <c:pt idx="100">
                  <c:v>13.875958437972796</c:v>
                </c:pt>
                <c:pt idx="101">
                  <c:v>23.242486848584214</c:v>
                </c:pt>
                <c:pt idx="102">
                  <c:v>17.644093845826685</c:v>
                </c:pt>
                <c:pt idx="103">
                  <c:v>14.762211416061408</c:v>
                </c:pt>
                <c:pt idx="104">
                  <c:v>20.301108784104397</c:v>
                </c:pt>
                <c:pt idx="105">
                  <c:v>17.936414673257321</c:v>
                </c:pt>
                <c:pt idx="106">
                  <c:v>6.1260221485830586</c:v>
                </c:pt>
                <c:pt idx="107">
                  <c:v>7.108502485117369</c:v>
                </c:pt>
                <c:pt idx="108">
                  <c:v>3.5872584098050151</c:v>
                </c:pt>
                <c:pt idx="109">
                  <c:v>19.692931062134029</c:v>
                </c:pt>
                <c:pt idx="110">
                  <c:v>14.759874095117553</c:v>
                </c:pt>
                <c:pt idx="111">
                  <c:v>21.14027498033532</c:v>
                </c:pt>
                <c:pt idx="112">
                  <c:v>13.880609853211171</c:v>
                </c:pt>
                <c:pt idx="113">
                  <c:v>16.403776229871259</c:v>
                </c:pt>
                <c:pt idx="114">
                  <c:v>15.305095925878035</c:v>
                </c:pt>
                <c:pt idx="115">
                  <c:v>12.919688951958426</c:v>
                </c:pt>
                <c:pt idx="116">
                  <c:v>11.978747436893686</c:v>
                </c:pt>
                <c:pt idx="117">
                  <c:v>6.5707773987577056</c:v>
                </c:pt>
                <c:pt idx="118">
                  <c:v>15.566093478520511</c:v>
                </c:pt>
                <c:pt idx="119">
                  <c:v>6.8200676671381784</c:v>
                </c:pt>
                <c:pt idx="120">
                  <c:v>14.410106047152565</c:v>
                </c:pt>
                <c:pt idx="121">
                  <c:v>7.8380764218051215</c:v>
                </c:pt>
                <c:pt idx="122">
                  <c:v>13.626457100609532</c:v>
                </c:pt>
                <c:pt idx="123">
                  <c:v>15.08279089666202</c:v>
                </c:pt>
                <c:pt idx="124">
                  <c:v>19.454413064179416</c:v>
                </c:pt>
                <c:pt idx="125">
                  <c:v>9.1273495830047597</c:v>
                </c:pt>
                <c:pt idx="126">
                  <c:v>10.577174114180366</c:v>
                </c:pt>
                <c:pt idx="127">
                  <c:v>6.59966899899152</c:v>
                </c:pt>
                <c:pt idx="128">
                  <c:v>22.25549161453959</c:v>
                </c:pt>
                <c:pt idx="129">
                  <c:v>7.8841064914888364</c:v>
                </c:pt>
                <c:pt idx="130">
                  <c:v>10.427687101769544</c:v>
                </c:pt>
                <c:pt idx="131">
                  <c:v>15.577798192467164</c:v>
                </c:pt>
                <c:pt idx="132">
                  <c:v>8.4491501160707134</c:v>
                </c:pt>
                <c:pt idx="133">
                  <c:v>19.266923071099967</c:v>
                </c:pt>
                <c:pt idx="134">
                  <c:v>11.836803896219831</c:v>
                </c:pt>
                <c:pt idx="135">
                  <c:v>14.001413849249673</c:v>
                </c:pt>
                <c:pt idx="136">
                  <c:v>11.453486267632533</c:v>
                </c:pt>
                <c:pt idx="137">
                  <c:v>20.851251984901999</c:v>
                </c:pt>
                <c:pt idx="138">
                  <c:v>9.7684279548522408</c:v>
                </c:pt>
                <c:pt idx="139">
                  <c:v>19.675476318699388</c:v>
                </c:pt>
                <c:pt idx="140">
                  <c:v>9.489640973247127</c:v>
                </c:pt>
                <c:pt idx="141">
                  <c:v>18.39902931906315</c:v>
                </c:pt>
                <c:pt idx="142">
                  <c:v>19.249869267749116</c:v>
                </c:pt>
                <c:pt idx="143">
                  <c:v>8.7648026198665843</c:v>
                </c:pt>
                <c:pt idx="144">
                  <c:v>10.09133403330576</c:v>
                </c:pt>
                <c:pt idx="145">
                  <c:v>9.708538721613996</c:v>
                </c:pt>
                <c:pt idx="146">
                  <c:v>15.29422367733372</c:v>
                </c:pt>
                <c:pt idx="147">
                  <c:v>23.260861031422419</c:v>
                </c:pt>
                <c:pt idx="148">
                  <c:v>12.263359411362689</c:v>
                </c:pt>
                <c:pt idx="149">
                  <c:v>9.8272711011303482</c:v>
                </c:pt>
                <c:pt idx="150">
                  <c:v>18.367205341380927</c:v>
                </c:pt>
                <c:pt idx="151">
                  <c:v>10.009537700506844</c:v>
                </c:pt>
                <c:pt idx="152">
                  <c:v>16.360000304436973</c:v>
                </c:pt>
                <c:pt idx="153">
                  <c:v>18.223901319920376</c:v>
                </c:pt>
                <c:pt idx="154">
                  <c:v>15.501616959053665</c:v>
                </c:pt>
                <c:pt idx="155">
                  <c:v>5.3075589017356029</c:v>
                </c:pt>
                <c:pt idx="156">
                  <c:v>15.384851915018084</c:v>
                </c:pt>
                <c:pt idx="157">
                  <c:v>10.014311199739465</c:v>
                </c:pt>
                <c:pt idx="158">
                  <c:v>10.38419866004938</c:v>
                </c:pt>
                <c:pt idx="159">
                  <c:v>12.399148227960556</c:v>
                </c:pt>
                <c:pt idx="160">
                  <c:v>14.213832980330974</c:v>
                </c:pt>
                <c:pt idx="161">
                  <c:v>13.559145683664621</c:v>
                </c:pt>
                <c:pt idx="162">
                  <c:v>14.946782057588425</c:v>
                </c:pt>
                <c:pt idx="163">
                  <c:v>17.351636075492511</c:v>
                </c:pt>
                <c:pt idx="164">
                  <c:v>11.068294603100242</c:v>
                </c:pt>
                <c:pt idx="165">
                  <c:v>14.223721376270053</c:v>
                </c:pt>
                <c:pt idx="166">
                  <c:v>10.824395309518028</c:v>
                </c:pt>
                <c:pt idx="167">
                  <c:v>13.363246772586256</c:v>
                </c:pt>
                <c:pt idx="168">
                  <c:v>17.186142800575041</c:v>
                </c:pt>
                <c:pt idx="169">
                  <c:v>17.941556296290063</c:v>
                </c:pt>
                <c:pt idx="170">
                  <c:v>7.3949799664989024</c:v>
                </c:pt>
                <c:pt idx="171">
                  <c:v>14.358273730249413</c:v>
                </c:pt>
                <c:pt idx="172">
                  <c:v>7.6076923787190207</c:v>
                </c:pt>
                <c:pt idx="173">
                  <c:v>11.970938873323922</c:v>
                </c:pt>
                <c:pt idx="174">
                  <c:v>13.744357417405292</c:v>
                </c:pt>
                <c:pt idx="175">
                  <c:v>24.786870314183684</c:v>
                </c:pt>
                <c:pt idx="176">
                  <c:v>19.979372702747675</c:v>
                </c:pt>
                <c:pt idx="177">
                  <c:v>12.16204640283491</c:v>
                </c:pt>
                <c:pt idx="178">
                  <c:v>16.010997220773103</c:v>
                </c:pt>
                <c:pt idx="179">
                  <c:v>12.384554948507715</c:v>
                </c:pt>
                <c:pt idx="180">
                  <c:v>10.587199699509453</c:v>
                </c:pt>
                <c:pt idx="181">
                  <c:v>13.928099183458238</c:v>
                </c:pt>
                <c:pt idx="182">
                  <c:v>6.5546699971249796</c:v>
                </c:pt>
                <c:pt idx="183">
                  <c:v>24.133100129464747</c:v>
                </c:pt>
                <c:pt idx="184">
                  <c:v>18.538520955122785</c:v>
                </c:pt>
                <c:pt idx="185">
                  <c:v>20.803010587194397</c:v>
                </c:pt>
                <c:pt idx="186">
                  <c:v>9.6913731310857365</c:v>
                </c:pt>
                <c:pt idx="187">
                  <c:v>17.076442228165288</c:v>
                </c:pt>
                <c:pt idx="188">
                  <c:v>18.644306480608996</c:v>
                </c:pt>
                <c:pt idx="189">
                  <c:v>6.051624106991679</c:v>
                </c:pt>
                <c:pt idx="190">
                  <c:v>12.489159100639457</c:v>
                </c:pt>
                <c:pt idx="191">
                  <c:v>8.4240193258036822</c:v>
                </c:pt>
                <c:pt idx="192">
                  <c:v>4.4662295605146429</c:v>
                </c:pt>
                <c:pt idx="193">
                  <c:v>18.486957967031397</c:v>
                </c:pt>
                <c:pt idx="194">
                  <c:v>16.495300438165646</c:v>
                </c:pt>
                <c:pt idx="195">
                  <c:v>5.3703424844667875</c:v>
                </c:pt>
                <c:pt idx="196">
                  <c:v>8.1653123606130116</c:v>
                </c:pt>
                <c:pt idx="197">
                  <c:v>12.785920816932238</c:v>
                </c:pt>
                <c:pt idx="198">
                  <c:v>23.767321491762818</c:v>
                </c:pt>
                <c:pt idx="199">
                  <c:v>15.173195535684206</c:v>
                </c:pt>
              </c:numCache>
            </c:numRef>
          </c:yVal>
          <c:smooth val="0"/>
          <c:extLst>
            <c:ext xmlns:c16="http://schemas.microsoft.com/office/drawing/2014/chart" uri="{C3380CC4-5D6E-409C-BE32-E72D297353CC}">
              <c16:uniqueId val="{00000002-70DF-41C6-A82D-3A22FAF6CA45}"/>
            </c:ext>
          </c:extLst>
        </c:ser>
        <c:dLbls>
          <c:showLegendKey val="0"/>
          <c:showVal val="0"/>
          <c:showCatName val="0"/>
          <c:showSerName val="0"/>
          <c:showPercent val="0"/>
          <c:showBubbleSize val="0"/>
        </c:dLbls>
        <c:axId val="395576176"/>
        <c:axId val="395580016"/>
      </c:scatterChart>
      <c:valAx>
        <c:axId val="395576176"/>
        <c:scaling>
          <c:orientation val="minMax"/>
        </c:scaling>
        <c:delete val="0"/>
        <c:axPos val="b"/>
        <c:title>
          <c:tx>
            <c:rich>
              <a:bodyPr/>
              <a:lstStyle/>
              <a:p>
                <a:pPr>
                  <a:defRPr/>
                </a:pPr>
                <a:r>
                  <a:rPr lang="en-US"/>
                  <a:t>newspaper</a:t>
                </a:r>
              </a:p>
            </c:rich>
          </c:tx>
          <c:overlay val="0"/>
        </c:title>
        <c:numFmt formatCode="General" sourceLinked="1"/>
        <c:majorTickMark val="out"/>
        <c:minorTickMark val="none"/>
        <c:tickLblPos val="nextTo"/>
        <c:crossAx val="395580016"/>
        <c:crosses val="autoZero"/>
        <c:crossBetween val="midCat"/>
      </c:valAx>
      <c:valAx>
        <c:axId val="395580016"/>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39557617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[Linear Regression and Dashboards.xlsx]Dashboard!Survival Count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Dashboard!$B$46</c:f>
              <c:strCache>
                <c:ptCount val="1"/>
                <c:pt idx="0">
                  <c:v>Total</c:v>
                </c:pt>
              </c:strCache>
            </c:strRef>
          </c:tx>
          <c:spPr>
            <a:solidFill>
              <a:schemeClr val="accent1"/>
            </a:solidFill>
            <a:ln>
              <a:noFill/>
            </a:ln>
            <a:effectLst/>
          </c:spPr>
          <c:invertIfNegative val="0"/>
          <c:cat>
            <c:strRef>
              <c:f>Dashboard!$A$47:$A$49</c:f>
              <c:strCache>
                <c:ptCount val="2"/>
                <c:pt idx="0">
                  <c:v>No</c:v>
                </c:pt>
                <c:pt idx="1">
                  <c:v>Yes</c:v>
                </c:pt>
              </c:strCache>
            </c:strRef>
          </c:cat>
          <c:val>
            <c:numRef>
              <c:f>Dashboard!$B$47:$B$49</c:f>
              <c:numCache>
                <c:formatCode>General</c:formatCode>
                <c:ptCount val="2"/>
                <c:pt idx="0">
                  <c:v>545</c:v>
                </c:pt>
                <c:pt idx="1">
                  <c:v>342</c:v>
                </c:pt>
              </c:numCache>
            </c:numRef>
          </c:val>
          <c:extLst>
            <c:ext xmlns:c16="http://schemas.microsoft.com/office/drawing/2014/chart" uri="{C3380CC4-5D6E-409C-BE32-E72D297353CC}">
              <c16:uniqueId val="{00000002-9844-41BE-A43A-ACC2CB8BE311}"/>
            </c:ext>
          </c:extLst>
        </c:ser>
        <c:dLbls>
          <c:showLegendKey val="0"/>
          <c:showVal val="0"/>
          <c:showCatName val="0"/>
          <c:showSerName val="0"/>
          <c:showPercent val="0"/>
          <c:showBubbleSize val="0"/>
        </c:dLbls>
        <c:gapWidth val="182"/>
        <c:axId val="745980208"/>
        <c:axId val="1957624128"/>
      </c:barChart>
      <c:catAx>
        <c:axId val="74598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24128"/>
        <c:crosses val="autoZero"/>
        <c:auto val="1"/>
        <c:lblAlgn val="ctr"/>
        <c:lblOffset val="100"/>
        <c:noMultiLvlLbl val="0"/>
      </c:catAx>
      <c:valAx>
        <c:axId val="195762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9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[Linear Regression and Dashboards.xlsx]Dashboard!PivotTable10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Dashboard!$E$46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F5-4F11-8705-5AF6C6DF56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F5-4F11-8705-5AF6C6DF56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F5-4F11-8705-5AF6C6DF56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F5-4F11-8705-5AF6C6DF5670}"/>
              </c:ext>
            </c:extLst>
          </c:dPt>
          <c:cat>
            <c:multiLvlStrRef>
              <c:f>Dashboard!$D$47:$D$53</c:f>
              <c:multiLvlStrCache>
                <c:ptCount val="4"/>
                <c:lvl>
                  <c:pt idx="0">
                    <c:v>Female</c:v>
                  </c:pt>
                  <c:pt idx="1">
                    <c:v>Male</c:v>
                  </c:pt>
                  <c:pt idx="2">
                    <c:v>Female</c:v>
                  </c:pt>
                  <c:pt idx="3">
                    <c:v>Male</c:v>
                  </c:pt>
                </c:lvl>
                <c:lvl>
                  <c:pt idx="0">
                    <c:v>No</c:v>
                  </c:pt>
                  <c:pt idx="2">
                    <c:v>Yes</c:v>
                  </c:pt>
                </c:lvl>
              </c:multiLvlStrCache>
            </c:multiLvlStrRef>
          </c:cat>
          <c:val>
            <c:numRef>
              <c:f>Dashboard!$E$47:$E$53</c:f>
              <c:numCache>
                <c:formatCode>General</c:formatCode>
                <c:ptCount val="4"/>
                <c:pt idx="0">
                  <c:v>81</c:v>
                </c:pt>
                <c:pt idx="1">
                  <c:v>464</c:v>
                </c:pt>
                <c:pt idx="2">
                  <c:v>232</c:v>
                </c:pt>
                <c:pt idx="3">
                  <c:v>110</c:v>
                </c:pt>
              </c:numCache>
            </c:numRef>
          </c:val>
          <c:extLst>
            <c:ext xmlns:c16="http://schemas.microsoft.com/office/drawing/2014/chart" uri="{C3380CC4-5D6E-409C-BE32-E72D297353CC}">
              <c16:uniqueId val="{00000000-2B9E-4E4F-820E-DFF5C0C0D9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[Linear Regression and Dashboards.xlsx]Dashboard!PivotTable11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Dashboard!$H$46</c:f>
              <c:strCache>
                <c:ptCount val="1"/>
                <c:pt idx="0">
                  <c:v>Total</c:v>
                </c:pt>
              </c:strCache>
            </c:strRef>
          </c:tx>
          <c:spPr>
            <a:solidFill>
              <a:schemeClr val="accent1"/>
            </a:solidFill>
            <a:ln>
              <a:noFill/>
            </a:ln>
            <a:effectLst/>
          </c:spPr>
          <c:invertIfNegative val="0"/>
          <c:cat>
            <c:multiLvlStrRef>
              <c:f>Dashboard!$G$47:$G$53</c:f>
              <c:multiLvlStrCache>
                <c:ptCount val="4"/>
                <c:lvl>
                  <c:pt idx="0">
                    <c:v>Adult</c:v>
                  </c:pt>
                  <c:pt idx="1">
                    <c:v>Child</c:v>
                  </c:pt>
                  <c:pt idx="2">
                    <c:v>Adult</c:v>
                  </c:pt>
                  <c:pt idx="3">
                    <c:v>Child</c:v>
                  </c:pt>
                </c:lvl>
                <c:lvl>
                  <c:pt idx="0">
                    <c:v>Female</c:v>
                  </c:pt>
                  <c:pt idx="2">
                    <c:v>Male</c:v>
                  </c:pt>
                </c:lvl>
              </c:multiLvlStrCache>
            </c:multiLvlStrRef>
          </c:cat>
          <c:val>
            <c:numRef>
              <c:f>Dashboard!$H$47:$H$53</c:f>
              <c:numCache>
                <c:formatCode>General</c:formatCode>
                <c:ptCount val="4"/>
                <c:pt idx="0">
                  <c:v>256</c:v>
                </c:pt>
                <c:pt idx="1">
                  <c:v>57</c:v>
                </c:pt>
                <c:pt idx="2">
                  <c:v>517</c:v>
                </c:pt>
                <c:pt idx="3">
                  <c:v>57</c:v>
                </c:pt>
              </c:numCache>
            </c:numRef>
          </c:val>
          <c:extLst>
            <c:ext xmlns:c16="http://schemas.microsoft.com/office/drawing/2014/chart" uri="{C3380CC4-5D6E-409C-BE32-E72D297353CC}">
              <c16:uniqueId val="{00000000-7064-4363-9637-AA255659F063}"/>
            </c:ext>
          </c:extLst>
        </c:ser>
        <c:dLbls>
          <c:showLegendKey val="0"/>
          <c:showVal val="0"/>
          <c:showCatName val="0"/>
          <c:showSerName val="0"/>
          <c:showPercent val="0"/>
          <c:showBubbleSize val="0"/>
        </c:dLbls>
        <c:gapWidth val="219"/>
        <c:overlap val="-27"/>
        <c:axId val="981682304"/>
        <c:axId val="981693344"/>
      </c:barChart>
      <c:catAx>
        <c:axId val="98168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693344"/>
        <c:crosses val="autoZero"/>
        <c:auto val="1"/>
        <c:lblAlgn val="ctr"/>
        <c:lblOffset val="100"/>
        <c:noMultiLvlLbl val="0"/>
      </c:catAx>
      <c:valAx>
        <c:axId val="98169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68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[Linear Regression and Dashboards.xlsx]Dashboard!Sex Age PClass</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Dashboard!$B$22:$B$23</c:f>
              <c:strCache>
                <c:ptCount val="1"/>
                <c:pt idx="0">
                  <c:v>Female</c:v>
                </c:pt>
              </c:strCache>
            </c:strRef>
          </c:tx>
          <c:spPr>
            <a:solidFill>
              <a:schemeClr val="accent1"/>
            </a:solidFill>
            <a:ln>
              <a:noFill/>
            </a:ln>
            <a:effectLst/>
          </c:spPr>
          <c:invertIfNegative val="0"/>
          <c:cat>
            <c:multiLvlStrRef>
              <c:f>Dashboard!$A$24:$A$44</c:f>
              <c:multiLvlStrCache>
                <c:ptCount val="12"/>
                <c:lvl>
                  <c:pt idx="0">
                    <c:v>No</c:v>
                  </c:pt>
                  <c:pt idx="1">
                    <c:v>Yes</c:v>
                  </c:pt>
                  <c:pt idx="2">
                    <c:v>No</c:v>
                  </c:pt>
                  <c:pt idx="3">
                    <c:v>Yes</c:v>
                  </c:pt>
                  <c:pt idx="4">
                    <c:v>No</c:v>
                  </c:pt>
                  <c:pt idx="5">
                    <c:v>Yes</c:v>
                  </c:pt>
                  <c:pt idx="6">
                    <c:v>No</c:v>
                  </c:pt>
                  <c:pt idx="7">
                    <c:v>Yes</c:v>
                  </c:pt>
                  <c:pt idx="8">
                    <c:v>No</c:v>
                  </c:pt>
                  <c:pt idx="9">
                    <c:v>Yes</c:v>
                  </c:pt>
                  <c:pt idx="10">
                    <c:v>No</c:v>
                  </c:pt>
                  <c:pt idx="11">
                    <c:v>Yes</c:v>
                  </c:pt>
                </c:lvl>
                <c:lvl>
                  <c:pt idx="0">
                    <c:v>1</c:v>
                  </c:pt>
                  <c:pt idx="2">
                    <c:v>2</c:v>
                  </c:pt>
                  <c:pt idx="4">
                    <c:v>3</c:v>
                  </c:pt>
                  <c:pt idx="6">
                    <c:v>1</c:v>
                  </c:pt>
                  <c:pt idx="8">
                    <c:v>2</c:v>
                  </c:pt>
                  <c:pt idx="10">
                    <c:v>3</c:v>
                  </c:pt>
                </c:lvl>
                <c:lvl>
                  <c:pt idx="0">
                    <c:v>Adult</c:v>
                  </c:pt>
                  <c:pt idx="6">
                    <c:v>Child</c:v>
                  </c:pt>
                </c:lvl>
              </c:multiLvlStrCache>
            </c:multiLvlStrRef>
          </c:cat>
          <c:val>
            <c:numRef>
              <c:f>Dashboard!$B$24:$B$44</c:f>
              <c:numCache>
                <c:formatCode>General</c:formatCode>
                <c:ptCount val="12"/>
                <c:pt idx="0">
                  <c:v>2</c:v>
                </c:pt>
                <c:pt idx="1">
                  <c:v>85</c:v>
                </c:pt>
                <c:pt idx="2">
                  <c:v>6</c:v>
                </c:pt>
                <c:pt idx="3">
                  <c:v>60</c:v>
                </c:pt>
                <c:pt idx="4">
                  <c:v>51</c:v>
                </c:pt>
                <c:pt idx="5">
                  <c:v>52</c:v>
                </c:pt>
                <c:pt idx="6">
                  <c:v>1</c:v>
                </c:pt>
                <c:pt idx="7">
                  <c:v>5</c:v>
                </c:pt>
                <c:pt idx="9">
                  <c:v>10</c:v>
                </c:pt>
                <c:pt idx="10">
                  <c:v>21</c:v>
                </c:pt>
                <c:pt idx="11">
                  <c:v>20</c:v>
                </c:pt>
              </c:numCache>
            </c:numRef>
          </c:val>
          <c:extLst>
            <c:ext xmlns:c16="http://schemas.microsoft.com/office/drawing/2014/chart" uri="{C3380CC4-5D6E-409C-BE32-E72D297353CC}">
              <c16:uniqueId val="{00000000-2629-4C00-B649-5D74917A7328}"/>
            </c:ext>
          </c:extLst>
        </c:ser>
        <c:ser>
          <c:idx val="1"/>
          <c:order val="1"/>
          <c:tx>
            <c:strRef>
              <c:f>Dashboard!$C$22:$C$23</c:f>
              <c:strCache>
                <c:ptCount val="1"/>
                <c:pt idx="0">
                  <c:v>Male</c:v>
                </c:pt>
              </c:strCache>
            </c:strRef>
          </c:tx>
          <c:spPr>
            <a:solidFill>
              <a:schemeClr val="accent2"/>
            </a:solidFill>
            <a:ln>
              <a:noFill/>
            </a:ln>
            <a:effectLst/>
          </c:spPr>
          <c:invertIfNegative val="0"/>
          <c:cat>
            <c:multiLvlStrRef>
              <c:f>Dashboard!$A$24:$A$44</c:f>
              <c:multiLvlStrCache>
                <c:ptCount val="12"/>
                <c:lvl>
                  <c:pt idx="0">
                    <c:v>No</c:v>
                  </c:pt>
                  <c:pt idx="1">
                    <c:v>Yes</c:v>
                  </c:pt>
                  <c:pt idx="2">
                    <c:v>No</c:v>
                  </c:pt>
                  <c:pt idx="3">
                    <c:v>Yes</c:v>
                  </c:pt>
                  <c:pt idx="4">
                    <c:v>No</c:v>
                  </c:pt>
                  <c:pt idx="5">
                    <c:v>Yes</c:v>
                  </c:pt>
                  <c:pt idx="6">
                    <c:v>No</c:v>
                  </c:pt>
                  <c:pt idx="7">
                    <c:v>Yes</c:v>
                  </c:pt>
                  <c:pt idx="8">
                    <c:v>No</c:v>
                  </c:pt>
                  <c:pt idx="9">
                    <c:v>Yes</c:v>
                  </c:pt>
                  <c:pt idx="10">
                    <c:v>No</c:v>
                  </c:pt>
                  <c:pt idx="11">
                    <c:v>Yes</c:v>
                  </c:pt>
                </c:lvl>
                <c:lvl>
                  <c:pt idx="0">
                    <c:v>1</c:v>
                  </c:pt>
                  <c:pt idx="2">
                    <c:v>2</c:v>
                  </c:pt>
                  <c:pt idx="4">
                    <c:v>3</c:v>
                  </c:pt>
                  <c:pt idx="6">
                    <c:v>1</c:v>
                  </c:pt>
                  <c:pt idx="8">
                    <c:v>2</c:v>
                  </c:pt>
                  <c:pt idx="10">
                    <c:v>3</c:v>
                  </c:pt>
                </c:lvl>
                <c:lvl>
                  <c:pt idx="0">
                    <c:v>Adult</c:v>
                  </c:pt>
                  <c:pt idx="6">
                    <c:v>Child</c:v>
                  </c:pt>
                </c:lvl>
              </c:multiLvlStrCache>
            </c:multiLvlStrRef>
          </c:cat>
          <c:val>
            <c:numRef>
              <c:f>Dashboard!$C$24:$C$44</c:f>
              <c:numCache>
                <c:formatCode>General</c:formatCode>
                <c:ptCount val="12"/>
                <c:pt idx="0">
                  <c:v>77</c:v>
                </c:pt>
                <c:pt idx="1">
                  <c:v>43</c:v>
                </c:pt>
                <c:pt idx="2">
                  <c:v>89</c:v>
                </c:pt>
                <c:pt idx="3">
                  <c:v>8</c:v>
                </c:pt>
                <c:pt idx="4">
                  <c:v>265</c:v>
                </c:pt>
                <c:pt idx="5">
                  <c:v>35</c:v>
                </c:pt>
                <c:pt idx="7">
                  <c:v>3</c:v>
                </c:pt>
                <c:pt idx="8">
                  <c:v>2</c:v>
                </c:pt>
                <c:pt idx="9">
                  <c:v>9</c:v>
                </c:pt>
                <c:pt idx="10">
                  <c:v>31</c:v>
                </c:pt>
                <c:pt idx="11">
                  <c:v>12</c:v>
                </c:pt>
              </c:numCache>
            </c:numRef>
          </c:val>
          <c:extLst>
            <c:ext xmlns:c16="http://schemas.microsoft.com/office/drawing/2014/chart" uri="{C3380CC4-5D6E-409C-BE32-E72D297353CC}">
              <c16:uniqueId val="{00000003-2629-4C00-B649-5D74917A7328}"/>
            </c:ext>
          </c:extLst>
        </c:ser>
        <c:dLbls>
          <c:showLegendKey val="0"/>
          <c:showVal val="0"/>
          <c:showCatName val="0"/>
          <c:showSerName val="0"/>
          <c:showPercent val="0"/>
          <c:showBubbleSize val="0"/>
        </c:dLbls>
        <c:gapWidth val="182"/>
        <c:axId val="1957612128"/>
        <c:axId val="1957614528"/>
      </c:barChart>
      <c:catAx>
        <c:axId val="195761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14528"/>
        <c:crosses val="autoZero"/>
        <c:auto val="1"/>
        <c:lblAlgn val="ctr"/>
        <c:lblOffset val="100"/>
        <c:noMultiLvlLbl val="0"/>
      </c:catAx>
      <c:valAx>
        <c:axId val="1957614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746760</xdr:colOff>
      <xdr:row>38</xdr:row>
      <xdr:rowOff>30480</xdr:rowOff>
    </xdr:from>
    <xdr:to>
      <xdr:col>13</xdr:col>
      <xdr:colOff>30480</xdr:colOff>
      <xdr:row>48</xdr:row>
      <xdr:rowOff>53340</xdr:rowOff>
    </xdr:to>
    <xdr:graphicFrame macro="">
      <xdr:nvGraphicFramePr>
        <xdr:cNvPr id="2" name="Chart 1">
          <a:extLst>
            <a:ext uri="{FF2B5EF4-FFF2-40B4-BE49-F238E27FC236}">
              <a16:creationId xmlns:a16="http://schemas.microsoft.com/office/drawing/2014/main" id="{28EC8A45-C74E-1719-7337-13EA78658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365760</xdr:colOff>
      <xdr:row>38</xdr:row>
      <xdr:rowOff>38100</xdr:rowOff>
    </xdr:from>
    <xdr:to>
      <xdr:col>17</xdr:col>
      <xdr:colOff>563881</xdr:colOff>
      <xdr:row>48</xdr:row>
      <xdr:rowOff>53340</xdr:rowOff>
    </xdr:to>
    <xdr:graphicFrame macro="">
      <xdr:nvGraphicFramePr>
        <xdr:cNvPr id="3" name="Chart 2">
          <a:extLst>
            <a:ext uri="{FF2B5EF4-FFF2-40B4-BE49-F238E27FC236}">
              <a16:creationId xmlns:a16="http://schemas.microsoft.com/office/drawing/2014/main" id="{90E28706-3403-87BE-3DD3-CDDEA5CAF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312420</xdr:colOff>
      <xdr:row>38</xdr:row>
      <xdr:rowOff>30480</xdr:rowOff>
    </xdr:from>
    <xdr:to>
      <xdr:col>24</xdr:col>
      <xdr:colOff>312421</xdr:colOff>
      <xdr:row>48</xdr:row>
      <xdr:rowOff>53340</xdr:rowOff>
    </xdr:to>
    <xdr:graphicFrame macro="">
      <xdr:nvGraphicFramePr>
        <xdr:cNvPr id="4" name="Chart 3">
          <a:extLst>
            <a:ext uri="{FF2B5EF4-FFF2-40B4-BE49-F238E27FC236}">
              <a16:creationId xmlns:a16="http://schemas.microsoft.com/office/drawing/2014/main" id="{D27648A3-0A14-E2D6-1B63-AF414C3F6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716280</xdr:colOff>
      <xdr:row>25</xdr:row>
      <xdr:rowOff>152400</xdr:rowOff>
    </xdr:from>
    <xdr:to>
      <xdr:col>13</xdr:col>
      <xdr:colOff>1</xdr:colOff>
      <xdr:row>35</xdr:row>
      <xdr:rowOff>175260</xdr:rowOff>
    </xdr:to>
    <xdr:graphicFrame macro="">
      <xdr:nvGraphicFramePr>
        <xdr:cNvPr id="5" name="Chart 4">
          <a:extLst>
            <a:ext uri="{FF2B5EF4-FFF2-40B4-BE49-F238E27FC236}">
              <a16:creationId xmlns:a16="http://schemas.microsoft.com/office/drawing/2014/main" id="{9F50540B-5516-CC8C-8FA2-B7F6240B9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350520</xdr:colOff>
      <xdr:row>25</xdr:row>
      <xdr:rowOff>167640</xdr:rowOff>
    </xdr:from>
    <xdr:to>
      <xdr:col>17</xdr:col>
      <xdr:colOff>548641</xdr:colOff>
      <xdr:row>36</xdr:row>
      <xdr:rowOff>0</xdr:rowOff>
    </xdr:to>
    <xdr:graphicFrame macro="">
      <xdr:nvGraphicFramePr>
        <xdr:cNvPr id="6" name="Chart 5">
          <a:extLst>
            <a:ext uri="{FF2B5EF4-FFF2-40B4-BE49-F238E27FC236}">
              <a16:creationId xmlns:a16="http://schemas.microsoft.com/office/drawing/2014/main" id="{F1C647A4-1ED6-1EE5-9A4B-F62AA2D8F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289560</xdr:colOff>
      <xdr:row>25</xdr:row>
      <xdr:rowOff>152400</xdr:rowOff>
    </xdr:from>
    <xdr:to>
      <xdr:col>24</xdr:col>
      <xdr:colOff>289561</xdr:colOff>
      <xdr:row>35</xdr:row>
      <xdr:rowOff>167640</xdr:rowOff>
    </xdr:to>
    <xdr:graphicFrame macro="">
      <xdr:nvGraphicFramePr>
        <xdr:cNvPr id="7" name="Chart 6">
          <a:extLst>
            <a:ext uri="{FF2B5EF4-FFF2-40B4-BE49-F238E27FC236}">
              <a16:creationId xmlns:a16="http://schemas.microsoft.com/office/drawing/2014/main" id="{C729D357-CDD9-4049-18E5-9E04A6733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53</xdr:row>
      <xdr:rowOff>175260</xdr:rowOff>
    </xdr:from>
    <xdr:to>
      <xdr:col>2</xdr:col>
      <xdr:colOff>22860</xdr:colOff>
      <xdr:row>68</xdr:row>
      <xdr:rowOff>167640</xdr:rowOff>
    </xdr:to>
    <xdr:graphicFrame macro="">
      <xdr:nvGraphicFramePr>
        <xdr:cNvPr id="3" name="Survival Count">
          <a:extLst>
            <a:ext uri="{FF2B5EF4-FFF2-40B4-BE49-F238E27FC236}">
              <a16:creationId xmlns:a16="http://schemas.microsoft.com/office/drawing/2014/main" id="{4C662C79-555F-20D1-C92B-EB7929D9A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53</xdr:row>
      <xdr:rowOff>152400</xdr:rowOff>
    </xdr:from>
    <xdr:to>
      <xdr:col>5</xdr:col>
      <xdr:colOff>15240</xdr:colOff>
      <xdr:row>68</xdr:row>
      <xdr:rowOff>144780</xdr:rowOff>
    </xdr:to>
    <xdr:graphicFrame macro="">
      <xdr:nvGraphicFramePr>
        <xdr:cNvPr id="5" name="Chart 4">
          <a:extLst>
            <a:ext uri="{FF2B5EF4-FFF2-40B4-BE49-F238E27FC236}">
              <a16:creationId xmlns:a16="http://schemas.microsoft.com/office/drawing/2014/main" id="{E2C475D8-16DC-8AE9-E3C3-67978A1C4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54</xdr:row>
      <xdr:rowOff>7620</xdr:rowOff>
    </xdr:from>
    <xdr:to>
      <xdr:col>7</xdr:col>
      <xdr:colOff>2430780</xdr:colOff>
      <xdr:row>69</xdr:row>
      <xdr:rowOff>38100</xdr:rowOff>
    </xdr:to>
    <xdr:graphicFrame macro="">
      <xdr:nvGraphicFramePr>
        <xdr:cNvPr id="6" name="Chart 5">
          <a:extLst>
            <a:ext uri="{FF2B5EF4-FFF2-40B4-BE49-F238E27FC236}">
              <a16:creationId xmlns:a16="http://schemas.microsoft.com/office/drawing/2014/main" id="{8548CF1D-2B09-1CCA-B98D-686E65AF9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6</xdr:row>
      <xdr:rowOff>137160</xdr:rowOff>
    </xdr:from>
    <xdr:to>
      <xdr:col>1</xdr:col>
      <xdr:colOff>441960</xdr:colOff>
      <xdr:row>20</xdr:row>
      <xdr:rowOff>57150</xdr:rowOff>
    </xdr:to>
    <mc:AlternateContent xmlns:mc="http://schemas.openxmlformats.org/markup-compatibility/2006" xmlns:a14="http://schemas.microsoft.com/office/drawing/2010/main">
      <mc:Choice Requires="a14">
        <xdr:graphicFrame macro="">
          <xdr:nvGraphicFramePr>
            <xdr:cNvPr id="7" name="Survived">
              <a:extLst>
                <a:ext uri="{FF2B5EF4-FFF2-40B4-BE49-F238E27FC236}">
                  <a16:creationId xmlns:a16="http://schemas.microsoft.com/office/drawing/2014/main" id="{F6DD4FB2-A795-7827-F248-B05C6455A901}"/>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mlns="">
        <xdr:sp macro="" textlink="">
          <xdr:nvSpPr>
            <xdr:cNvPr id="0" name=""/>
            <xdr:cNvSpPr>
              <a:spLocks noTextEdit="1"/>
            </xdr:cNvSpPr>
          </xdr:nvSpPr>
          <xdr:spPr>
            <a:xfrm>
              <a:off x="3810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2039620</xdr:colOff>
      <xdr:row>6</xdr:row>
      <xdr:rowOff>137160</xdr:rowOff>
    </xdr:from>
    <xdr:to>
      <xdr:col>6</xdr:col>
      <xdr:colOff>513715</xdr:colOff>
      <xdr:row>20</xdr:row>
      <xdr:rowOff>57150</xdr:rowOff>
    </xdr:to>
    <mc:AlternateContent xmlns:mc="http://schemas.openxmlformats.org/markup-compatibility/2006" xmlns:a14="http://schemas.microsoft.com/office/drawing/2010/main">
      <mc:Choice Requires="a14">
        <xdr:graphicFrame macro="">
          <xdr:nvGraphicFramePr>
            <xdr:cNvPr id="8" name="Surname">
              <a:extLst>
                <a:ext uri="{FF2B5EF4-FFF2-40B4-BE49-F238E27FC236}">
                  <a16:creationId xmlns:a16="http://schemas.microsoft.com/office/drawing/2014/main" id="{D01C1BEA-F7C5-175F-2E74-4200CED58861}"/>
                </a:ext>
              </a:extLst>
            </xdr:cNvPr>
            <xdr:cNvGraphicFramePr/>
          </xdr:nvGraphicFramePr>
          <xdr:xfrm>
            <a:off x="0" y="0"/>
            <a:ext cx="0" cy="0"/>
          </xdr:xfrm>
          <a:graphic>
            <a:graphicData uri="http://schemas.microsoft.com/office/drawing/2010/slicer">
              <sle:slicer xmlns:sle="http://schemas.microsoft.com/office/drawing/2010/slicer" name="Surname"/>
            </a:graphicData>
          </a:graphic>
        </xdr:graphicFrame>
      </mc:Choice>
      <mc:Fallback xmlns="">
        <xdr:sp macro="" textlink="">
          <xdr:nvSpPr>
            <xdr:cNvPr id="0" name=""/>
            <xdr:cNvSpPr>
              <a:spLocks noTextEdit="1"/>
            </xdr:cNvSpPr>
          </xdr:nvSpPr>
          <xdr:spPr>
            <a:xfrm>
              <a:off x="769366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441961</xdr:colOff>
      <xdr:row>6</xdr:row>
      <xdr:rowOff>137160</xdr:rowOff>
    </xdr:from>
    <xdr:to>
      <xdr:col>2</xdr:col>
      <xdr:colOff>289561</xdr:colOff>
      <xdr:row>20</xdr:row>
      <xdr:rowOff>57150</xdr:rowOff>
    </xdr:to>
    <mc:AlternateContent xmlns:mc="http://schemas.openxmlformats.org/markup-compatibility/2006" xmlns:a14="http://schemas.microsoft.com/office/drawing/2010/main">
      <mc:Choice Requires="a14">
        <xdr:graphicFrame macro="">
          <xdr:nvGraphicFramePr>
            <xdr:cNvPr id="9" name="Sex">
              <a:extLst>
                <a:ext uri="{FF2B5EF4-FFF2-40B4-BE49-F238E27FC236}">
                  <a16:creationId xmlns:a16="http://schemas.microsoft.com/office/drawing/2014/main" id="{58FAEC1C-6C21-7543-D323-69F37825B457}"/>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95199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6</xdr:row>
      <xdr:rowOff>137160</xdr:rowOff>
    </xdr:from>
    <xdr:to>
      <xdr:col>4</xdr:col>
      <xdr:colOff>548640</xdr:colOff>
      <xdr:row>20</xdr:row>
      <xdr:rowOff>57150</xdr:rowOff>
    </xdr:to>
    <mc:AlternateContent xmlns:mc="http://schemas.openxmlformats.org/markup-compatibility/2006" xmlns:a14="http://schemas.microsoft.com/office/drawing/2010/main">
      <mc:Choice Requires="a14">
        <xdr:graphicFrame macro="">
          <xdr:nvGraphicFramePr>
            <xdr:cNvPr id="12" name="Pclass">
              <a:extLst>
                <a:ext uri="{FF2B5EF4-FFF2-40B4-BE49-F238E27FC236}">
                  <a16:creationId xmlns:a16="http://schemas.microsoft.com/office/drawing/2014/main" id="{1DAF3768-E060-180C-262B-F54CE551D47C}"/>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386588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608330</xdr:colOff>
      <xdr:row>6</xdr:row>
      <xdr:rowOff>137160</xdr:rowOff>
    </xdr:from>
    <xdr:to>
      <xdr:col>7</xdr:col>
      <xdr:colOff>532130</xdr:colOff>
      <xdr:row>20</xdr:row>
      <xdr:rowOff>57150</xdr:rowOff>
    </xdr:to>
    <mc:AlternateContent xmlns:mc="http://schemas.openxmlformats.org/markup-compatibility/2006" xmlns:a14="http://schemas.microsoft.com/office/drawing/2010/main">
      <mc:Choice Requires="a14">
        <xdr:graphicFrame macro="">
          <xdr:nvGraphicFramePr>
            <xdr:cNvPr id="13" name="Rounded Age">
              <a:extLst>
                <a:ext uri="{FF2B5EF4-FFF2-40B4-BE49-F238E27FC236}">
                  <a16:creationId xmlns:a16="http://schemas.microsoft.com/office/drawing/2014/main" id="{4878717C-66CE-41F1-D4EF-A1EB53413033}"/>
                </a:ext>
              </a:extLst>
            </xdr:cNvPr>
            <xdr:cNvGraphicFramePr/>
          </xdr:nvGraphicFramePr>
          <xdr:xfrm>
            <a:off x="0" y="0"/>
            <a:ext cx="0" cy="0"/>
          </xdr:xfrm>
          <a:graphic>
            <a:graphicData uri="http://schemas.microsoft.com/office/drawing/2010/slicer">
              <sle:slicer xmlns:sle="http://schemas.microsoft.com/office/drawing/2010/slicer" name="Rounded Age"/>
            </a:graphicData>
          </a:graphic>
        </xdr:graphicFrame>
      </mc:Choice>
      <mc:Fallback xmlns="">
        <xdr:sp macro="" textlink="">
          <xdr:nvSpPr>
            <xdr:cNvPr id="0" name=""/>
            <xdr:cNvSpPr>
              <a:spLocks noTextEdit="1"/>
            </xdr:cNvSpPr>
          </xdr:nvSpPr>
          <xdr:spPr>
            <a:xfrm>
              <a:off x="960755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525780</xdr:colOff>
      <xdr:row>6</xdr:row>
      <xdr:rowOff>137160</xdr:rowOff>
    </xdr:from>
    <xdr:to>
      <xdr:col>4</xdr:col>
      <xdr:colOff>1958340</xdr:colOff>
      <xdr:row>20</xdr:row>
      <xdr:rowOff>57150</xdr:rowOff>
    </xdr:to>
    <mc:AlternateContent xmlns:mc="http://schemas.openxmlformats.org/markup-compatibility/2006" xmlns:a14="http://schemas.microsoft.com/office/drawing/2010/main">
      <mc:Choice Requires="a14">
        <xdr:graphicFrame macro="">
          <xdr:nvGraphicFramePr>
            <xdr:cNvPr id="14" name="Child Adult">
              <a:extLst>
                <a:ext uri="{FF2B5EF4-FFF2-40B4-BE49-F238E27FC236}">
                  <a16:creationId xmlns:a16="http://schemas.microsoft.com/office/drawing/2014/main" id="{7B200C8B-1327-91EC-9CEE-FA6F71FC423B}"/>
                </a:ext>
              </a:extLst>
            </xdr:cNvPr>
            <xdr:cNvGraphicFramePr/>
          </xdr:nvGraphicFramePr>
          <xdr:xfrm>
            <a:off x="0" y="0"/>
            <a:ext cx="0" cy="0"/>
          </xdr:xfrm>
          <a:graphic>
            <a:graphicData uri="http://schemas.microsoft.com/office/drawing/2010/slicer">
              <sle:slicer xmlns:sle="http://schemas.microsoft.com/office/drawing/2010/slicer" name="Child Adult"/>
            </a:graphicData>
          </a:graphic>
        </xdr:graphicFrame>
      </mc:Choice>
      <mc:Fallback xmlns="">
        <xdr:sp macro="" textlink="">
          <xdr:nvSpPr>
            <xdr:cNvPr id="0" name=""/>
            <xdr:cNvSpPr>
              <a:spLocks noTextEdit="1"/>
            </xdr:cNvSpPr>
          </xdr:nvSpPr>
          <xdr:spPr>
            <a:xfrm>
              <a:off x="577977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617220</xdr:colOff>
      <xdr:row>6</xdr:row>
      <xdr:rowOff>137160</xdr:rowOff>
    </xdr:from>
    <xdr:to>
      <xdr:col>8</xdr:col>
      <xdr:colOff>15240</xdr:colOff>
      <xdr:row>20</xdr:row>
      <xdr:rowOff>57150</xdr:rowOff>
    </xdr:to>
    <mc:AlternateContent xmlns:mc="http://schemas.openxmlformats.org/markup-compatibility/2006" xmlns:a14="http://schemas.microsoft.com/office/drawing/2010/main">
      <mc:Choice Requires="a14">
        <xdr:graphicFrame macro="">
          <xdr:nvGraphicFramePr>
            <xdr:cNvPr id="15" name="Rounded Fare">
              <a:extLst>
                <a:ext uri="{FF2B5EF4-FFF2-40B4-BE49-F238E27FC236}">
                  <a16:creationId xmlns:a16="http://schemas.microsoft.com/office/drawing/2014/main" id="{1555183E-F719-1D28-59DD-C82823AF1EAD}"/>
                </a:ext>
              </a:extLst>
            </xdr:cNvPr>
            <xdr:cNvGraphicFramePr/>
          </xdr:nvGraphicFramePr>
          <xdr:xfrm>
            <a:off x="0" y="0"/>
            <a:ext cx="0" cy="0"/>
          </xdr:xfrm>
          <a:graphic>
            <a:graphicData uri="http://schemas.microsoft.com/office/drawing/2010/slicer">
              <sle:slicer xmlns:sle="http://schemas.microsoft.com/office/drawing/2010/slicer" name="Rounded Fare"/>
            </a:graphicData>
          </a:graphic>
        </xdr:graphicFrame>
      </mc:Choice>
      <mc:Fallback xmlns="">
        <xdr:sp macro="" textlink="">
          <xdr:nvSpPr>
            <xdr:cNvPr id="0" name=""/>
            <xdr:cNvSpPr>
              <a:spLocks noTextEdit="1"/>
            </xdr:cNvSpPr>
          </xdr:nvSpPr>
          <xdr:spPr>
            <a:xfrm>
              <a:off x="1152144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15240</xdr:rowOff>
    </xdr:from>
    <xdr:to>
      <xdr:col>7</xdr:col>
      <xdr:colOff>2430780</xdr:colOff>
      <xdr:row>4</xdr:row>
      <xdr:rowOff>22860</xdr:rowOff>
    </xdr:to>
    <xdr:sp macro="" textlink="">
      <xdr:nvSpPr>
        <xdr:cNvPr id="16" name="Rectangle 15">
          <a:extLst>
            <a:ext uri="{FF2B5EF4-FFF2-40B4-BE49-F238E27FC236}">
              <a16:creationId xmlns:a16="http://schemas.microsoft.com/office/drawing/2014/main" id="{53BB5F6D-A8A3-1124-F27C-1B21458B54A8}"/>
            </a:ext>
          </a:extLst>
        </xdr:cNvPr>
        <xdr:cNvSpPr/>
      </xdr:nvSpPr>
      <xdr:spPr>
        <a:xfrm>
          <a:off x="0" y="15240"/>
          <a:ext cx="13335000" cy="739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117722</xdr:colOff>
      <xdr:row>0</xdr:row>
      <xdr:rowOff>0</xdr:rowOff>
    </xdr:from>
    <xdr:ext cx="3330720" cy="822960"/>
    <xdr:sp macro="" textlink="">
      <xdr:nvSpPr>
        <xdr:cNvPr id="17" name="Rectangle 16">
          <a:extLst>
            <a:ext uri="{FF2B5EF4-FFF2-40B4-BE49-F238E27FC236}">
              <a16:creationId xmlns:a16="http://schemas.microsoft.com/office/drawing/2014/main" id="{92FB4891-CF1C-BEB0-B0E5-EE2E73F0EA15}"/>
            </a:ext>
          </a:extLst>
        </xdr:cNvPr>
        <xdr:cNvSpPr/>
      </xdr:nvSpPr>
      <xdr:spPr>
        <a:xfrm>
          <a:off x="3141338" y="0"/>
          <a:ext cx="3330720" cy="822960"/>
        </a:xfrm>
        <a:prstGeom prst="rect">
          <a:avLst/>
        </a:prstGeom>
        <a:noFill/>
      </xdr:spPr>
      <xdr:txBody>
        <a:bodyPr wrap="none" lIns="91440" tIns="45720" rIns="91440" bIns="45720">
          <a:noAutofit/>
        </a:bodyPr>
        <a:lstStyle/>
        <a:p>
          <a:pPr algn="ctr"/>
          <a:r>
            <a:rPr lang="en-US" sz="4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The Titanic</a:t>
          </a:r>
        </a:p>
      </xdr:txBody>
    </xdr:sp>
    <xdr:clientData/>
  </xdr:oneCellAnchor>
  <xdr:twoCellAnchor>
    <xdr:from>
      <xdr:col>0</xdr:col>
      <xdr:colOff>22860</xdr:colOff>
      <xdr:row>4</xdr:row>
      <xdr:rowOff>38100</xdr:rowOff>
    </xdr:from>
    <xdr:to>
      <xdr:col>8</xdr:col>
      <xdr:colOff>0</xdr:colOff>
      <xdr:row>6</xdr:row>
      <xdr:rowOff>137160</xdr:rowOff>
    </xdr:to>
    <xdr:sp macro="" textlink="">
      <xdr:nvSpPr>
        <xdr:cNvPr id="18" name="TextBox 17">
          <a:extLst>
            <a:ext uri="{FF2B5EF4-FFF2-40B4-BE49-F238E27FC236}">
              <a16:creationId xmlns:a16="http://schemas.microsoft.com/office/drawing/2014/main" id="{6431F3E1-824B-645C-24A8-4ACFD5665396}"/>
            </a:ext>
          </a:extLst>
        </xdr:cNvPr>
        <xdr:cNvSpPr txBox="1"/>
      </xdr:nvSpPr>
      <xdr:spPr>
        <a:xfrm>
          <a:off x="22860" y="769620"/>
          <a:ext cx="1331976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t>
          </a:r>
          <a:endParaRPr lang="en-US" sz="1100"/>
        </a:p>
      </xdr:txBody>
    </xdr:sp>
    <xdr:clientData/>
  </xdr:twoCellAnchor>
  <xdr:twoCellAnchor>
    <xdr:from>
      <xdr:col>4</xdr:col>
      <xdr:colOff>219075</xdr:colOff>
      <xdr:row>20</xdr:row>
      <xdr:rowOff>171450</xdr:rowOff>
    </xdr:from>
    <xdr:to>
      <xdr:col>7</xdr:col>
      <xdr:colOff>2426970</xdr:colOff>
      <xdr:row>43</xdr:row>
      <xdr:rowOff>163830</xdr:rowOff>
    </xdr:to>
    <xdr:graphicFrame macro="">
      <xdr:nvGraphicFramePr>
        <xdr:cNvPr id="4" name="Chart 3">
          <a:extLst>
            <a:ext uri="{FF2B5EF4-FFF2-40B4-BE49-F238E27FC236}">
              <a16:creationId xmlns:a16="http://schemas.microsoft.com/office/drawing/2014/main" id="{D0AA5A1D-B47D-4B2B-AA88-2458BAD6C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iff Whitworth" refreshedDate="45131.670698726855" createdVersion="8" refreshedVersion="8" minRefreshableVersion="3" recordCount="887" xr:uid="{F4927DDC-DFC2-4618-8075-B6399498B94A}">
  <cacheSource type="worksheet">
    <worksheetSource name="Titanic"/>
  </cacheSource>
  <cacheFields count="15">
    <cacheField name="Index" numFmtId="0">
      <sharedItems containsSemiMixedTypes="0" containsString="0" containsNumber="1" containsInteger="1" minValue="1" maxValue="887"/>
    </cacheField>
    <cacheField name="Survived Num" numFmtId="0">
      <sharedItems containsSemiMixedTypes="0" containsString="0" containsNumber="1" containsInteger="1" minValue="0" maxValue="1"/>
    </cacheField>
    <cacheField name="Survived" numFmtId="0">
      <sharedItems count="2">
        <s v="No"/>
        <s v="Yes"/>
      </sharedItems>
    </cacheField>
    <cacheField name="Surname" numFmtId="0">
      <sharedItems count="17">
        <s v="Mr"/>
        <s v="Mrs"/>
        <s v="Miss"/>
        <s v="Master"/>
        <s v="Don"/>
        <s v="Rev"/>
        <s v="Dr"/>
        <s v="Mme"/>
        <s v="Ms"/>
        <s v="Major"/>
        <s v="Lady"/>
        <s v="Sir"/>
        <s v="Mlle"/>
        <s v="Col"/>
        <s v="Capt"/>
        <s v="the Countess"/>
        <s v="Jonkheer"/>
      </sharedItems>
    </cacheField>
    <cacheField name="Name" numFmtId="0">
      <sharedItems/>
    </cacheField>
    <cacheField name="Sex" numFmtId="0">
      <sharedItems count="2">
        <s v="Male"/>
        <s v="Female"/>
      </sharedItems>
    </cacheField>
    <cacheField name="Age" numFmtId="0">
      <sharedItems containsSemiMixedTypes="0" containsString="0" containsNumber="1" minValue="0.42" maxValue="80"/>
    </cacheField>
    <cacheField name="Siblings/Spouses Aboard" numFmtId="0">
      <sharedItems containsSemiMixedTypes="0" containsString="0" containsNumber="1" containsInteger="1" minValue="0" maxValue="8" count="7">
        <n v="1"/>
        <n v="0"/>
        <n v="3"/>
        <n v="4"/>
        <n v="2"/>
        <n v="5"/>
        <n v="8"/>
      </sharedItems>
    </cacheField>
    <cacheField name="Parents/Children Aboard" numFmtId="0">
      <sharedItems containsSemiMixedTypes="0" containsString="0" containsNumber="1" containsInteger="1" minValue="0" maxValue="6" count="7">
        <n v="0"/>
        <n v="1"/>
        <n v="2"/>
        <n v="5"/>
        <n v="3"/>
        <n v="4"/>
        <n v="6"/>
      </sharedItems>
    </cacheField>
    <cacheField name="Pclass" numFmtId="0">
      <sharedItems containsSemiMixedTypes="0" containsString="0" containsNumber="1" containsInteger="1" minValue="1" maxValue="3" count="3">
        <n v="3"/>
        <n v="1"/>
        <n v="2"/>
      </sharedItems>
    </cacheField>
    <cacheField name="Fare" numFmtId="0">
      <sharedItems containsSemiMixedTypes="0" containsString="0" containsNumber="1" minValue="0" maxValue="512.32920000000001"/>
    </cacheField>
    <cacheField name="SexNum" numFmtId="0">
      <sharedItems containsSemiMixedTypes="0" containsString="0" containsNumber="1" containsInteger="1" minValue="0" maxValue="1"/>
    </cacheField>
    <cacheField name="Rounded Age" numFmtId="0">
      <sharedItems containsSemiMixedTypes="0" containsString="0" containsNumber="1" containsInteger="1" minValue="0" maxValue="80" count="72">
        <n v="22"/>
        <n v="38"/>
        <n v="26"/>
        <n v="35"/>
        <n v="27"/>
        <n v="54"/>
        <n v="2"/>
        <n v="14"/>
        <n v="4"/>
        <n v="58"/>
        <n v="20"/>
        <n v="39"/>
        <n v="55"/>
        <n v="23"/>
        <n v="31"/>
        <n v="34"/>
        <n v="15"/>
        <n v="28"/>
        <n v="8"/>
        <n v="19"/>
        <n v="24"/>
        <n v="40"/>
        <n v="48"/>
        <n v="18"/>
        <n v="66"/>
        <n v="42"/>
        <n v="21"/>
        <n v="3"/>
        <n v="30"/>
        <n v="16"/>
        <n v="7"/>
        <n v="49"/>
        <n v="29"/>
        <n v="65"/>
        <n v="46"/>
        <n v="5"/>
        <n v="11"/>
        <n v="45"/>
        <n v="64"/>
        <n v="17"/>
        <n v="32"/>
        <n v="25"/>
        <n v="1"/>
        <n v="33"/>
        <n v="59"/>
        <n v="71"/>
        <n v="37"/>
        <n v="47"/>
        <n v="12"/>
        <n v="9"/>
        <n v="51"/>
        <n v="56"/>
        <n v="41"/>
        <n v="44"/>
        <n v="60"/>
        <n v="61"/>
        <n v="50"/>
        <n v="36"/>
        <n v="62"/>
        <n v="52"/>
        <n v="63"/>
        <n v="57"/>
        <n v="43"/>
        <n v="10"/>
        <n v="13"/>
        <n v="69"/>
        <n v="53"/>
        <n v="80"/>
        <n v="70"/>
        <n v="6"/>
        <n v="0"/>
        <n v="74"/>
      </sharedItems>
    </cacheField>
    <cacheField name="Child Adult" numFmtId="0">
      <sharedItems count="2">
        <s v="Adult"/>
        <s v="Child"/>
      </sharedItems>
    </cacheField>
    <cacheField name="Rounded Fare" numFmtId="0">
      <sharedItems containsSemiMixedTypes="0" containsString="0" containsNumber="1" minValue="0" maxValue="512.33000000000004" count="234">
        <n v="7.25"/>
        <n v="71.28"/>
        <n v="7.93"/>
        <n v="53.1"/>
        <n v="8.0500000000000007"/>
        <n v="8.4600000000000009"/>
        <n v="51.86"/>
        <n v="21.08"/>
        <n v="11.13"/>
        <n v="30.07"/>
        <n v="16.7"/>
        <n v="26.55"/>
        <n v="31.28"/>
        <n v="7.85"/>
        <n v="16"/>
        <n v="29.13"/>
        <n v="13"/>
        <n v="18"/>
        <n v="7.23"/>
        <n v="26"/>
        <n v="8.0299999999999994"/>
        <n v="35.5"/>
        <n v="31.39"/>
        <n v="263"/>
        <n v="7.88"/>
        <n v="7.9"/>
        <n v="27.72"/>
        <n v="146.52000000000001"/>
        <n v="7.75"/>
        <n v="10.5"/>
        <n v="82.17"/>
        <n v="52"/>
        <n v="11.24"/>
        <n v="9.48"/>
        <n v="21"/>
        <n v="41.58"/>
        <n v="15.5"/>
        <n v="21.68"/>
        <n v="17.8"/>
        <n v="39.69"/>
        <n v="7.8"/>
        <n v="76.73"/>
        <n v="61.98"/>
        <n v="27.75"/>
        <n v="46.9"/>
        <n v="80"/>
        <n v="83.48"/>
        <n v="27.9"/>
        <n v="15.25"/>
        <n v="8.16"/>
        <n v="8.66"/>
        <n v="73.5"/>
        <n v="14.45"/>
        <n v="56.5"/>
        <n v="7.65"/>
        <n v="29"/>
        <n v="12.48"/>
        <n v="9"/>
        <n v="9.5"/>
        <n v="7.79"/>
        <n v="47.1"/>
        <n v="15.85"/>
        <n v="34.380000000000003"/>
        <n v="61.18"/>
        <n v="20.58"/>
        <n v="34.65"/>
        <n v="63.36"/>
        <n v="23"/>
        <n v="77.290000000000006"/>
        <n v="8.65"/>
        <n v="7.78"/>
        <n v="24.15"/>
        <n v="9.83"/>
        <n v="14.46"/>
        <n v="247.52"/>
        <n v="7.14"/>
        <n v="22.36"/>
        <n v="6.98"/>
        <n v="7.05"/>
        <n v="14.5"/>
        <n v="15.05"/>
        <n v="26.28"/>
        <n v="9.2200000000000006"/>
        <n v="79.2"/>
        <n v="6.75"/>
        <n v="11.5"/>
        <n v="36.75"/>
        <n v="12.53"/>
        <n v="66.599999999999994"/>
        <n v="7.31"/>
        <n v="61.38"/>
        <n v="7.73"/>
        <n v="69.55"/>
        <n v="16.100000000000001"/>
        <n v="15.75"/>
        <n v="20.53"/>
        <n v="55"/>
        <n v="25.93"/>
        <n v="33.5"/>
        <n v="30.7"/>
        <n v="25.47"/>
        <n v="28.71"/>
        <n v="0"/>
        <n v="39"/>
        <n v="22.03"/>
        <n v="50"/>
        <n v="8.4"/>
        <n v="6.5"/>
        <n v="10.46"/>
        <n v="18.79"/>
        <n v="31"/>
        <n v="113.28"/>
        <n v="27"/>
        <n v="76.290000000000006"/>
        <n v="90"/>
        <n v="9.35"/>
        <n v="13.5"/>
        <n v="7.55"/>
        <n v="26.25"/>
        <n v="12.28"/>
        <n v="7.13"/>
        <n v="52.55"/>
        <n v="20.21"/>
        <n v="86.5"/>
        <n v="512.33000000000004"/>
        <n v="79.650000000000006"/>
        <n v="153.46"/>
        <n v="135.63"/>
        <n v="19.5"/>
        <n v="29.7"/>
        <n v="77.959999999999994"/>
        <n v="20.25"/>
        <n v="78.849999999999994"/>
        <n v="91.08"/>
        <n v="12.88"/>
        <n v="8.85"/>
        <n v="151.55000000000001"/>
        <n v="30.5"/>
        <n v="23.25"/>
        <n v="12.35"/>
        <n v="110.88"/>
        <n v="108.9"/>
        <n v="24"/>
        <n v="56.93"/>
        <n v="83.16"/>
        <n v="262.38"/>
        <n v="14"/>
        <n v="164.87"/>
        <n v="134.5"/>
        <n v="6.24"/>
        <n v="57.98"/>
        <n v="28.5"/>
        <n v="133.65"/>
        <n v="15.9"/>
        <n v="9.23"/>
        <n v="35"/>
        <n v="75.25"/>
        <n v="69.3"/>
        <n v="55.44"/>
        <n v="211.5"/>
        <n v="4.01"/>
        <n v="227.53"/>
        <n v="15.74"/>
        <n v="12"/>
        <n v="120"/>
        <n v="12.65"/>
        <n v="18.75"/>
        <n v="6.86"/>
        <n v="32.5"/>
        <n v="14.4"/>
        <n v="55.9"/>
        <n v="8.11"/>
        <n v="81.86"/>
        <n v="19.260000000000002"/>
        <n v="19.97"/>
        <n v="89.1"/>
        <n v="38.5"/>
        <n v="13.79"/>
        <n v="9.84"/>
        <n v="7.52"/>
        <n v="12.29"/>
        <n v="9.59"/>
        <n v="49.5"/>
        <n v="78.27"/>
        <n v="15.1"/>
        <n v="7.63"/>
        <n v="22.53"/>
        <n v="26.29"/>
        <n v="59.4"/>
        <n v="7.5"/>
        <n v="34.020000000000003"/>
        <n v="93.5"/>
        <n v="221.78"/>
        <n v="106.43"/>
        <n v="71"/>
        <n v="13.86"/>
        <n v="7.83"/>
        <n v="39.6"/>
        <n v="17.399999999999999"/>
        <n v="51.48"/>
        <n v="26.39"/>
        <n v="30"/>
        <n v="40.130000000000003"/>
        <n v="8.7100000000000009"/>
        <n v="15"/>
        <n v="33"/>
        <n v="42.4"/>
        <n v="15.55"/>
        <n v="65"/>
        <n v="32.32"/>
        <n v="8.43"/>
        <n v="25.59"/>
        <n v="8.14"/>
        <n v="10.17"/>
        <n v="211.34"/>
        <n v="57"/>
        <n v="13.42"/>
        <n v="7.74"/>
        <n v="8.36"/>
        <n v="23.45"/>
        <n v="8.68"/>
        <n v="8.52"/>
        <n v="7.89"/>
        <n v="37"/>
        <n v="6.45"/>
        <n v="6.95"/>
        <n v="8.3000000000000007"/>
        <n v="6.44"/>
        <n v="39.4"/>
        <n v="14.11"/>
        <n v="50.5"/>
        <n v="5"/>
        <n v="9.85"/>
        <n v="10.52"/>
      </sharedItems>
    </cacheField>
  </cacheFields>
  <extLst>
    <ext xmlns:x14="http://schemas.microsoft.com/office/spreadsheetml/2009/9/main" uri="{725AE2AE-9491-48be-B2B4-4EB974FC3084}">
      <x14:pivotCacheDefinition pivotCacheId="773424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7">
  <r>
    <n v="1"/>
    <n v="0"/>
    <x v="0"/>
    <x v="0"/>
    <s v=" Owen Harris Braund"/>
    <x v="0"/>
    <n v="22"/>
    <x v="0"/>
    <x v="0"/>
    <x v="0"/>
    <n v="7.25"/>
    <n v="0"/>
    <x v="0"/>
    <x v="0"/>
    <x v="0"/>
  </r>
  <r>
    <n v="2"/>
    <n v="1"/>
    <x v="1"/>
    <x v="1"/>
    <s v=" John Bradley (Florence Briggs Thayer) Cumings"/>
    <x v="1"/>
    <n v="38"/>
    <x v="0"/>
    <x v="0"/>
    <x v="1"/>
    <n v="71.283299999999997"/>
    <n v="1"/>
    <x v="1"/>
    <x v="0"/>
    <x v="1"/>
  </r>
  <r>
    <n v="3"/>
    <n v="1"/>
    <x v="1"/>
    <x v="2"/>
    <s v=" Laina Heikkinen"/>
    <x v="1"/>
    <n v="26"/>
    <x v="1"/>
    <x v="0"/>
    <x v="0"/>
    <n v="7.9249999999999998"/>
    <n v="1"/>
    <x v="2"/>
    <x v="0"/>
    <x v="2"/>
  </r>
  <r>
    <n v="4"/>
    <n v="1"/>
    <x v="1"/>
    <x v="1"/>
    <s v=" Jacques Heath (Lily May Peel) Futrelle"/>
    <x v="1"/>
    <n v="35"/>
    <x v="0"/>
    <x v="0"/>
    <x v="1"/>
    <n v="53.1"/>
    <n v="1"/>
    <x v="3"/>
    <x v="0"/>
    <x v="3"/>
  </r>
  <r>
    <n v="5"/>
    <n v="0"/>
    <x v="0"/>
    <x v="0"/>
    <s v=" William Henry Allen"/>
    <x v="0"/>
    <n v="35"/>
    <x v="1"/>
    <x v="0"/>
    <x v="0"/>
    <n v="8.0500000000000007"/>
    <n v="0"/>
    <x v="3"/>
    <x v="0"/>
    <x v="4"/>
  </r>
  <r>
    <n v="6"/>
    <n v="0"/>
    <x v="0"/>
    <x v="0"/>
    <s v=" James Moran"/>
    <x v="0"/>
    <n v="27"/>
    <x v="1"/>
    <x v="0"/>
    <x v="0"/>
    <n v="8.4582999999999995"/>
    <n v="0"/>
    <x v="4"/>
    <x v="0"/>
    <x v="5"/>
  </r>
  <r>
    <n v="7"/>
    <n v="0"/>
    <x v="0"/>
    <x v="0"/>
    <s v=" Timothy J McCarthy"/>
    <x v="0"/>
    <n v="54"/>
    <x v="1"/>
    <x v="0"/>
    <x v="1"/>
    <n v="51.862499999999997"/>
    <n v="0"/>
    <x v="5"/>
    <x v="0"/>
    <x v="6"/>
  </r>
  <r>
    <n v="8"/>
    <n v="0"/>
    <x v="0"/>
    <x v="3"/>
    <s v=" Gosta Leonard Palsson"/>
    <x v="0"/>
    <n v="2"/>
    <x v="2"/>
    <x v="1"/>
    <x v="0"/>
    <n v="21.074999999999999"/>
    <n v="0"/>
    <x v="6"/>
    <x v="1"/>
    <x v="7"/>
  </r>
  <r>
    <n v="9"/>
    <n v="1"/>
    <x v="1"/>
    <x v="1"/>
    <s v=" Oscar W (Elisabeth Vilhelmina Berg) Johnson"/>
    <x v="1"/>
    <n v="27"/>
    <x v="1"/>
    <x v="2"/>
    <x v="0"/>
    <n v="11.1333"/>
    <n v="1"/>
    <x v="4"/>
    <x v="0"/>
    <x v="8"/>
  </r>
  <r>
    <n v="10"/>
    <n v="1"/>
    <x v="1"/>
    <x v="1"/>
    <s v=" Nicholas (Adele Achem) Nasser"/>
    <x v="1"/>
    <n v="14"/>
    <x v="0"/>
    <x v="0"/>
    <x v="2"/>
    <n v="30.070799999999998"/>
    <n v="1"/>
    <x v="7"/>
    <x v="1"/>
    <x v="9"/>
  </r>
  <r>
    <n v="11"/>
    <n v="1"/>
    <x v="1"/>
    <x v="2"/>
    <s v=" Marguerite Rut Sandstrom"/>
    <x v="1"/>
    <n v="4"/>
    <x v="0"/>
    <x v="1"/>
    <x v="0"/>
    <n v="16.7"/>
    <n v="1"/>
    <x v="8"/>
    <x v="1"/>
    <x v="10"/>
  </r>
  <r>
    <n v="12"/>
    <n v="1"/>
    <x v="1"/>
    <x v="2"/>
    <s v=" Elizabeth Bonnell"/>
    <x v="1"/>
    <n v="58"/>
    <x v="1"/>
    <x v="0"/>
    <x v="1"/>
    <n v="26.55"/>
    <n v="1"/>
    <x v="9"/>
    <x v="0"/>
    <x v="11"/>
  </r>
  <r>
    <n v="13"/>
    <n v="0"/>
    <x v="0"/>
    <x v="0"/>
    <s v=" William Henry Saundercock"/>
    <x v="0"/>
    <n v="20"/>
    <x v="1"/>
    <x v="0"/>
    <x v="0"/>
    <n v="8.0500000000000007"/>
    <n v="0"/>
    <x v="10"/>
    <x v="0"/>
    <x v="4"/>
  </r>
  <r>
    <n v="14"/>
    <n v="0"/>
    <x v="0"/>
    <x v="0"/>
    <s v=" Anders Johan Andersson"/>
    <x v="0"/>
    <n v="39"/>
    <x v="0"/>
    <x v="3"/>
    <x v="0"/>
    <n v="31.274999999999999"/>
    <n v="0"/>
    <x v="11"/>
    <x v="0"/>
    <x v="12"/>
  </r>
  <r>
    <n v="15"/>
    <n v="0"/>
    <x v="0"/>
    <x v="2"/>
    <s v=" Hulda Amanda Adolfina Vestrom"/>
    <x v="1"/>
    <n v="14"/>
    <x v="1"/>
    <x v="0"/>
    <x v="0"/>
    <n v="7.8541999999999996"/>
    <n v="1"/>
    <x v="7"/>
    <x v="1"/>
    <x v="13"/>
  </r>
  <r>
    <n v="16"/>
    <n v="1"/>
    <x v="1"/>
    <x v="1"/>
    <s v=" (Mary D Kingcome) Hewlett"/>
    <x v="1"/>
    <n v="55"/>
    <x v="1"/>
    <x v="0"/>
    <x v="2"/>
    <n v="16"/>
    <n v="1"/>
    <x v="12"/>
    <x v="0"/>
    <x v="14"/>
  </r>
  <r>
    <n v="17"/>
    <n v="0"/>
    <x v="0"/>
    <x v="3"/>
    <s v=" Eugene Rice"/>
    <x v="0"/>
    <n v="2"/>
    <x v="3"/>
    <x v="1"/>
    <x v="0"/>
    <n v="29.125"/>
    <n v="0"/>
    <x v="6"/>
    <x v="1"/>
    <x v="15"/>
  </r>
  <r>
    <n v="18"/>
    <n v="1"/>
    <x v="1"/>
    <x v="0"/>
    <s v=" Charles Eugene Williams"/>
    <x v="0"/>
    <n v="23"/>
    <x v="1"/>
    <x v="0"/>
    <x v="2"/>
    <n v="13"/>
    <n v="0"/>
    <x v="13"/>
    <x v="0"/>
    <x v="16"/>
  </r>
  <r>
    <n v="19"/>
    <n v="0"/>
    <x v="0"/>
    <x v="1"/>
    <s v=" Julius (Emelia Maria Vandemoortele) Vander Planke"/>
    <x v="1"/>
    <n v="31"/>
    <x v="0"/>
    <x v="0"/>
    <x v="0"/>
    <n v="18"/>
    <n v="1"/>
    <x v="14"/>
    <x v="0"/>
    <x v="17"/>
  </r>
  <r>
    <n v="20"/>
    <n v="1"/>
    <x v="1"/>
    <x v="1"/>
    <s v=" Fatima Masselmani"/>
    <x v="1"/>
    <n v="22"/>
    <x v="1"/>
    <x v="0"/>
    <x v="0"/>
    <n v="7.2249999999999996"/>
    <n v="1"/>
    <x v="0"/>
    <x v="0"/>
    <x v="18"/>
  </r>
  <r>
    <n v="21"/>
    <n v="0"/>
    <x v="0"/>
    <x v="0"/>
    <s v=" Joseph J Fynney"/>
    <x v="0"/>
    <n v="35"/>
    <x v="1"/>
    <x v="0"/>
    <x v="2"/>
    <n v="26"/>
    <n v="0"/>
    <x v="3"/>
    <x v="0"/>
    <x v="19"/>
  </r>
  <r>
    <n v="22"/>
    <n v="1"/>
    <x v="1"/>
    <x v="0"/>
    <s v=" Lawrence Beesley"/>
    <x v="0"/>
    <n v="34"/>
    <x v="1"/>
    <x v="0"/>
    <x v="2"/>
    <n v="13"/>
    <n v="0"/>
    <x v="15"/>
    <x v="0"/>
    <x v="16"/>
  </r>
  <r>
    <n v="23"/>
    <n v="1"/>
    <x v="1"/>
    <x v="2"/>
    <s v=" Anna McGowan"/>
    <x v="1"/>
    <n v="15"/>
    <x v="1"/>
    <x v="0"/>
    <x v="0"/>
    <n v="8.0291999999999994"/>
    <n v="1"/>
    <x v="16"/>
    <x v="1"/>
    <x v="20"/>
  </r>
  <r>
    <n v="24"/>
    <n v="1"/>
    <x v="1"/>
    <x v="0"/>
    <s v=" William Thompson Sloper"/>
    <x v="0"/>
    <n v="28"/>
    <x v="1"/>
    <x v="0"/>
    <x v="1"/>
    <n v="35.5"/>
    <n v="0"/>
    <x v="17"/>
    <x v="0"/>
    <x v="21"/>
  </r>
  <r>
    <n v="25"/>
    <n v="0"/>
    <x v="0"/>
    <x v="2"/>
    <s v=" Torborg Danira Palsson"/>
    <x v="1"/>
    <n v="8"/>
    <x v="2"/>
    <x v="1"/>
    <x v="0"/>
    <n v="21.074999999999999"/>
    <n v="1"/>
    <x v="18"/>
    <x v="1"/>
    <x v="7"/>
  </r>
  <r>
    <n v="26"/>
    <n v="1"/>
    <x v="1"/>
    <x v="1"/>
    <s v=" Carl Oscar (Selma Augusta Emilia Johansson) Asplund"/>
    <x v="1"/>
    <n v="38"/>
    <x v="0"/>
    <x v="3"/>
    <x v="0"/>
    <n v="31.387499999999999"/>
    <n v="1"/>
    <x v="1"/>
    <x v="0"/>
    <x v="22"/>
  </r>
  <r>
    <n v="27"/>
    <n v="0"/>
    <x v="0"/>
    <x v="0"/>
    <s v=" Farred Chehab Emir"/>
    <x v="0"/>
    <n v="26"/>
    <x v="1"/>
    <x v="0"/>
    <x v="0"/>
    <n v="7.2249999999999996"/>
    <n v="0"/>
    <x v="2"/>
    <x v="0"/>
    <x v="18"/>
  </r>
  <r>
    <n v="28"/>
    <n v="0"/>
    <x v="0"/>
    <x v="0"/>
    <s v=" Charles Alexander Fortune"/>
    <x v="0"/>
    <n v="19"/>
    <x v="2"/>
    <x v="2"/>
    <x v="1"/>
    <n v="263"/>
    <n v="0"/>
    <x v="19"/>
    <x v="0"/>
    <x v="23"/>
  </r>
  <r>
    <n v="29"/>
    <n v="1"/>
    <x v="1"/>
    <x v="2"/>
    <s v=" Ellen O'Dwyer"/>
    <x v="1"/>
    <n v="24"/>
    <x v="1"/>
    <x v="0"/>
    <x v="0"/>
    <n v="7.8792"/>
    <n v="1"/>
    <x v="20"/>
    <x v="0"/>
    <x v="24"/>
  </r>
  <r>
    <n v="30"/>
    <n v="0"/>
    <x v="0"/>
    <x v="0"/>
    <s v=" Lalio Todoroff"/>
    <x v="0"/>
    <n v="23"/>
    <x v="1"/>
    <x v="0"/>
    <x v="0"/>
    <n v="7.8958000000000004"/>
    <n v="0"/>
    <x v="13"/>
    <x v="0"/>
    <x v="25"/>
  </r>
  <r>
    <n v="31"/>
    <n v="0"/>
    <x v="0"/>
    <x v="4"/>
    <s v=" Manuel E Uruchurtu"/>
    <x v="0"/>
    <n v="40"/>
    <x v="1"/>
    <x v="0"/>
    <x v="1"/>
    <n v="27.720800000000001"/>
    <n v="0"/>
    <x v="21"/>
    <x v="0"/>
    <x v="26"/>
  </r>
  <r>
    <n v="32"/>
    <n v="1"/>
    <x v="1"/>
    <x v="1"/>
    <s v=" William Augustus (Marie Eugenie) Spencer"/>
    <x v="1"/>
    <n v="48"/>
    <x v="0"/>
    <x v="0"/>
    <x v="1"/>
    <n v="146.52080000000001"/>
    <n v="1"/>
    <x v="22"/>
    <x v="0"/>
    <x v="27"/>
  </r>
  <r>
    <n v="33"/>
    <n v="1"/>
    <x v="1"/>
    <x v="2"/>
    <s v=" Mary Agatha Glynn"/>
    <x v="1"/>
    <n v="18"/>
    <x v="1"/>
    <x v="0"/>
    <x v="0"/>
    <n v="7.75"/>
    <n v="1"/>
    <x v="23"/>
    <x v="0"/>
    <x v="28"/>
  </r>
  <r>
    <n v="34"/>
    <n v="0"/>
    <x v="0"/>
    <x v="0"/>
    <s v=" Edward H Wheadon"/>
    <x v="0"/>
    <n v="66"/>
    <x v="1"/>
    <x v="0"/>
    <x v="2"/>
    <n v="10.5"/>
    <n v="0"/>
    <x v="24"/>
    <x v="0"/>
    <x v="29"/>
  </r>
  <r>
    <n v="35"/>
    <n v="0"/>
    <x v="0"/>
    <x v="0"/>
    <s v=" Edgar Joseph Meyer"/>
    <x v="0"/>
    <n v="28"/>
    <x v="0"/>
    <x v="0"/>
    <x v="1"/>
    <n v="82.1708"/>
    <n v="0"/>
    <x v="17"/>
    <x v="0"/>
    <x v="30"/>
  </r>
  <r>
    <n v="36"/>
    <n v="0"/>
    <x v="0"/>
    <x v="0"/>
    <s v=" Alexander Oskar Holverson"/>
    <x v="0"/>
    <n v="42"/>
    <x v="0"/>
    <x v="0"/>
    <x v="1"/>
    <n v="52"/>
    <n v="0"/>
    <x v="25"/>
    <x v="0"/>
    <x v="31"/>
  </r>
  <r>
    <n v="37"/>
    <n v="1"/>
    <x v="1"/>
    <x v="0"/>
    <s v=" Hanna Mamee"/>
    <x v="0"/>
    <n v="18"/>
    <x v="1"/>
    <x v="0"/>
    <x v="0"/>
    <n v="7.2291999999999996"/>
    <n v="0"/>
    <x v="23"/>
    <x v="0"/>
    <x v="18"/>
  </r>
  <r>
    <n v="38"/>
    <n v="0"/>
    <x v="0"/>
    <x v="0"/>
    <s v=" Ernest Charles Cann"/>
    <x v="0"/>
    <n v="21"/>
    <x v="1"/>
    <x v="0"/>
    <x v="0"/>
    <n v="8.0500000000000007"/>
    <n v="0"/>
    <x v="26"/>
    <x v="0"/>
    <x v="4"/>
  </r>
  <r>
    <n v="39"/>
    <n v="0"/>
    <x v="0"/>
    <x v="2"/>
    <s v=" Augusta Maria Vander Planke"/>
    <x v="1"/>
    <n v="18"/>
    <x v="4"/>
    <x v="0"/>
    <x v="0"/>
    <n v="18"/>
    <n v="1"/>
    <x v="23"/>
    <x v="0"/>
    <x v="17"/>
  </r>
  <r>
    <n v="40"/>
    <n v="1"/>
    <x v="1"/>
    <x v="2"/>
    <s v=" Jamila Nicola-Yarred"/>
    <x v="1"/>
    <n v="14"/>
    <x v="0"/>
    <x v="0"/>
    <x v="0"/>
    <n v="11.2417"/>
    <n v="1"/>
    <x v="7"/>
    <x v="1"/>
    <x v="32"/>
  </r>
  <r>
    <n v="41"/>
    <n v="0"/>
    <x v="0"/>
    <x v="1"/>
    <s v=" Johan (Johanna Persdotter Larsson) Ahlin"/>
    <x v="1"/>
    <n v="40"/>
    <x v="0"/>
    <x v="0"/>
    <x v="0"/>
    <n v="9.4749999999999996"/>
    <n v="1"/>
    <x v="21"/>
    <x v="0"/>
    <x v="33"/>
  </r>
  <r>
    <n v="42"/>
    <n v="0"/>
    <x v="0"/>
    <x v="1"/>
    <s v=" William John Robert (Dorothy Ann Wonnacott) Turpin"/>
    <x v="1"/>
    <n v="27"/>
    <x v="0"/>
    <x v="0"/>
    <x v="2"/>
    <n v="21"/>
    <n v="1"/>
    <x v="4"/>
    <x v="0"/>
    <x v="34"/>
  </r>
  <r>
    <n v="43"/>
    <n v="1"/>
    <x v="1"/>
    <x v="2"/>
    <s v=" Simonne Marie Anne Andree Laroche"/>
    <x v="1"/>
    <n v="3"/>
    <x v="0"/>
    <x v="2"/>
    <x v="2"/>
    <n v="41.5792"/>
    <n v="1"/>
    <x v="27"/>
    <x v="1"/>
    <x v="35"/>
  </r>
  <r>
    <n v="44"/>
    <n v="1"/>
    <x v="1"/>
    <x v="2"/>
    <s v=" Margaret Delia Devaney"/>
    <x v="1"/>
    <n v="19"/>
    <x v="1"/>
    <x v="0"/>
    <x v="0"/>
    <n v="7.8792"/>
    <n v="1"/>
    <x v="19"/>
    <x v="0"/>
    <x v="24"/>
  </r>
  <r>
    <n v="45"/>
    <n v="0"/>
    <x v="0"/>
    <x v="0"/>
    <s v=" William John Rogers"/>
    <x v="0"/>
    <n v="30"/>
    <x v="1"/>
    <x v="0"/>
    <x v="0"/>
    <n v="8.0500000000000007"/>
    <n v="0"/>
    <x v="28"/>
    <x v="0"/>
    <x v="4"/>
  </r>
  <r>
    <n v="46"/>
    <n v="0"/>
    <x v="0"/>
    <x v="0"/>
    <s v=" Denis Lennon"/>
    <x v="0"/>
    <n v="20"/>
    <x v="0"/>
    <x v="0"/>
    <x v="0"/>
    <n v="15.5"/>
    <n v="0"/>
    <x v="10"/>
    <x v="0"/>
    <x v="36"/>
  </r>
  <r>
    <n v="47"/>
    <n v="1"/>
    <x v="1"/>
    <x v="2"/>
    <s v=" Bridget O'Driscoll"/>
    <x v="1"/>
    <n v="27"/>
    <x v="1"/>
    <x v="0"/>
    <x v="0"/>
    <n v="7.75"/>
    <n v="1"/>
    <x v="4"/>
    <x v="0"/>
    <x v="28"/>
  </r>
  <r>
    <n v="48"/>
    <n v="0"/>
    <x v="0"/>
    <x v="0"/>
    <s v=" Youssef Samaan"/>
    <x v="0"/>
    <n v="16"/>
    <x v="4"/>
    <x v="0"/>
    <x v="0"/>
    <n v="21.679200000000002"/>
    <n v="0"/>
    <x v="29"/>
    <x v="1"/>
    <x v="37"/>
  </r>
  <r>
    <n v="49"/>
    <n v="0"/>
    <x v="0"/>
    <x v="1"/>
    <s v=" Josef (Josefine Franchi) Arnold-Franchi"/>
    <x v="1"/>
    <n v="18"/>
    <x v="0"/>
    <x v="0"/>
    <x v="0"/>
    <n v="17.8"/>
    <n v="1"/>
    <x v="23"/>
    <x v="0"/>
    <x v="38"/>
  </r>
  <r>
    <n v="50"/>
    <n v="0"/>
    <x v="0"/>
    <x v="3"/>
    <s v=" Juha Niilo Panula"/>
    <x v="0"/>
    <n v="7"/>
    <x v="3"/>
    <x v="1"/>
    <x v="0"/>
    <n v="39.6875"/>
    <n v="0"/>
    <x v="30"/>
    <x v="1"/>
    <x v="39"/>
  </r>
  <r>
    <n v="51"/>
    <n v="0"/>
    <x v="0"/>
    <x v="0"/>
    <s v=" Richard Cater Nosworthy"/>
    <x v="0"/>
    <n v="21"/>
    <x v="1"/>
    <x v="0"/>
    <x v="0"/>
    <n v="7.8"/>
    <n v="0"/>
    <x v="26"/>
    <x v="0"/>
    <x v="40"/>
  </r>
  <r>
    <n v="52"/>
    <n v="1"/>
    <x v="1"/>
    <x v="1"/>
    <s v=" Henry Sleeper (Myna Haxtun) Harper"/>
    <x v="1"/>
    <n v="49"/>
    <x v="0"/>
    <x v="0"/>
    <x v="1"/>
    <n v="76.729200000000006"/>
    <n v="1"/>
    <x v="31"/>
    <x v="0"/>
    <x v="41"/>
  </r>
  <r>
    <n v="53"/>
    <n v="1"/>
    <x v="1"/>
    <x v="1"/>
    <s v=" Lizzie (Elizabeth Anne Wilkinson) Faunthorpe"/>
    <x v="1"/>
    <n v="29"/>
    <x v="0"/>
    <x v="0"/>
    <x v="2"/>
    <n v="26"/>
    <n v="1"/>
    <x v="32"/>
    <x v="0"/>
    <x v="19"/>
  </r>
  <r>
    <n v="54"/>
    <n v="0"/>
    <x v="0"/>
    <x v="0"/>
    <s v=" Engelhart Cornelius Ostby"/>
    <x v="0"/>
    <n v="65"/>
    <x v="1"/>
    <x v="1"/>
    <x v="1"/>
    <n v="61.979199999999999"/>
    <n v="0"/>
    <x v="33"/>
    <x v="0"/>
    <x v="42"/>
  </r>
  <r>
    <n v="55"/>
    <n v="1"/>
    <x v="1"/>
    <x v="0"/>
    <s v=" Hugh Woolner"/>
    <x v="0"/>
    <n v="46"/>
    <x v="1"/>
    <x v="0"/>
    <x v="1"/>
    <n v="35.5"/>
    <n v="0"/>
    <x v="34"/>
    <x v="0"/>
    <x v="21"/>
  </r>
  <r>
    <n v="56"/>
    <n v="1"/>
    <x v="1"/>
    <x v="2"/>
    <s v=" Emily Rugg"/>
    <x v="1"/>
    <n v="21"/>
    <x v="1"/>
    <x v="0"/>
    <x v="2"/>
    <n v="10.5"/>
    <n v="1"/>
    <x v="26"/>
    <x v="0"/>
    <x v="29"/>
  </r>
  <r>
    <n v="57"/>
    <n v="0"/>
    <x v="0"/>
    <x v="0"/>
    <s v=" Mansouer Novel"/>
    <x v="0"/>
    <n v="28.5"/>
    <x v="1"/>
    <x v="0"/>
    <x v="0"/>
    <n v="7.2291999999999996"/>
    <n v="0"/>
    <x v="32"/>
    <x v="0"/>
    <x v="18"/>
  </r>
  <r>
    <n v="58"/>
    <n v="1"/>
    <x v="1"/>
    <x v="2"/>
    <s v=" Constance Mirium West"/>
    <x v="1"/>
    <n v="5"/>
    <x v="0"/>
    <x v="2"/>
    <x v="2"/>
    <n v="27.75"/>
    <n v="1"/>
    <x v="35"/>
    <x v="1"/>
    <x v="43"/>
  </r>
  <r>
    <n v="59"/>
    <n v="0"/>
    <x v="0"/>
    <x v="3"/>
    <s v=" William Frederick Goodwin"/>
    <x v="0"/>
    <n v="11"/>
    <x v="5"/>
    <x v="2"/>
    <x v="0"/>
    <n v="46.9"/>
    <n v="0"/>
    <x v="36"/>
    <x v="1"/>
    <x v="44"/>
  </r>
  <r>
    <n v="60"/>
    <n v="0"/>
    <x v="0"/>
    <x v="0"/>
    <s v=" Orsen Sirayanian"/>
    <x v="0"/>
    <n v="22"/>
    <x v="1"/>
    <x v="0"/>
    <x v="0"/>
    <n v="7.2291999999999996"/>
    <n v="0"/>
    <x v="0"/>
    <x v="0"/>
    <x v="18"/>
  </r>
  <r>
    <n v="61"/>
    <n v="1"/>
    <x v="1"/>
    <x v="2"/>
    <s v=" Amelie Icard"/>
    <x v="1"/>
    <n v="38"/>
    <x v="1"/>
    <x v="0"/>
    <x v="1"/>
    <n v="80"/>
    <n v="1"/>
    <x v="1"/>
    <x v="0"/>
    <x v="45"/>
  </r>
  <r>
    <n v="62"/>
    <n v="0"/>
    <x v="0"/>
    <x v="0"/>
    <s v=" Henry Birkhardt Harris"/>
    <x v="0"/>
    <n v="45"/>
    <x v="0"/>
    <x v="0"/>
    <x v="1"/>
    <n v="83.474999999999994"/>
    <n v="0"/>
    <x v="37"/>
    <x v="0"/>
    <x v="46"/>
  </r>
  <r>
    <n v="63"/>
    <n v="0"/>
    <x v="0"/>
    <x v="3"/>
    <s v=" Harald Skoog"/>
    <x v="0"/>
    <n v="4"/>
    <x v="2"/>
    <x v="2"/>
    <x v="0"/>
    <n v="27.9"/>
    <n v="0"/>
    <x v="8"/>
    <x v="1"/>
    <x v="47"/>
  </r>
  <r>
    <n v="64"/>
    <n v="0"/>
    <x v="0"/>
    <x v="0"/>
    <s v=" Albert A Stewart"/>
    <x v="0"/>
    <n v="64"/>
    <x v="1"/>
    <x v="0"/>
    <x v="1"/>
    <n v="27.720800000000001"/>
    <n v="0"/>
    <x v="38"/>
    <x v="0"/>
    <x v="26"/>
  </r>
  <r>
    <n v="65"/>
    <n v="1"/>
    <x v="1"/>
    <x v="3"/>
    <s v=" Gerios Moubarek"/>
    <x v="0"/>
    <n v="7"/>
    <x v="0"/>
    <x v="1"/>
    <x v="0"/>
    <n v="15.245799999999999"/>
    <n v="0"/>
    <x v="30"/>
    <x v="1"/>
    <x v="48"/>
  </r>
  <r>
    <n v="66"/>
    <n v="1"/>
    <x v="1"/>
    <x v="1"/>
    <s v=" (Elizabeth Ramell) Nye"/>
    <x v="1"/>
    <n v="29"/>
    <x v="1"/>
    <x v="0"/>
    <x v="2"/>
    <n v="10.5"/>
    <n v="1"/>
    <x v="32"/>
    <x v="0"/>
    <x v="29"/>
  </r>
  <r>
    <n v="67"/>
    <n v="0"/>
    <x v="0"/>
    <x v="0"/>
    <s v=" Ernest James Crease"/>
    <x v="0"/>
    <n v="19"/>
    <x v="1"/>
    <x v="0"/>
    <x v="0"/>
    <n v="8.1583000000000006"/>
    <n v="0"/>
    <x v="19"/>
    <x v="0"/>
    <x v="49"/>
  </r>
  <r>
    <n v="68"/>
    <n v="1"/>
    <x v="1"/>
    <x v="2"/>
    <s v=" Erna Alexandra Andersson"/>
    <x v="1"/>
    <n v="17"/>
    <x v="3"/>
    <x v="2"/>
    <x v="0"/>
    <n v="7.9249999999999998"/>
    <n v="1"/>
    <x v="39"/>
    <x v="0"/>
    <x v="2"/>
  </r>
  <r>
    <n v="69"/>
    <n v="0"/>
    <x v="0"/>
    <x v="0"/>
    <s v=" Vincenz Kink"/>
    <x v="0"/>
    <n v="26"/>
    <x v="4"/>
    <x v="0"/>
    <x v="0"/>
    <n v="8.6624999999999996"/>
    <n v="0"/>
    <x v="2"/>
    <x v="0"/>
    <x v="50"/>
  </r>
  <r>
    <n v="70"/>
    <n v="0"/>
    <x v="0"/>
    <x v="0"/>
    <s v=" Stephen Curnow Jenkin"/>
    <x v="0"/>
    <n v="32"/>
    <x v="1"/>
    <x v="0"/>
    <x v="2"/>
    <n v="10.5"/>
    <n v="0"/>
    <x v="40"/>
    <x v="0"/>
    <x v="29"/>
  </r>
  <r>
    <n v="71"/>
    <n v="0"/>
    <x v="0"/>
    <x v="2"/>
    <s v=" Lillian Amy Goodwin"/>
    <x v="1"/>
    <n v="16"/>
    <x v="5"/>
    <x v="2"/>
    <x v="0"/>
    <n v="46.9"/>
    <n v="1"/>
    <x v="29"/>
    <x v="1"/>
    <x v="44"/>
  </r>
  <r>
    <n v="72"/>
    <n v="0"/>
    <x v="0"/>
    <x v="0"/>
    <s v=" Ambrose Jr Hood"/>
    <x v="0"/>
    <n v="21"/>
    <x v="1"/>
    <x v="0"/>
    <x v="2"/>
    <n v="73.5"/>
    <n v="0"/>
    <x v="26"/>
    <x v="0"/>
    <x v="51"/>
  </r>
  <r>
    <n v="73"/>
    <n v="0"/>
    <x v="0"/>
    <x v="0"/>
    <s v=" Apostolos Chronopoulos"/>
    <x v="0"/>
    <n v="26"/>
    <x v="0"/>
    <x v="0"/>
    <x v="0"/>
    <n v="14.4542"/>
    <n v="0"/>
    <x v="2"/>
    <x v="0"/>
    <x v="52"/>
  </r>
  <r>
    <n v="74"/>
    <n v="1"/>
    <x v="1"/>
    <x v="0"/>
    <s v=" Lee Bing"/>
    <x v="0"/>
    <n v="32"/>
    <x v="1"/>
    <x v="0"/>
    <x v="0"/>
    <n v="56.495800000000003"/>
    <n v="0"/>
    <x v="40"/>
    <x v="0"/>
    <x v="53"/>
  </r>
  <r>
    <n v="75"/>
    <n v="0"/>
    <x v="0"/>
    <x v="0"/>
    <s v=" Sigurd Hansen Moen"/>
    <x v="0"/>
    <n v="25"/>
    <x v="1"/>
    <x v="0"/>
    <x v="0"/>
    <n v="7.65"/>
    <n v="0"/>
    <x v="41"/>
    <x v="0"/>
    <x v="54"/>
  </r>
  <r>
    <n v="76"/>
    <n v="0"/>
    <x v="0"/>
    <x v="0"/>
    <s v=" Ivan Staneff"/>
    <x v="0"/>
    <n v="23"/>
    <x v="1"/>
    <x v="0"/>
    <x v="0"/>
    <n v="7.8958000000000004"/>
    <n v="0"/>
    <x v="13"/>
    <x v="0"/>
    <x v="25"/>
  </r>
  <r>
    <n v="77"/>
    <n v="0"/>
    <x v="0"/>
    <x v="0"/>
    <s v=" Rahamin Haim Moutal"/>
    <x v="0"/>
    <n v="28"/>
    <x v="1"/>
    <x v="0"/>
    <x v="0"/>
    <n v="8.0500000000000007"/>
    <n v="0"/>
    <x v="17"/>
    <x v="0"/>
    <x v="4"/>
  </r>
  <r>
    <n v="78"/>
    <n v="1"/>
    <x v="1"/>
    <x v="3"/>
    <s v=" Alden Gates Caldwell"/>
    <x v="0"/>
    <n v="0.83"/>
    <x v="1"/>
    <x v="2"/>
    <x v="2"/>
    <n v="29"/>
    <n v="0"/>
    <x v="42"/>
    <x v="1"/>
    <x v="55"/>
  </r>
  <r>
    <n v="79"/>
    <n v="1"/>
    <x v="1"/>
    <x v="2"/>
    <s v=" Elizabeth Dowdell"/>
    <x v="1"/>
    <n v="30"/>
    <x v="1"/>
    <x v="0"/>
    <x v="0"/>
    <n v="12.475"/>
    <n v="1"/>
    <x v="28"/>
    <x v="0"/>
    <x v="56"/>
  </r>
  <r>
    <n v="80"/>
    <n v="0"/>
    <x v="0"/>
    <x v="0"/>
    <s v=" Achille Waelens"/>
    <x v="0"/>
    <n v="22"/>
    <x v="1"/>
    <x v="0"/>
    <x v="0"/>
    <n v="9"/>
    <n v="0"/>
    <x v="0"/>
    <x v="0"/>
    <x v="57"/>
  </r>
  <r>
    <n v="81"/>
    <n v="1"/>
    <x v="1"/>
    <x v="0"/>
    <s v=" Jan Baptist Sheerlinck"/>
    <x v="0"/>
    <n v="29"/>
    <x v="1"/>
    <x v="0"/>
    <x v="0"/>
    <n v="9.5"/>
    <n v="0"/>
    <x v="32"/>
    <x v="0"/>
    <x v="58"/>
  </r>
  <r>
    <n v="82"/>
    <n v="1"/>
    <x v="1"/>
    <x v="2"/>
    <s v=" Brigdet Delia McDermott"/>
    <x v="1"/>
    <n v="31"/>
    <x v="1"/>
    <x v="0"/>
    <x v="0"/>
    <n v="7.7874999999999996"/>
    <n v="1"/>
    <x v="14"/>
    <x v="0"/>
    <x v="59"/>
  </r>
  <r>
    <n v="83"/>
    <n v="0"/>
    <x v="0"/>
    <x v="0"/>
    <s v=" Francisco M Carrau"/>
    <x v="0"/>
    <n v="28"/>
    <x v="1"/>
    <x v="0"/>
    <x v="1"/>
    <n v="47.1"/>
    <n v="0"/>
    <x v="17"/>
    <x v="0"/>
    <x v="60"/>
  </r>
  <r>
    <n v="84"/>
    <n v="1"/>
    <x v="1"/>
    <x v="2"/>
    <s v=" Bertha Ilett"/>
    <x v="1"/>
    <n v="17"/>
    <x v="1"/>
    <x v="0"/>
    <x v="2"/>
    <n v="10.5"/>
    <n v="1"/>
    <x v="39"/>
    <x v="0"/>
    <x v="29"/>
  </r>
  <r>
    <n v="85"/>
    <n v="1"/>
    <x v="1"/>
    <x v="1"/>
    <s v=" Karl Alfred (Maria Mathilda Gustafsson) Backstrom"/>
    <x v="1"/>
    <n v="33"/>
    <x v="2"/>
    <x v="0"/>
    <x v="0"/>
    <n v="15.85"/>
    <n v="1"/>
    <x v="43"/>
    <x v="0"/>
    <x v="61"/>
  </r>
  <r>
    <n v="86"/>
    <n v="0"/>
    <x v="0"/>
    <x v="0"/>
    <s v=" William Neal Ford"/>
    <x v="0"/>
    <n v="16"/>
    <x v="0"/>
    <x v="4"/>
    <x v="0"/>
    <n v="34.375"/>
    <n v="0"/>
    <x v="29"/>
    <x v="1"/>
    <x v="62"/>
  </r>
  <r>
    <n v="87"/>
    <n v="0"/>
    <x v="0"/>
    <x v="0"/>
    <s v=" Selman Francis Slocovski"/>
    <x v="0"/>
    <n v="20"/>
    <x v="1"/>
    <x v="0"/>
    <x v="0"/>
    <n v="8.0500000000000007"/>
    <n v="0"/>
    <x v="10"/>
    <x v="0"/>
    <x v="4"/>
  </r>
  <r>
    <n v="88"/>
    <n v="1"/>
    <x v="1"/>
    <x v="2"/>
    <s v=" Mabel Helen Fortune"/>
    <x v="1"/>
    <n v="23"/>
    <x v="2"/>
    <x v="2"/>
    <x v="1"/>
    <n v="263"/>
    <n v="1"/>
    <x v="13"/>
    <x v="0"/>
    <x v="23"/>
  </r>
  <r>
    <n v="89"/>
    <n v="0"/>
    <x v="0"/>
    <x v="0"/>
    <s v=" Francesco Celotti"/>
    <x v="0"/>
    <n v="24"/>
    <x v="1"/>
    <x v="0"/>
    <x v="0"/>
    <n v="8.0500000000000007"/>
    <n v="0"/>
    <x v="20"/>
    <x v="0"/>
    <x v="4"/>
  </r>
  <r>
    <n v="90"/>
    <n v="0"/>
    <x v="0"/>
    <x v="0"/>
    <s v=" Emil Christmann"/>
    <x v="0"/>
    <n v="29"/>
    <x v="1"/>
    <x v="0"/>
    <x v="0"/>
    <n v="8.0500000000000007"/>
    <n v="0"/>
    <x v="32"/>
    <x v="0"/>
    <x v="4"/>
  </r>
  <r>
    <n v="91"/>
    <n v="0"/>
    <x v="0"/>
    <x v="0"/>
    <s v=" Paul Edvin Andreasson"/>
    <x v="0"/>
    <n v="20"/>
    <x v="1"/>
    <x v="0"/>
    <x v="0"/>
    <n v="7.8541999999999996"/>
    <n v="0"/>
    <x v="10"/>
    <x v="0"/>
    <x v="13"/>
  </r>
  <r>
    <n v="92"/>
    <n v="0"/>
    <x v="0"/>
    <x v="0"/>
    <s v=" Herbert Fuller Chaffee"/>
    <x v="0"/>
    <n v="46"/>
    <x v="0"/>
    <x v="0"/>
    <x v="1"/>
    <n v="61.174999999999997"/>
    <n v="0"/>
    <x v="34"/>
    <x v="0"/>
    <x v="63"/>
  </r>
  <r>
    <n v="93"/>
    <n v="0"/>
    <x v="0"/>
    <x v="0"/>
    <s v=" Bertram Frank Dean"/>
    <x v="0"/>
    <n v="26"/>
    <x v="0"/>
    <x v="2"/>
    <x v="0"/>
    <n v="20.574999999999999"/>
    <n v="0"/>
    <x v="2"/>
    <x v="0"/>
    <x v="64"/>
  </r>
  <r>
    <n v="94"/>
    <n v="0"/>
    <x v="0"/>
    <x v="0"/>
    <s v=" Daniel Coxon"/>
    <x v="0"/>
    <n v="59"/>
    <x v="1"/>
    <x v="0"/>
    <x v="0"/>
    <n v="7.25"/>
    <n v="0"/>
    <x v="44"/>
    <x v="0"/>
    <x v="0"/>
  </r>
  <r>
    <n v="95"/>
    <n v="0"/>
    <x v="0"/>
    <x v="0"/>
    <s v=" Charles Joseph Shorney"/>
    <x v="0"/>
    <n v="22"/>
    <x v="1"/>
    <x v="0"/>
    <x v="0"/>
    <n v="8.0500000000000007"/>
    <n v="0"/>
    <x v="0"/>
    <x v="0"/>
    <x v="4"/>
  </r>
  <r>
    <n v="96"/>
    <n v="0"/>
    <x v="0"/>
    <x v="0"/>
    <s v=" George B Goldschmidt"/>
    <x v="0"/>
    <n v="71"/>
    <x v="1"/>
    <x v="0"/>
    <x v="1"/>
    <n v="34.654200000000003"/>
    <n v="0"/>
    <x v="45"/>
    <x v="0"/>
    <x v="65"/>
  </r>
  <r>
    <n v="97"/>
    <n v="1"/>
    <x v="1"/>
    <x v="0"/>
    <s v=" William Bertram Greenfield"/>
    <x v="0"/>
    <n v="23"/>
    <x v="1"/>
    <x v="1"/>
    <x v="1"/>
    <n v="63.3583"/>
    <n v="0"/>
    <x v="13"/>
    <x v="0"/>
    <x v="66"/>
  </r>
  <r>
    <n v="98"/>
    <n v="1"/>
    <x v="1"/>
    <x v="1"/>
    <s v=" John T (Ada Julia Bone) Doling"/>
    <x v="1"/>
    <n v="34"/>
    <x v="1"/>
    <x v="1"/>
    <x v="2"/>
    <n v="23"/>
    <n v="1"/>
    <x v="15"/>
    <x v="0"/>
    <x v="67"/>
  </r>
  <r>
    <n v="99"/>
    <n v="0"/>
    <x v="0"/>
    <x v="0"/>
    <s v=" Sinai Kantor"/>
    <x v="0"/>
    <n v="34"/>
    <x v="0"/>
    <x v="0"/>
    <x v="2"/>
    <n v="26"/>
    <n v="0"/>
    <x v="15"/>
    <x v="0"/>
    <x v="19"/>
  </r>
  <r>
    <n v="100"/>
    <n v="0"/>
    <x v="0"/>
    <x v="2"/>
    <s v=" Matilda Petranec"/>
    <x v="1"/>
    <n v="28"/>
    <x v="1"/>
    <x v="0"/>
    <x v="0"/>
    <n v="7.8958000000000004"/>
    <n v="1"/>
    <x v="17"/>
    <x v="0"/>
    <x v="25"/>
  </r>
  <r>
    <n v="101"/>
    <n v="0"/>
    <x v="0"/>
    <x v="0"/>
    <s v=" Pastcho Petroff"/>
    <x v="0"/>
    <n v="29"/>
    <x v="1"/>
    <x v="0"/>
    <x v="0"/>
    <n v="7.8958000000000004"/>
    <n v="0"/>
    <x v="32"/>
    <x v="0"/>
    <x v="25"/>
  </r>
  <r>
    <n v="102"/>
    <n v="0"/>
    <x v="0"/>
    <x v="0"/>
    <s v=" Richard Frasar White"/>
    <x v="0"/>
    <n v="21"/>
    <x v="1"/>
    <x v="1"/>
    <x v="1"/>
    <n v="77.287499999999994"/>
    <n v="0"/>
    <x v="26"/>
    <x v="0"/>
    <x v="68"/>
  </r>
  <r>
    <n v="103"/>
    <n v="0"/>
    <x v="0"/>
    <x v="0"/>
    <s v=" Gustaf Joel Johansson"/>
    <x v="0"/>
    <n v="33"/>
    <x v="1"/>
    <x v="0"/>
    <x v="0"/>
    <n v="8.6541999999999994"/>
    <n v="0"/>
    <x v="43"/>
    <x v="0"/>
    <x v="69"/>
  </r>
  <r>
    <n v="104"/>
    <n v="0"/>
    <x v="0"/>
    <x v="0"/>
    <s v=" Anders Vilhelm Gustafsson"/>
    <x v="0"/>
    <n v="37"/>
    <x v="4"/>
    <x v="0"/>
    <x v="0"/>
    <n v="7.9249999999999998"/>
    <n v="0"/>
    <x v="46"/>
    <x v="0"/>
    <x v="2"/>
  </r>
  <r>
    <n v="105"/>
    <n v="0"/>
    <x v="0"/>
    <x v="0"/>
    <s v=" Stoytcho Mionoff"/>
    <x v="0"/>
    <n v="28"/>
    <x v="1"/>
    <x v="0"/>
    <x v="0"/>
    <n v="7.8958000000000004"/>
    <n v="0"/>
    <x v="17"/>
    <x v="0"/>
    <x v="25"/>
  </r>
  <r>
    <n v="106"/>
    <n v="1"/>
    <x v="1"/>
    <x v="2"/>
    <s v=" Anna Kristine Salkjelsvik"/>
    <x v="1"/>
    <n v="21"/>
    <x v="1"/>
    <x v="0"/>
    <x v="0"/>
    <n v="7.65"/>
    <n v="1"/>
    <x v="26"/>
    <x v="0"/>
    <x v="54"/>
  </r>
  <r>
    <n v="107"/>
    <n v="1"/>
    <x v="1"/>
    <x v="0"/>
    <s v=" Albert Johan Moss"/>
    <x v="0"/>
    <n v="29"/>
    <x v="1"/>
    <x v="0"/>
    <x v="0"/>
    <n v="7.7750000000000004"/>
    <n v="0"/>
    <x v="32"/>
    <x v="0"/>
    <x v="70"/>
  </r>
  <r>
    <n v="108"/>
    <n v="0"/>
    <x v="0"/>
    <x v="0"/>
    <s v=" Tido Rekic"/>
    <x v="0"/>
    <n v="38"/>
    <x v="1"/>
    <x v="0"/>
    <x v="0"/>
    <n v="7.8958000000000004"/>
    <n v="0"/>
    <x v="1"/>
    <x v="0"/>
    <x v="25"/>
  </r>
  <r>
    <n v="109"/>
    <n v="1"/>
    <x v="1"/>
    <x v="2"/>
    <s v=" Bertha Moran"/>
    <x v="1"/>
    <n v="28"/>
    <x v="0"/>
    <x v="0"/>
    <x v="0"/>
    <n v="24.15"/>
    <n v="1"/>
    <x v="17"/>
    <x v="0"/>
    <x v="71"/>
  </r>
  <r>
    <n v="110"/>
    <n v="0"/>
    <x v="0"/>
    <x v="0"/>
    <s v=" Walter Chamberlain Porter"/>
    <x v="0"/>
    <n v="47"/>
    <x v="1"/>
    <x v="0"/>
    <x v="1"/>
    <n v="52"/>
    <n v="0"/>
    <x v="47"/>
    <x v="0"/>
    <x v="31"/>
  </r>
  <r>
    <n v="111"/>
    <n v="0"/>
    <x v="0"/>
    <x v="2"/>
    <s v=" Hileni Zabour"/>
    <x v="1"/>
    <n v="14.5"/>
    <x v="0"/>
    <x v="0"/>
    <x v="0"/>
    <n v="14.4542"/>
    <n v="1"/>
    <x v="16"/>
    <x v="1"/>
    <x v="52"/>
  </r>
  <r>
    <n v="112"/>
    <n v="0"/>
    <x v="0"/>
    <x v="0"/>
    <s v=" David John Barton"/>
    <x v="0"/>
    <n v="22"/>
    <x v="1"/>
    <x v="0"/>
    <x v="0"/>
    <n v="8.0500000000000007"/>
    <n v="0"/>
    <x v="0"/>
    <x v="0"/>
    <x v="4"/>
  </r>
  <r>
    <n v="113"/>
    <n v="0"/>
    <x v="0"/>
    <x v="2"/>
    <s v=" Katriina Jussila"/>
    <x v="1"/>
    <n v="20"/>
    <x v="0"/>
    <x v="0"/>
    <x v="0"/>
    <n v="9.8249999999999993"/>
    <n v="1"/>
    <x v="10"/>
    <x v="0"/>
    <x v="72"/>
  </r>
  <r>
    <n v="114"/>
    <n v="0"/>
    <x v="0"/>
    <x v="2"/>
    <s v=" Malake Attalah"/>
    <x v="1"/>
    <n v="17"/>
    <x v="1"/>
    <x v="0"/>
    <x v="0"/>
    <n v="14.458299999999999"/>
    <n v="1"/>
    <x v="39"/>
    <x v="0"/>
    <x v="73"/>
  </r>
  <r>
    <n v="115"/>
    <n v="0"/>
    <x v="0"/>
    <x v="0"/>
    <s v=" Edvard Pekoniemi"/>
    <x v="0"/>
    <n v="21"/>
    <x v="1"/>
    <x v="0"/>
    <x v="0"/>
    <n v="7.9249999999999998"/>
    <n v="0"/>
    <x v="26"/>
    <x v="0"/>
    <x v="2"/>
  </r>
  <r>
    <n v="116"/>
    <n v="0"/>
    <x v="0"/>
    <x v="0"/>
    <s v=" Patrick Connors"/>
    <x v="0"/>
    <n v="70.5"/>
    <x v="1"/>
    <x v="0"/>
    <x v="0"/>
    <n v="7.75"/>
    <n v="0"/>
    <x v="45"/>
    <x v="0"/>
    <x v="28"/>
  </r>
  <r>
    <n v="117"/>
    <n v="0"/>
    <x v="0"/>
    <x v="0"/>
    <s v=" William John Robert Turpin"/>
    <x v="0"/>
    <n v="29"/>
    <x v="0"/>
    <x v="0"/>
    <x v="2"/>
    <n v="21"/>
    <n v="0"/>
    <x v="32"/>
    <x v="0"/>
    <x v="34"/>
  </r>
  <r>
    <n v="118"/>
    <n v="0"/>
    <x v="0"/>
    <x v="0"/>
    <s v=" Quigg Edmond Baxter"/>
    <x v="0"/>
    <n v="24"/>
    <x v="1"/>
    <x v="1"/>
    <x v="1"/>
    <n v="247.52080000000001"/>
    <n v="0"/>
    <x v="20"/>
    <x v="0"/>
    <x v="74"/>
  </r>
  <r>
    <n v="119"/>
    <n v="0"/>
    <x v="0"/>
    <x v="2"/>
    <s v=" Ellis Anna Maria Andersson"/>
    <x v="1"/>
    <n v="2"/>
    <x v="3"/>
    <x v="2"/>
    <x v="0"/>
    <n v="31.274999999999999"/>
    <n v="1"/>
    <x v="6"/>
    <x v="1"/>
    <x v="12"/>
  </r>
  <r>
    <n v="120"/>
    <n v="0"/>
    <x v="0"/>
    <x v="0"/>
    <s v=" Stanley George Hickman"/>
    <x v="0"/>
    <n v="21"/>
    <x v="4"/>
    <x v="0"/>
    <x v="2"/>
    <n v="73.5"/>
    <n v="0"/>
    <x v="26"/>
    <x v="0"/>
    <x v="51"/>
  </r>
  <r>
    <n v="121"/>
    <n v="0"/>
    <x v="0"/>
    <x v="0"/>
    <s v=" Leonard Charles Moore"/>
    <x v="0"/>
    <n v="19"/>
    <x v="1"/>
    <x v="0"/>
    <x v="0"/>
    <n v="8.0500000000000007"/>
    <n v="0"/>
    <x v="19"/>
    <x v="0"/>
    <x v="4"/>
  </r>
  <r>
    <n v="122"/>
    <n v="0"/>
    <x v="0"/>
    <x v="0"/>
    <s v=" Nicholas Nasser"/>
    <x v="0"/>
    <n v="32.5"/>
    <x v="0"/>
    <x v="0"/>
    <x v="2"/>
    <n v="30.070799999999998"/>
    <n v="0"/>
    <x v="43"/>
    <x v="0"/>
    <x v="9"/>
  </r>
  <r>
    <n v="123"/>
    <n v="1"/>
    <x v="1"/>
    <x v="2"/>
    <s v=" Susan Webber"/>
    <x v="1"/>
    <n v="32.5"/>
    <x v="1"/>
    <x v="0"/>
    <x v="2"/>
    <n v="13"/>
    <n v="1"/>
    <x v="43"/>
    <x v="0"/>
    <x v="16"/>
  </r>
  <r>
    <n v="124"/>
    <n v="0"/>
    <x v="0"/>
    <x v="0"/>
    <s v=" Percival Wayland White"/>
    <x v="0"/>
    <n v="54"/>
    <x v="1"/>
    <x v="1"/>
    <x v="1"/>
    <n v="77.287499999999994"/>
    <n v="0"/>
    <x v="5"/>
    <x v="0"/>
    <x v="68"/>
  </r>
  <r>
    <n v="125"/>
    <n v="1"/>
    <x v="1"/>
    <x v="3"/>
    <s v=" Elias Nicola-Yarred"/>
    <x v="0"/>
    <n v="12"/>
    <x v="0"/>
    <x v="0"/>
    <x v="0"/>
    <n v="11.2417"/>
    <n v="0"/>
    <x v="48"/>
    <x v="1"/>
    <x v="32"/>
  </r>
  <r>
    <n v="126"/>
    <n v="0"/>
    <x v="0"/>
    <x v="0"/>
    <s v=" Martin McMahon"/>
    <x v="0"/>
    <n v="19"/>
    <x v="1"/>
    <x v="0"/>
    <x v="0"/>
    <n v="7.75"/>
    <n v="0"/>
    <x v="19"/>
    <x v="0"/>
    <x v="28"/>
  </r>
  <r>
    <n v="127"/>
    <n v="1"/>
    <x v="1"/>
    <x v="0"/>
    <s v=" Fridtjof Arne Madsen"/>
    <x v="0"/>
    <n v="24"/>
    <x v="1"/>
    <x v="0"/>
    <x v="0"/>
    <n v="7.1417000000000002"/>
    <n v="0"/>
    <x v="20"/>
    <x v="0"/>
    <x v="75"/>
  </r>
  <r>
    <n v="128"/>
    <n v="1"/>
    <x v="1"/>
    <x v="2"/>
    <s v=" Anna Peter"/>
    <x v="1"/>
    <n v="2"/>
    <x v="0"/>
    <x v="1"/>
    <x v="0"/>
    <n v="22.3583"/>
    <n v="1"/>
    <x v="6"/>
    <x v="1"/>
    <x v="76"/>
  </r>
  <r>
    <n v="129"/>
    <n v="0"/>
    <x v="0"/>
    <x v="0"/>
    <s v=" Johan Ekstrom"/>
    <x v="0"/>
    <n v="45"/>
    <x v="1"/>
    <x v="0"/>
    <x v="0"/>
    <n v="6.9749999999999996"/>
    <n v="0"/>
    <x v="37"/>
    <x v="0"/>
    <x v="77"/>
  </r>
  <r>
    <n v="130"/>
    <n v="0"/>
    <x v="0"/>
    <x v="0"/>
    <s v=" Jozef Drazenoic"/>
    <x v="0"/>
    <n v="33"/>
    <x v="1"/>
    <x v="0"/>
    <x v="0"/>
    <n v="7.8958000000000004"/>
    <n v="0"/>
    <x v="43"/>
    <x v="0"/>
    <x v="25"/>
  </r>
  <r>
    <n v="131"/>
    <n v="0"/>
    <x v="0"/>
    <x v="0"/>
    <s v=" Domingos Fernandeo Coelho"/>
    <x v="0"/>
    <n v="20"/>
    <x v="1"/>
    <x v="0"/>
    <x v="0"/>
    <n v="7.05"/>
    <n v="0"/>
    <x v="10"/>
    <x v="0"/>
    <x v="78"/>
  </r>
  <r>
    <n v="132"/>
    <n v="0"/>
    <x v="0"/>
    <x v="1"/>
    <s v=" Alexander A (Grace Charity Laury) Robins"/>
    <x v="1"/>
    <n v="47"/>
    <x v="0"/>
    <x v="0"/>
    <x v="0"/>
    <n v="14.5"/>
    <n v="1"/>
    <x v="47"/>
    <x v="0"/>
    <x v="79"/>
  </r>
  <r>
    <n v="133"/>
    <n v="1"/>
    <x v="1"/>
    <x v="1"/>
    <s v=" Leopold (Mathilde Francoise Pede) Weisz"/>
    <x v="1"/>
    <n v="29"/>
    <x v="0"/>
    <x v="0"/>
    <x v="2"/>
    <n v="26"/>
    <n v="1"/>
    <x v="32"/>
    <x v="0"/>
    <x v="19"/>
  </r>
  <r>
    <n v="134"/>
    <n v="0"/>
    <x v="0"/>
    <x v="0"/>
    <s v=" Samuel James Hayden Sobey"/>
    <x v="0"/>
    <n v="25"/>
    <x v="1"/>
    <x v="0"/>
    <x v="2"/>
    <n v="13"/>
    <n v="0"/>
    <x v="41"/>
    <x v="0"/>
    <x v="16"/>
  </r>
  <r>
    <n v="135"/>
    <n v="0"/>
    <x v="0"/>
    <x v="0"/>
    <s v=" Emile Richard"/>
    <x v="0"/>
    <n v="23"/>
    <x v="1"/>
    <x v="0"/>
    <x v="2"/>
    <n v="15.0458"/>
    <n v="0"/>
    <x v="13"/>
    <x v="0"/>
    <x v="80"/>
  </r>
  <r>
    <n v="136"/>
    <n v="1"/>
    <x v="1"/>
    <x v="2"/>
    <s v=" Helen Monypeny Newsom"/>
    <x v="1"/>
    <n v="19"/>
    <x v="1"/>
    <x v="2"/>
    <x v="1"/>
    <n v="26.283300000000001"/>
    <n v="1"/>
    <x v="19"/>
    <x v="0"/>
    <x v="81"/>
  </r>
  <r>
    <n v="137"/>
    <n v="0"/>
    <x v="0"/>
    <x v="0"/>
    <s v=" Jacques Heath Futrelle"/>
    <x v="0"/>
    <n v="37"/>
    <x v="0"/>
    <x v="0"/>
    <x v="1"/>
    <n v="53.1"/>
    <n v="0"/>
    <x v="46"/>
    <x v="0"/>
    <x v="3"/>
  </r>
  <r>
    <n v="138"/>
    <n v="0"/>
    <x v="0"/>
    <x v="0"/>
    <s v=" Olaf Elon Osen"/>
    <x v="0"/>
    <n v="16"/>
    <x v="1"/>
    <x v="0"/>
    <x v="0"/>
    <n v="9.2166999999999994"/>
    <n v="0"/>
    <x v="29"/>
    <x v="1"/>
    <x v="82"/>
  </r>
  <r>
    <n v="139"/>
    <n v="0"/>
    <x v="0"/>
    <x v="0"/>
    <s v=" Victor Giglio"/>
    <x v="0"/>
    <n v="24"/>
    <x v="1"/>
    <x v="0"/>
    <x v="1"/>
    <n v="79.2"/>
    <n v="0"/>
    <x v="20"/>
    <x v="0"/>
    <x v="83"/>
  </r>
  <r>
    <n v="140"/>
    <n v="0"/>
    <x v="0"/>
    <x v="1"/>
    <s v=" Joseph (Sultana) Boulos"/>
    <x v="1"/>
    <n v="40"/>
    <x v="1"/>
    <x v="2"/>
    <x v="0"/>
    <n v="15.245799999999999"/>
    <n v="1"/>
    <x v="21"/>
    <x v="0"/>
    <x v="48"/>
  </r>
  <r>
    <n v="141"/>
    <n v="1"/>
    <x v="1"/>
    <x v="2"/>
    <s v=" Anna Sofia Nysten"/>
    <x v="1"/>
    <n v="22"/>
    <x v="1"/>
    <x v="0"/>
    <x v="0"/>
    <n v="7.75"/>
    <n v="1"/>
    <x v="0"/>
    <x v="0"/>
    <x v="28"/>
  </r>
  <r>
    <n v="142"/>
    <n v="1"/>
    <x v="1"/>
    <x v="1"/>
    <s v=" Pekka Pietari (Elin Matilda Dolck) Hakkarainen"/>
    <x v="1"/>
    <n v="24"/>
    <x v="0"/>
    <x v="0"/>
    <x v="0"/>
    <n v="15.85"/>
    <n v="1"/>
    <x v="20"/>
    <x v="0"/>
    <x v="61"/>
  </r>
  <r>
    <n v="143"/>
    <n v="0"/>
    <x v="0"/>
    <x v="0"/>
    <s v=" Jeremiah Burke"/>
    <x v="0"/>
    <n v="19"/>
    <x v="1"/>
    <x v="0"/>
    <x v="0"/>
    <n v="6.75"/>
    <n v="0"/>
    <x v="19"/>
    <x v="0"/>
    <x v="84"/>
  </r>
  <r>
    <n v="144"/>
    <n v="0"/>
    <x v="0"/>
    <x v="0"/>
    <s v=" Edgardo Samuel Andrew"/>
    <x v="0"/>
    <n v="18"/>
    <x v="1"/>
    <x v="0"/>
    <x v="2"/>
    <n v="11.5"/>
    <n v="0"/>
    <x v="23"/>
    <x v="0"/>
    <x v="85"/>
  </r>
  <r>
    <n v="145"/>
    <n v="0"/>
    <x v="0"/>
    <x v="0"/>
    <s v=" Joseph Charles Nicholls"/>
    <x v="0"/>
    <n v="19"/>
    <x v="0"/>
    <x v="1"/>
    <x v="2"/>
    <n v="36.75"/>
    <n v="0"/>
    <x v="19"/>
    <x v="0"/>
    <x v="86"/>
  </r>
  <r>
    <n v="146"/>
    <n v="1"/>
    <x v="1"/>
    <x v="0"/>
    <s v=" August Edvard Andersson"/>
    <x v="0"/>
    <n v="27"/>
    <x v="1"/>
    <x v="0"/>
    <x v="0"/>
    <n v="7.7957999999999998"/>
    <n v="0"/>
    <x v="4"/>
    <x v="0"/>
    <x v="40"/>
  </r>
  <r>
    <n v="147"/>
    <n v="0"/>
    <x v="0"/>
    <x v="2"/>
    <s v=" Robina Maggie Ford"/>
    <x v="1"/>
    <n v="9"/>
    <x v="4"/>
    <x v="2"/>
    <x v="0"/>
    <n v="34.375"/>
    <n v="1"/>
    <x v="49"/>
    <x v="1"/>
    <x v="62"/>
  </r>
  <r>
    <n v="148"/>
    <n v="0"/>
    <x v="0"/>
    <x v="0"/>
    <s v=" Michel Navratil"/>
    <x v="0"/>
    <n v="36.5"/>
    <x v="1"/>
    <x v="2"/>
    <x v="2"/>
    <n v="26"/>
    <n v="0"/>
    <x v="46"/>
    <x v="0"/>
    <x v="19"/>
  </r>
  <r>
    <n v="149"/>
    <n v="0"/>
    <x v="0"/>
    <x v="5"/>
    <s v=" Thomas Roussel Davids Byles"/>
    <x v="0"/>
    <n v="42"/>
    <x v="1"/>
    <x v="0"/>
    <x v="2"/>
    <n v="13"/>
    <n v="0"/>
    <x v="25"/>
    <x v="0"/>
    <x v="16"/>
  </r>
  <r>
    <n v="150"/>
    <n v="0"/>
    <x v="0"/>
    <x v="5"/>
    <s v=" Robert James Bateman"/>
    <x v="0"/>
    <n v="51"/>
    <x v="1"/>
    <x v="0"/>
    <x v="2"/>
    <n v="12.525"/>
    <n v="0"/>
    <x v="50"/>
    <x v="0"/>
    <x v="87"/>
  </r>
  <r>
    <n v="151"/>
    <n v="1"/>
    <x v="1"/>
    <x v="1"/>
    <s v=" Thomas (Edith Wearne) Pears"/>
    <x v="1"/>
    <n v="22"/>
    <x v="0"/>
    <x v="0"/>
    <x v="1"/>
    <n v="66.599999999999994"/>
    <n v="1"/>
    <x v="0"/>
    <x v="0"/>
    <x v="88"/>
  </r>
  <r>
    <n v="152"/>
    <n v="0"/>
    <x v="0"/>
    <x v="0"/>
    <s v=" Alfonzo Meo"/>
    <x v="0"/>
    <n v="55.5"/>
    <x v="1"/>
    <x v="0"/>
    <x v="0"/>
    <n v="8.0500000000000007"/>
    <n v="0"/>
    <x v="51"/>
    <x v="0"/>
    <x v="4"/>
  </r>
  <r>
    <n v="153"/>
    <n v="0"/>
    <x v="0"/>
    <x v="0"/>
    <s v=" Austin Blyler van Billiard"/>
    <x v="0"/>
    <n v="40.5"/>
    <x v="1"/>
    <x v="2"/>
    <x v="0"/>
    <n v="14.5"/>
    <n v="0"/>
    <x v="52"/>
    <x v="0"/>
    <x v="79"/>
  </r>
  <r>
    <n v="154"/>
    <n v="0"/>
    <x v="0"/>
    <x v="0"/>
    <s v=" Ole Martin Olsen"/>
    <x v="0"/>
    <n v="27"/>
    <x v="1"/>
    <x v="0"/>
    <x v="0"/>
    <n v="7.3125"/>
    <n v="0"/>
    <x v="4"/>
    <x v="0"/>
    <x v="89"/>
  </r>
  <r>
    <n v="155"/>
    <n v="0"/>
    <x v="0"/>
    <x v="0"/>
    <s v=" Charles Duane Williams"/>
    <x v="0"/>
    <n v="51"/>
    <x v="1"/>
    <x v="1"/>
    <x v="1"/>
    <n v="61.379199999999997"/>
    <n v="0"/>
    <x v="50"/>
    <x v="0"/>
    <x v="90"/>
  </r>
  <r>
    <n v="156"/>
    <n v="1"/>
    <x v="1"/>
    <x v="2"/>
    <s v=" Katherine Gilnagh"/>
    <x v="1"/>
    <n v="16"/>
    <x v="1"/>
    <x v="0"/>
    <x v="0"/>
    <n v="7.7332999999999998"/>
    <n v="1"/>
    <x v="29"/>
    <x v="1"/>
    <x v="91"/>
  </r>
  <r>
    <n v="157"/>
    <n v="0"/>
    <x v="0"/>
    <x v="0"/>
    <s v=" Harry Corn"/>
    <x v="0"/>
    <n v="30"/>
    <x v="1"/>
    <x v="0"/>
    <x v="0"/>
    <n v="8.0500000000000007"/>
    <n v="0"/>
    <x v="28"/>
    <x v="0"/>
    <x v="4"/>
  </r>
  <r>
    <n v="158"/>
    <n v="0"/>
    <x v="0"/>
    <x v="0"/>
    <s v=" Mile Smiljanic"/>
    <x v="0"/>
    <n v="37"/>
    <x v="1"/>
    <x v="0"/>
    <x v="0"/>
    <n v="8.6624999999999996"/>
    <n v="0"/>
    <x v="46"/>
    <x v="0"/>
    <x v="50"/>
  </r>
  <r>
    <n v="159"/>
    <n v="0"/>
    <x v="0"/>
    <x v="3"/>
    <s v=" Thomas Henry Sage"/>
    <x v="0"/>
    <n v="5"/>
    <x v="6"/>
    <x v="2"/>
    <x v="0"/>
    <n v="69.55"/>
    <n v="0"/>
    <x v="35"/>
    <x v="1"/>
    <x v="92"/>
  </r>
  <r>
    <n v="160"/>
    <n v="0"/>
    <x v="0"/>
    <x v="0"/>
    <s v=" John Hatfield Cribb"/>
    <x v="0"/>
    <n v="44"/>
    <x v="1"/>
    <x v="1"/>
    <x v="0"/>
    <n v="16.100000000000001"/>
    <n v="0"/>
    <x v="53"/>
    <x v="0"/>
    <x v="93"/>
  </r>
  <r>
    <n v="161"/>
    <n v="1"/>
    <x v="1"/>
    <x v="1"/>
    <s v=" James (Elizabeth Inglis Milne) Watt"/>
    <x v="1"/>
    <n v="40"/>
    <x v="1"/>
    <x v="0"/>
    <x v="2"/>
    <n v="15.75"/>
    <n v="1"/>
    <x v="21"/>
    <x v="0"/>
    <x v="94"/>
  </r>
  <r>
    <n v="162"/>
    <n v="0"/>
    <x v="0"/>
    <x v="0"/>
    <s v=" John Viktor Bengtsson"/>
    <x v="0"/>
    <n v="26"/>
    <x v="1"/>
    <x v="0"/>
    <x v="0"/>
    <n v="7.7750000000000004"/>
    <n v="0"/>
    <x v="2"/>
    <x v="0"/>
    <x v="70"/>
  </r>
  <r>
    <n v="163"/>
    <n v="0"/>
    <x v="0"/>
    <x v="0"/>
    <s v=" Jovo Calic"/>
    <x v="0"/>
    <n v="17"/>
    <x v="1"/>
    <x v="0"/>
    <x v="0"/>
    <n v="8.6624999999999996"/>
    <n v="0"/>
    <x v="39"/>
    <x v="0"/>
    <x v="50"/>
  </r>
  <r>
    <n v="164"/>
    <n v="0"/>
    <x v="0"/>
    <x v="3"/>
    <s v=" Eino Viljami Panula"/>
    <x v="0"/>
    <n v="1"/>
    <x v="3"/>
    <x v="1"/>
    <x v="0"/>
    <n v="39.6875"/>
    <n v="0"/>
    <x v="42"/>
    <x v="1"/>
    <x v="39"/>
  </r>
  <r>
    <n v="165"/>
    <n v="1"/>
    <x v="1"/>
    <x v="3"/>
    <s v=" Frank John William Goldsmith"/>
    <x v="0"/>
    <n v="9"/>
    <x v="1"/>
    <x v="2"/>
    <x v="0"/>
    <n v="20.524999999999999"/>
    <n v="0"/>
    <x v="49"/>
    <x v="1"/>
    <x v="95"/>
  </r>
  <r>
    <n v="166"/>
    <n v="1"/>
    <x v="1"/>
    <x v="1"/>
    <s v=" (Edith Martha Bowerman) Chibnall"/>
    <x v="1"/>
    <n v="48"/>
    <x v="1"/>
    <x v="1"/>
    <x v="1"/>
    <n v="55"/>
    <n v="1"/>
    <x v="22"/>
    <x v="0"/>
    <x v="96"/>
  </r>
  <r>
    <n v="167"/>
    <n v="0"/>
    <x v="0"/>
    <x v="1"/>
    <s v=" William (Anna Bernhardina Karlsson) Skoog"/>
    <x v="1"/>
    <n v="45"/>
    <x v="0"/>
    <x v="5"/>
    <x v="0"/>
    <n v="27.9"/>
    <n v="1"/>
    <x v="37"/>
    <x v="0"/>
    <x v="47"/>
  </r>
  <r>
    <n v="168"/>
    <n v="0"/>
    <x v="0"/>
    <x v="0"/>
    <s v=" John D Baumann"/>
    <x v="0"/>
    <n v="60"/>
    <x v="1"/>
    <x v="0"/>
    <x v="1"/>
    <n v="25.925000000000001"/>
    <n v="0"/>
    <x v="54"/>
    <x v="0"/>
    <x v="97"/>
  </r>
  <r>
    <n v="169"/>
    <n v="0"/>
    <x v="0"/>
    <x v="0"/>
    <s v=" Lee Ling"/>
    <x v="0"/>
    <n v="28"/>
    <x v="1"/>
    <x v="0"/>
    <x v="0"/>
    <n v="56.495800000000003"/>
    <n v="0"/>
    <x v="17"/>
    <x v="0"/>
    <x v="53"/>
  </r>
  <r>
    <n v="170"/>
    <n v="0"/>
    <x v="0"/>
    <x v="0"/>
    <s v=" Wyckoff Van der hoef"/>
    <x v="0"/>
    <n v="61"/>
    <x v="1"/>
    <x v="0"/>
    <x v="1"/>
    <n v="33.5"/>
    <n v="0"/>
    <x v="55"/>
    <x v="0"/>
    <x v="98"/>
  </r>
  <r>
    <n v="171"/>
    <n v="0"/>
    <x v="0"/>
    <x v="3"/>
    <s v=" Arthur Rice"/>
    <x v="0"/>
    <n v="4"/>
    <x v="3"/>
    <x v="1"/>
    <x v="0"/>
    <n v="29.125"/>
    <n v="0"/>
    <x v="8"/>
    <x v="1"/>
    <x v="15"/>
  </r>
  <r>
    <n v="172"/>
    <n v="1"/>
    <x v="1"/>
    <x v="2"/>
    <s v=" Eleanor Ileen Johnson"/>
    <x v="1"/>
    <n v="1"/>
    <x v="0"/>
    <x v="1"/>
    <x v="0"/>
    <n v="11.1333"/>
    <n v="1"/>
    <x v="42"/>
    <x v="1"/>
    <x v="8"/>
  </r>
  <r>
    <n v="173"/>
    <n v="0"/>
    <x v="0"/>
    <x v="0"/>
    <s v=" Antti Wilhelm Sivola"/>
    <x v="0"/>
    <n v="21"/>
    <x v="1"/>
    <x v="0"/>
    <x v="0"/>
    <n v="7.9249999999999998"/>
    <n v="0"/>
    <x v="26"/>
    <x v="0"/>
    <x v="2"/>
  </r>
  <r>
    <n v="174"/>
    <n v="0"/>
    <x v="0"/>
    <x v="0"/>
    <s v=" James Clinch Smith"/>
    <x v="0"/>
    <n v="56"/>
    <x v="1"/>
    <x v="0"/>
    <x v="1"/>
    <n v="30.695799999999998"/>
    <n v="0"/>
    <x v="51"/>
    <x v="0"/>
    <x v="99"/>
  </r>
  <r>
    <n v="175"/>
    <n v="0"/>
    <x v="0"/>
    <x v="0"/>
    <s v=" Klas Albin Klasen"/>
    <x v="0"/>
    <n v="18"/>
    <x v="0"/>
    <x v="1"/>
    <x v="0"/>
    <n v="7.8541999999999996"/>
    <n v="0"/>
    <x v="23"/>
    <x v="0"/>
    <x v="13"/>
  </r>
  <r>
    <n v="176"/>
    <n v="0"/>
    <x v="0"/>
    <x v="3"/>
    <s v=" Henry Forbes Lefebre"/>
    <x v="0"/>
    <n v="5"/>
    <x v="2"/>
    <x v="1"/>
    <x v="0"/>
    <n v="25.466699999999999"/>
    <n v="0"/>
    <x v="35"/>
    <x v="1"/>
    <x v="100"/>
  </r>
  <r>
    <n v="177"/>
    <n v="0"/>
    <x v="0"/>
    <x v="2"/>
    <s v=" Ann Elizabeth Isham"/>
    <x v="1"/>
    <n v="50"/>
    <x v="1"/>
    <x v="0"/>
    <x v="1"/>
    <n v="28.712499999999999"/>
    <n v="1"/>
    <x v="56"/>
    <x v="0"/>
    <x v="101"/>
  </r>
  <r>
    <n v="178"/>
    <n v="0"/>
    <x v="0"/>
    <x v="0"/>
    <s v=" Reginald Hale"/>
    <x v="0"/>
    <n v="30"/>
    <x v="1"/>
    <x v="0"/>
    <x v="2"/>
    <n v="13"/>
    <n v="0"/>
    <x v="28"/>
    <x v="0"/>
    <x v="16"/>
  </r>
  <r>
    <n v="179"/>
    <n v="0"/>
    <x v="0"/>
    <x v="0"/>
    <s v=" Lionel Leonard"/>
    <x v="0"/>
    <n v="36"/>
    <x v="1"/>
    <x v="0"/>
    <x v="0"/>
    <n v="0"/>
    <n v="0"/>
    <x v="57"/>
    <x v="0"/>
    <x v="102"/>
  </r>
  <r>
    <n v="180"/>
    <n v="0"/>
    <x v="0"/>
    <x v="2"/>
    <s v=" Constance Gladys Sage"/>
    <x v="1"/>
    <n v="8"/>
    <x v="6"/>
    <x v="2"/>
    <x v="0"/>
    <n v="69.55"/>
    <n v="1"/>
    <x v="18"/>
    <x v="1"/>
    <x v="92"/>
  </r>
  <r>
    <n v="181"/>
    <n v="0"/>
    <x v="0"/>
    <x v="0"/>
    <s v=" Rene Pernot"/>
    <x v="0"/>
    <n v="39"/>
    <x v="1"/>
    <x v="0"/>
    <x v="2"/>
    <n v="15.05"/>
    <n v="0"/>
    <x v="11"/>
    <x v="0"/>
    <x v="80"/>
  </r>
  <r>
    <n v="182"/>
    <n v="0"/>
    <x v="0"/>
    <x v="3"/>
    <s v=" Clarence Gustaf Hugo Asplund"/>
    <x v="0"/>
    <n v="9"/>
    <x v="3"/>
    <x v="2"/>
    <x v="0"/>
    <n v="31.387499999999999"/>
    <n v="0"/>
    <x v="49"/>
    <x v="1"/>
    <x v="22"/>
  </r>
  <r>
    <n v="183"/>
    <n v="1"/>
    <x v="1"/>
    <x v="3"/>
    <s v=" Richard F Becker"/>
    <x v="0"/>
    <n v="1"/>
    <x v="4"/>
    <x v="1"/>
    <x v="2"/>
    <n v="39"/>
    <n v="0"/>
    <x v="42"/>
    <x v="1"/>
    <x v="103"/>
  </r>
  <r>
    <n v="184"/>
    <n v="1"/>
    <x v="1"/>
    <x v="2"/>
    <s v=" Luise Gretchen Kink-Heilmann"/>
    <x v="1"/>
    <n v="4"/>
    <x v="1"/>
    <x v="2"/>
    <x v="0"/>
    <n v="22.024999999999999"/>
    <n v="1"/>
    <x v="8"/>
    <x v="1"/>
    <x v="104"/>
  </r>
  <r>
    <n v="185"/>
    <n v="0"/>
    <x v="0"/>
    <x v="0"/>
    <s v=" Hugh Roscoe Rood"/>
    <x v="0"/>
    <n v="39"/>
    <x v="1"/>
    <x v="0"/>
    <x v="1"/>
    <n v="50"/>
    <n v="0"/>
    <x v="11"/>
    <x v="0"/>
    <x v="105"/>
  </r>
  <r>
    <n v="186"/>
    <n v="1"/>
    <x v="1"/>
    <x v="1"/>
    <s v=" Thomas (Johanna Godfrey) O'Brien"/>
    <x v="1"/>
    <n v="26"/>
    <x v="0"/>
    <x v="0"/>
    <x v="0"/>
    <n v="15.5"/>
    <n v="1"/>
    <x v="2"/>
    <x v="0"/>
    <x v="36"/>
  </r>
  <r>
    <n v="187"/>
    <n v="1"/>
    <x v="1"/>
    <x v="0"/>
    <s v=" Charles Hallace Romaine"/>
    <x v="0"/>
    <n v="45"/>
    <x v="1"/>
    <x v="0"/>
    <x v="1"/>
    <n v="26.55"/>
    <n v="0"/>
    <x v="37"/>
    <x v="0"/>
    <x v="11"/>
  </r>
  <r>
    <n v="188"/>
    <n v="0"/>
    <x v="0"/>
    <x v="0"/>
    <s v=" John Bourke"/>
    <x v="0"/>
    <n v="40"/>
    <x v="0"/>
    <x v="1"/>
    <x v="0"/>
    <n v="15.5"/>
    <n v="0"/>
    <x v="21"/>
    <x v="0"/>
    <x v="36"/>
  </r>
  <r>
    <n v="189"/>
    <n v="0"/>
    <x v="0"/>
    <x v="0"/>
    <s v=" Stjepan Turcin"/>
    <x v="0"/>
    <n v="36"/>
    <x v="1"/>
    <x v="0"/>
    <x v="0"/>
    <n v="7.8958000000000004"/>
    <n v="0"/>
    <x v="57"/>
    <x v="0"/>
    <x v="25"/>
  </r>
  <r>
    <n v="190"/>
    <n v="1"/>
    <x v="1"/>
    <x v="1"/>
    <s v=" (Rosa) Pinsky"/>
    <x v="1"/>
    <n v="32"/>
    <x v="1"/>
    <x v="0"/>
    <x v="2"/>
    <n v="13"/>
    <n v="1"/>
    <x v="40"/>
    <x v="0"/>
    <x v="16"/>
  </r>
  <r>
    <n v="191"/>
    <n v="0"/>
    <x v="0"/>
    <x v="0"/>
    <s v=" William Carbines"/>
    <x v="0"/>
    <n v="19"/>
    <x v="1"/>
    <x v="0"/>
    <x v="2"/>
    <n v="13"/>
    <n v="0"/>
    <x v="19"/>
    <x v="0"/>
    <x v="16"/>
  </r>
  <r>
    <n v="192"/>
    <n v="1"/>
    <x v="1"/>
    <x v="2"/>
    <s v=" Carla Christine Nielsine Andersen-Jensen"/>
    <x v="1"/>
    <n v="19"/>
    <x v="0"/>
    <x v="0"/>
    <x v="0"/>
    <n v="7.8541999999999996"/>
    <n v="1"/>
    <x v="19"/>
    <x v="0"/>
    <x v="13"/>
  </r>
  <r>
    <n v="193"/>
    <n v="1"/>
    <x v="1"/>
    <x v="3"/>
    <s v=" Michel M Navratil"/>
    <x v="0"/>
    <n v="3"/>
    <x v="0"/>
    <x v="1"/>
    <x v="2"/>
    <n v="26"/>
    <n v="0"/>
    <x v="27"/>
    <x v="1"/>
    <x v="19"/>
  </r>
  <r>
    <n v="194"/>
    <n v="1"/>
    <x v="1"/>
    <x v="1"/>
    <s v=" James Joseph (Margaret Tobin) Brown"/>
    <x v="1"/>
    <n v="44"/>
    <x v="1"/>
    <x v="0"/>
    <x v="1"/>
    <n v="27.720800000000001"/>
    <n v="1"/>
    <x v="53"/>
    <x v="0"/>
    <x v="26"/>
  </r>
  <r>
    <n v="195"/>
    <n v="1"/>
    <x v="1"/>
    <x v="2"/>
    <s v=" Elise Lurette"/>
    <x v="1"/>
    <n v="58"/>
    <x v="1"/>
    <x v="0"/>
    <x v="1"/>
    <n v="146.52080000000001"/>
    <n v="1"/>
    <x v="9"/>
    <x v="0"/>
    <x v="27"/>
  </r>
  <r>
    <n v="196"/>
    <n v="0"/>
    <x v="0"/>
    <x v="0"/>
    <s v=" Robert Mernagh"/>
    <x v="0"/>
    <n v="28"/>
    <x v="1"/>
    <x v="0"/>
    <x v="0"/>
    <n v="7.75"/>
    <n v="0"/>
    <x v="17"/>
    <x v="0"/>
    <x v="28"/>
  </r>
  <r>
    <n v="197"/>
    <n v="0"/>
    <x v="0"/>
    <x v="0"/>
    <s v=" Karl Siegwart Andreas Olsen"/>
    <x v="0"/>
    <n v="42"/>
    <x v="1"/>
    <x v="1"/>
    <x v="0"/>
    <n v="8.4041999999999994"/>
    <n v="0"/>
    <x v="25"/>
    <x v="0"/>
    <x v="106"/>
  </r>
  <r>
    <n v="198"/>
    <n v="1"/>
    <x v="1"/>
    <x v="2"/>
    <s v=" Margaret Madigan"/>
    <x v="1"/>
    <n v="21"/>
    <x v="1"/>
    <x v="0"/>
    <x v="0"/>
    <n v="7.75"/>
    <n v="1"/>
    <x v="26"/>
    <x v="0"/>
    <x v="28"/>
  </r>
  <r>
    <n v="199"/>
    <n v="0"/>
    <x v="0"/>
    <x v="2"/>
    <s v=" Henriette Yrois"/>
    <x v="1"/>
    <n v="24"/>
    <x v="1"/>
    <x v="0"/>
    <x v="2"/>
    <n v="13"/>
    <n v="1"/>
    <x v="20"/>
    <x v="0"/>
    <x v="16"/>
  </r>
  <r>
    <n v="200"/>
    <n v="0"/>
    <x v="0"/>
    <x v="0"/>
    <s v=" Nestor Cyriel Vande Walle"/>
    <x v="0"/>
    <n v="28"/>
    <x v="1"/>
    <x v="0"/>
    <x v="0"/>
    <n v="9.5"/>
    <n v="0"/>
    <x v="17"/>
    <x v="0"/>
    <x v="58"/>
  </r>
  <r>
    <n v="201"/>
    <n v="0"/>
    <x v="0"/>
    <x v="0"/>
    <s v=" Frederick Sage"/>
    <x v="0"/>
    <n v="17"/>
    <x v="6"/>
    <x v="2"/>
    <x v="0"/>
    <n v="69.55"/>
    <n v="0"/>
    <x v="39"/>
    <x v="0"/>
    <x v="92"/>
  </r>
  <r>
    <n v="202"/>
    <n v="0"/>
    <x v="0"/>
    <x v="0"/>
    <s v=" Jakob Alfred Johanson"/>
    <x v="0"/>
    <n v="34"/>
    <x v="1"/>
    <x v="0"/>
    <x v="0"/>
    <n v="6.4958"/>
    <n v="0"/>
    <x v="15"/>
    <x v="0"/>
    <x v="107"/>
  </r>
  <r>
    <n v="203"/>
    <n v="0"/>
    <x v="0"/>
    <x v="0"/>
    <s v=" Gerious Youseff"/>
    <x v="0"/>
    <n v="45.5"/>
    <x v="1"/>
    <x v="0"/>
    <x v="0"/>
    <n v="7.2249999999999996"/>
    <n v="0"/>
    <x v="34"/>
    <x v="0"/>
    <x v="18"/>
  </r>
  <r>
    <n v="204"/>
    <n v="1"/>
    <x v="1"/>
    <x v="0"/>
    <s v=" Gurshon Cohen"/>
    <x v="0"/>
    <n v="18"/>
    <x v="1"/>
    <x v="0"/>
    <x v="0"/>
    <n v="8.0500000000000007"/>
    <n v="0"/>
    <x v="23"/>
    <x v="0"/>
    <x v="4"/>
  </r>
  <r>
    <n v="205"/>
    <n v="0"/>
    <x v="0"/>
    <x v="2"/>
    <s v=" Telma Matilda Strom"/>
    <x v="1"/>
    <n v="2"/>
    <x v="1"/>
    <x v="1"/>
    <x v="0"/>
    <n v="10.4625"/>
    <n v="1"/>
    <x v="6"/>
    <x v="1"/>
    <x v="108"/>
  </r>
  <r>
    <n v="206"/>
    <n v="0"/>
    <x v="0"/>
    <x v="0"/>
    <s v=" Karl Alfred Backstrom"/>
    <x v="0"/>
    <n v="32"/>
    <x v="0"/>
    <x v="0"/>
    <x v="0"/>
    <n v="15.85"/>
    <n v="0"/>
    <x v="40"/>
    <x v="0"/>
    <x v="61"/>
  </r>
  <r>
    <n v="207"/>
    <n v="1"/>
    <x v="1"/>
    <x v="0"/>
    <s v=" Nassef Cassem Albimona"/>
    <x v="0"/>
    <n v="26"/>
    <x v="1"/>
    <x v="0"/>
    <x v="0"/>
    <n v="18.787500000000001"/>
    <n v="0"/>
    <x v="2"/>
    <x v="0"/>
    <x v="109"/>
  </r>
  <r>
    <n v="208"/>
    <n v="1"/>
    <x v="1"/>
    <x v="2"/>
    <s v=" Helen Carr"/>
    <x v="1"/>
    <n v="16"/>
    <x v="1"/>
    <x v="0"/>
    <x v="0"/>
    <n v="7.75"/>
    <n v="1"/>
    <x v="29"/>
    <x v="1"/>
    <x v="28"/>
  </r>
  <r>
    <n v="209"/>
    <n v="1"/>
    <x v="1"/>
    <x v="0"/>
    <s v=" Henry Blank"/>
    <x v="0"/>
    <n v="40"/>
    <x v="1"/>
    <x v="0"/>
    <x v="1"/>
    <n v="31"/>
    <n v="0"/>
    <x v="21"/>
    <x v="0"/>
    <x v="110"/>
  </r>
  <r>
    <n v="210"/>
    <n v="0"/>
    <x v="0"/>
    <x v="0"/>
    <s v=" Ahmed Ali"/>
    <x v="0"/>
    <n v="24"/>
    <x v="1"/>
    <x v="0"/>
    <x v="0"/>
    <n v="7.05"/>
    <n v="0"/>
    <x v="20"/>
    <x v="0"/>
    <x v="78"/>
  </r>
  <r>
    <n v="211"/>
    <n v="1"/>
    <x v="1"/>
    <x v="2"/>
    <s v=" Clear Annie Cameron"/>
    <x v="1"/>
    <n v="35"/>
    <x v="1"/>
    <x v="0"/>
    <x v="2"/>
    <n v="21"/>
    <n v="1"/>
    <x v="3"/>
    <x v="0"/>
    <x v="34"/>
  </r>
  <r>
    <n v="212"/>
    <n v="0"/>
    <x v="0"/>
    <x v="0"/>
    <s v=" John Henry Perkin"/>
    <x v="0"/>
    <n v="22"/>
    <x v="1"/>
    <x v="0"/>
    <x v="0"/>
    <n v="7.25"/>
    <n v="0"/>
    <x v="0"/>
    <x v="0"/>
    <x v="0"/>
  </r>
  <r>
    <n v="213"/>
    <n v="0"/>
    <x v="0"/>
    <x v="0"/>
    <s v=" Hans Kristensen Givard"/>
    <x v="0"/>
    <n v="30"/>
    <x v="1"/>
    <x v="0"/>
    <x v="2"/>
    <n v="13"/>
    <n v="0"/>
    <x v="28"/>
    <x v="0"/>
    <x v="16"/>
  </r>
  <r>
    <n v="214"/>
    <n v="0"/>
    <x v="0"/>
    <x v="0"/>
    <s v=" Philip Kiernan"/>
    <x v="0"/>
    <n v="22"/>
    <x v="0"/>
    <x v="0"/>
    <x v="0"/>
    <n v="7.75"/>
    <n v="0"/>
    <x v="0"/>
    <x v="0"/>
    <x v="28"/>
  </r>
  <r>
    <n v="215"/>
    <n v="1"/>
    <x v="1"/>
    <x v="2"/>
    <s v=" Madeleine Newell"/>
    <x v="1"/>
    <n v="31"/>
    <x v="0"/>
    <x v="0"/>
    <x v="1"/>
    <n v="113.27500000000001"/>
    <n v="1"/>
    <x v="14"/>
    <x v="0"/>
    <x v="111"/>
  </r>
  <r>
    <n v="216"/>
    <n v="1"/>
    <x v="1"/>
    <x v="2"/>
    <s v=" Eliina Honkanen"/>
    <x v="1"/>
    <n v="27"/>
    <x v="1"/>
    <x v="0"/>
    <x v="0"/>
    <n v="7.9249999999999998"/>
    <n v="1"/>
    <x v="4"/>
    <x v="0"/>
    <x v="2"/>
  </r>
  <r>
    <n v="217"/>
    <n v="0"/>
    <x v="0"/>
    <x v="0"/>
    <s v=" Sidney Samuel Jacobsohn"/>
    <x v="0"/>
    <n v="42"/>
    <x v="0"/>
    <x v="0"/>
    <x v="2"/>
    <n v="27"/>
    <n v="0"/>
    <x v="25"/>
    <x v="0"/>
    <x v="112"/>
  </r>
  <r>
    <n v="218"/>
    <n v="1"/>
    <x v="1"/>
    <x v="2"/>
    <s v=" Albina Bazzani"/>
    <x v="1"/>
    <n v="32"/>
    <x v="1"/>
    <x v="0"/>
    <x v="1"/>
    <n v="76.291700000000006"/>
    <n v="1"/>
    <x v="40"/>
    <x v="0"/>
    <x v="113"/>
  </r>
  <r>
    <n v="219"/>
    <n v="0"/>
    <x v="0"/>
    <x v="0"/>
    <s v=" Walter Harris"/>
    <x v="0"/>
    <n v="30"/>
    <x v="1"/>
    <x v="0"/>
    <x v="2"/>
    <n v="10.5"/>
    <n v="0"/>
    <x v="28"/>
    <x v="0"/>
    <x v="29"/>
  </r>
  <r>
    <n v="220"/>
    <n v="1"/>
    <x v="1"/>
    <x v="0"/>
    <s v=" Victor Francis Sunderland"/>
    <x v="0"/>
    <n v="16"/>
    <x v="1"/>
    <x v="0"/>
    <x v="0"/>
    <n v="8.0500000000000007"/>
    <n v="0"/>
    <x v="29"/>
    <x v="1"/>
    <x v="4"/>
  </r>
  <r>
    <n v="221"/>
    <n v="0"/>
    <x v="0"/>
    <x v="0"/>
    <s v=" James H Bracken"/>
    <x v="0"/>
    <n v="27"/>
    <x v="1"/>
    <x v="0"/>
    <x v="2"/>
    <n v="13"/>
    <n v="0"/>
    <x v="4"/>
    <x v="0"/>
    <x v="16"/>
  </r>
  <r>
    <n v="222"/>
    <n v="0"/>
    <x v="0"/>
    <x v="0"/>
    <s v=" George Henry Green"/>
    <x v="0"/>
    <n v="51"/>
    <x v="1"/>
    <x v="0"/>
    <x v="0"/>
    <n v="8.0500000000000007"/>
    <n v="0"/>
    <x v="50"/>
    <x v="0"/>
    <x v="4"/>
  </r>
  <r>
    <n v="223"/>
    <n v="0"/>
    <x v="0"/>
    <x v="0"/>
    <s v=" Christo Nenkoff"/>
    <x v="0"/>
    <n v="22"/>
    <x v="1"/>
    <x v="0"/>
    <x v="0"/>
    <n v="7.8958000000000004"/>
    <n v="0"/>
    <x v="0"/>
    <x v="0"/>
    <x v="25"/>
  </r>
  <r>
    <n v="224"/>
    <n v="1"/>
    <x v="1"/>
    <x v="0"/>
    <s v=" Frederick Maxfield Hoyt"/>
    <x v="0"/>
    <n v="38"/>
    <x v="0"/>
    <x v="0"/>
    <x v="1"/>
    <n v="90"/>
    <n v="0"/>
    <x v="1"/>
    <x v="0"/>
    <x v="114"/>
  </r>
  <r>
    <n v="225"/>
    <n v="0"/>
    <x v="0"/>
    <x v="0"/>
    <s v=" Karl Ivar Sven Berglund"/>
    <x v="0"/>
    <n v="22"/>
    <x v="1"/>
    <x v="0"/>
    <x v="0"/>
    <n v="9.35"/>
    <n v="0"/>
    <x v="0"/>
    <x v="0"/>
    <x v="115"/>
  </r>
  <r>
    <n v="226"/>
    <n v="1"/>
    <x v="1"/>
    <x v="0"/>
    <s v=" William John Mellors"/>
    <x v="0"/>
    <n v="19"/>
    <x v="1"/>
    <x v="0"/>
    <x v="2"/>
    <n v="10.5"/>
    <n v="0"/>
    <x v="19"/>
    <x v="0"/>
    <x v="29"/>
  </r>
  <r>
    <n v="227"/>
    <n v="0"/>
    <x v="0"/>
    <x v="0"/>
    <s v=" John Hall Lovell"/>
    <x v="0"/>
    <n v="20.5"/>
    <x v="1"/>
    <x v="0"/>
    <x v="0"/>
    <n v="7.25"/>
    <n v="0"/>
    <x v="26"/>
    <x v="0"/>
    <x v="0"/>
  </r>
  <r>
    <n v="228"/>
    <n v="0"/>
    <x v="0"/>
    <x v="0"/>
    <s v=" Arne Jonas Fahlstrom"/>
    <x v="0"/>
    <n v="18"/>
    <x v="1"/>
    <x v="0"/>
    <x v="2"/>
    <n v="13"/>
    <n v="0"/>
    <x v="23"/>
    <x v="0"/>
    <x v="16"/>
  </r>
  <r>
    <n v="229"/>
    <n v="0"/>
    <x v="0"/>
    <x v="2"/>
    <s v=" Mathilde Lefebre"/>
    <x v="1"/>
    <n v="12"/>
    <x v="2"/>
    <x v="1"/>
    <x v="0"/>
    <n v="25.466699999999999"/>
    <n v="1"/>
    <x v="48"/>
    <x v="1"/>
    <x v="100"/>
  </r>
  <r>
    <n v="230"/>
    <n v="1"/>
    <x v="1"/>
    <x v="1"/>
    <s v=" Henry Birkhardt (Irene Wallach) Harris"/>
    <x v="1"/>
    <n v="35"/>
    <x v="0"/>
    <x v="0"/>
    <x v="1"/>
    <n v="83.474999999999994"/>
    <n v="1"/>
    <x v="3"/>
    <x v="0"/>
    <x v="46"/>
  </r>
  <r>
    <n v="231"/>
    <n v="0"/>
    <x v="0"/>
    <x v="0"/>
    <s v=" Bengt Edvin Larsson"/>
    <x v="0"/>
    <n v="29"/>
    <x v="1"/>
    <x v="0"/>
    <x v="0"/>
    <n v="7.7750000000000004"/>
    <n v="0"/>
    <x v="32"/>
    <x v="0"/>
    <x v="70"/>
  </r>
  <r>
    <n v="232"/>
    <n v="0"/>
    <x v="0"/>
    <x v="0"/>
    <s v=" Ernst Adolf Sjostedt"/>
    <x v="0"/>
    <n v="59"/>
    <x v="1"/>
    <x v="0"/>
    <x v="2"/>
    <n v="13.5"/>
    <n v="0"/>
    <x v="44"/>
    <x v="0"/>
    <x v="116"/>
  </r>
  <r>
    <n v="233"/>
    <n v="1"/>
    <x v="1"/>
    <x v="2"/>
    <s v=" Lillian Gertrud Asplund"/>
    <x v="1"/>
    <n v="5"/>
    <x v="3"/>
    <x v="2"/>
    <x v="0"/>
    <n v="31.387499999999999"/>
    <n v="1"/>
    <x v="35"/>
    <x v="1"/>
    <x v="22"/>
  </r>
  <r>
    <n v="234"/>
    <n v="0"/>
    <x v="0"/>
    <x v="0"/>
    <s v=" Robert William Norman Leyson"/>
    <x v="0"/>
    <n v="24"/>
    <x v="1"/>
    <x v="0"/>
    <x v="2"/>
    <n v="10.5"/>
    <n v="0"/>
    <x v="20"/>
    <x v="0"/>
    <x v="29"/>
  </r>
  <r>
    <n v="235"/>
    <n v="0"/>
    <x v="0"/>
    <x v="2"/>
    <s v=" Alice Phoebe Harknett"/>
    <x v="1"/>
    <n v="21"/>
    <x v="1"/>
    <x v="0"/>
    <x v="0"/>
    <n v="7.55"/>
    <n v="1"/>
    <x v="26"/>
    <x v="0"/>
    <x v="117"/>
  </r>
  <r>
    <n v="236"/>
    <n v="0"/>
    <x v="0"/>
    <x v="0"/>
    <s v=" Stephen Hold"/>
    <x v="0"/>
    <n v="44"/>
    <x v="0"/>
    <x v="0"/>
    <x v="2"/>
    <n v="26"/>
    <n v="0"/>
    <x v="53"/>
    <x v="0"/>
    <x v="19"/>
  </r>
  <r>
    <n v="237"/>
    <n v="1"/>
    <x v="1"/>
    <x v="2"/>
    <s v=" Marjorie Collyer"/>
    <x v="1"/>
    <n v="8"/>
    <x v="1"/>
    <x v="2"/>
    <x v="2"/>
    <n v="26.25"/>
    <n v="1"/>
    <x v="18"/>
    <x v="1"/>
    <x v="118"/>
  </r>
  <r>
    <n v="238"/>
    <n v="0"/>
    <x v="0"/>
    <x v="0"/>
    <s v=" Frederick William Pengelly"/>
    <x v="0"/>
    <n v="19"/>
    <x v="1"/>
    <x v="0"/>
    <x v="2"/>
    <n v="10.5"/>
    <n v="0"/>
    <x v="19"/>
    <x v="0"/>
    <x v="29"/>
  </r>
  <r>
    <n v="239"/>
    <n v="0"/>
    <x v="0"/>
    <x v="0"/>
    <s v=" George Henry Hunt"/>
    <x v="0"/>
    <n v="33"/>
    <x v="1"/>
    <x v="0"/>
    <x v="2"/>
    <n v="12.275"/>
    <n v="0"/>
    <x v="43"/>
    <x v="0"/>
    <x v="119"/>
  </r>
  <r>
    <n v="240"/>
    <n v="0"/>
    <x v="0"/>
    <x v="2"/>
    <s v=" Thamine Zabour"/>
    <x v="1"/>
    <n v="19"/>
    <x v="0"/>
    <x v="0"/>
    <x v="0"/>
    <n v="14.4542"/>
    <n v="1"/>
    <x v="19"/>
    <x v="0"/>
    <x v="52"/>
  </r>
  <r>
    <n v="241"/>
    <n v="1"/>
    <x v="1"/>
    <x v="2"/>
    <s v=" Katherine Murphy"/>
    <x v="1"/>
    <n v="18"/>
    <x v="0"/>
    <x v="0"/>
    <x v="0"/>
    <n v="15.5"/>
    <n v="1"/>
    <x v="23"/>
    <x v="0"/>
    <x v="36"/>
  </r>
  <r>
    <n v="242"/>
    <n v="0"/>
    <x v="0"/>
    <x v="0"/>
    <s v=" Reginald Charles Coleridge"/>
    <x v="0"/>
    <n v="29"/>
    <x v="1"/>
    <x v="0"/>
    <x v="2"/>
    <n v="10.5"/>
    <n v="0"/>
    <x v="32"/>
    <x v="0"/>
    <x v="29"/>
  </r>
  <r>
    <n v="243"/>
    <n v="0"/>
    <x v="0"/>
    <x v="0"/>
    <s v=" Matti Alexanteri Maenpaa"/>
    <x v="0"/>
    <n v="22"/>
    <x v="1"/>
    <x v="0"/>
    <x v="0"/>
    <n v="7.125"/>
    <n v="0"/>
    <x v="0"/>
    <x v="0"/>
    <x v="120"/>
  </r>
  <r>
    <n v="244"/>
    <n v="0"/>
    <x v="0"/>
    <x v="0"/>
    <s v=" Sleiman Attalah"/>
    <x v="0"/>
    <n v="30"/>
    <x v="1"/>
    <x v="0"/>
    <x v="0"/>
    <n v="7.2249999999999996"/>
    <n v="0"/>
    <x v="28"/>
    <x v="0"/>
    <x v="18"/>
  </r>
  <r>
    <n v="245"/>
    <n v="0"/>
    <x v="0"/>
    <x v="6"/>
    <s v=" William Edward Minahan"/>
    <x v="0"/>
    <n v="44"/>
    <x v="4"/>
    <x v="0"/>
    <x v="1"/>
    <n v="90"/>
    <n v="0"/>
    <x v="53"/>
    <x v="0"/>
    <x v="114"/>
  </r>
  <r>
    <n v="246"/>
    <n v="0"/>
    <x v="0"/>
    <x v="2"/>
    <s v=" Agda Thorilda Viktoria Lindahl"/>
    <x v="1"/>
    <n v="25"/>
    <x v="1"/>
    <x v="0"/>
    <x v="0"/>
    <n v="7.7750000000000004"/>
    <n v="1"/>
    <x v="41"/>
    <x v="0"/>
    <x v="70"/>
  </r>
  <r>
    <n v="247"/>
    <n v="1"/>
    <x v="1"/>
    <x v="1"/>
    <s v=" William (Anna) Hamalainen"/>
    <x v="1"/>
    <n v="24"/>
    <x v="1"/>
    <x v="2"/>
    <x v="2"/>
    <n v="14.5"/>
    <n v="1"/>
    <x v="20"/>
    <x v="0"/>
    <x v="79"/>
  </r>
  <r>
    <n v="248"/>
    <n v="1"/>
    <x v="1"/>
    <x v="0"/>
    <s v=" Richard Leonard Beckwith"/>
    <x v="0"/>
    <n v="37"/>
    <x v="0"/>
    <x v="1"/>
    <x v="1"/>
    <n v="52.554200000000002"/>
    <n v="0"/>
    <x v="46"/>
    <x v="0"/>
    <x v="121"/>
  </r>
  <r>
    <n v="249"/>
    <n v="0"/>
    <x v="0"/>
    <x v="5"/>
    <s v=" Ernest Courtenay Carter"/>
    <x v="0"/>
    <n v="54"/>
    <x v="0"/>
    <x v="0"/>
    <x v="2"/>
    <n v="26"/>
    <n v="0"/>
    <x v="5"/>
    <x v="0"/>
    <x v="19"/>
  </r>
  <r>
    <n v="250"/>
    <n v="0"/>
    <x v="0"/>
    <x v="0"/>
    <s v=" James George Reed"/>
    <x v="0"/>
    <n v="18"/>
    <x v="1"/>
    <x v="0"/>
    <x v="0"/>
    <n v="7.25"/>
    <n v="0"/>
    <x v="23"/>
    <x v="0"/>
    <x v="0"/>
  </r>
  <r>
    <n v="251"/>
    <n v="0"/>
    <x v="0"/>
    <x v="1"/>
    <s v=" Wilhelm (Elna Matilda Persson) Strom"/>
    <x v="1"/>
    <n v="29"/>
    <x v="0"/>
    <x v="1"/>
    <x v="0"/>
    <n v="10.4625"/>
    <n v="1"/>
    <x v="32"/>
    <x v="0"/>
    <x v="108"/>
  </r>
  <r>
    <n v="252"/>
    <n v="0"/>
    <x v="0"/>
    <x v="0"/>
    <s v=" William Thomas Stead"/>
    <x v="0"/>
    <n v="62"/>
    <x v="1"/>
    <x v="0"/>
    <x v="1"/>
    <n v="26.55"/>
    <n v="0"/>
    <x v="58"/>
    <x v="0"/>
    <x v="11"/>
  </r>
  <r>
    <n v="253"/>
    <n v="0"/>
    <x v="0"/>
    <x v="0"/>
    <s v=" William Arthur Lobb"/>
    <x v="0"/>
    <n v="30"/>
    <x v="0"/>
    <x v="0"/>
    <x v="0"/>
    <n v="16.100000000000001"/>
    <n v="0"/>
    <x v="28"/>
    <x v="0"/>
    <x v="93"/>
  </r>
  <r>
    <n v="254"/>
    <n v="0"/>
    <x v="0"/>
    <x v="1"/>
    <s v=" Viktor (Helena Wilhelmina) Rosblom"/>
    <x v="1"/>
    <n v="41"/>
    <x v="1"/>
    <x v="2"/>
    <x v="0"/>
    <n v="20.212499999999999"/>
    <n v="1"/>
    <x v="52"/>
    <x v="0"/>
    <x v="122"/>
  </r>
  <r>
    <n v="255"/>
    <n v="1"/>
    <x v="1"/>
    <x v="1"/>
    <s v=" Darwis (Hanne Youssef Razi) Touma"/>
    <x v="1"/>
    <n v="29"/>
    <x v="1"/>
    <x v="2"/>
    <x v="0"/>
    <n v="15.245799999999999"/>
    <n v="1"/>
    <x v="32"/>
    <x v="0"/>
    <x v="48"/>
  </r>
  <r>
    <n v="256"/>
    <n v="1"/>
    <x v="1"/>
    <x v="1"/>
    <s v=" Gertrude Maybelle Thorne"/>
    <x v="1"/>
    <n v="38"/>
    <x v="1"/>
    <x v="0"/>
    <x v="1"/>
    <n v="79.2"/>
    <n v="1"/>
    <x v="1"/>
    <x v="0"/>
    <x v="83"/>
  </r>
  <r>
    <n v="257"/>
    <n v="1"/>
    <x v="1"/>
    <x v="2"/>
    <s v=" Gladys Cherry"/>
    <x v="1"/>
    <n v="30"/>
    <x v="1"/>
    <x v="0"/>
    <x v="1"/>
    <n v="86.5"/>
    <n v="1"/>
    <x v="28"/>
    <x v="0"/>
    <x v="123"/>
  </r>
  <r>
    <n v="258"/>
    <n v="1"/>
    <x v="1"/>
    <x v="2"/>
    <s v=" Anna Ward"/>
    <x v="1"/>
    <n v="35"/>
    <x v="1"/>
    <x v="0"/>
    <x v="1"/>
    <n v="512.32920000000001"/>
    <n v="1"/>
    <x v="3"/>
    <x v="0"/>
    <x v="124"/>
  </r>
  <r>
    <n v="259"/>
    <n v="1"/>
    <x v="1"/>
    <x v="1"/>
    <s v=" (Lutie Davis) Parrish"/>
    <x v="1"/>
    <n v="50"/>
    <x v="1"/>
    <x v="1"/>
    <x v="2"/>
    <n v="26"/>
    <n v="1"/>
    <x v="56"/>
    <x v="0"/>
    <x v="19"/>
  </r>
  <r>
    <n v="260"/>
    <n v="1"/>
    <x v="1"/>
    <x v="3"/>
    <s v=" Edvin Rojj Felix Asplund"/>
    <x v="0"/>
    <n v="3"/>
    <x v="3"/>
    <x v="2"/>
    <x v="0"/>
    <n v="31.387499999999999"/>
    <n v="0"/>
    <x v="27"/>
    <x v="1"/>
    <x v="22"/>
  </r>
  <r>
    <n v="261"/>
    <n v="0"/>
    <x v="0"/>
    <x v="0"/>
    <s v=" Emil Taussig"/>
    <x v="0"/>
    <n v="52"/>
    <x v="0"/>
    <x v="1"/>
    <x v="1"/>
    <n v="79.650000000000006"/>
    <n v="0"/>
    <x v="59"/>
    <x v="0"/>
    <x v="125"/>
  </r>
  <r>
    <n v="262"/>
    <n v="0"/>
    <x v="0"/>
    <x v="0"/>
    <s v=" William Harrison"/>
    <x v="0"/>
    <n v="40"/>
    <x v="1"/>
    <x v="0"/>
    <x v="1"/>
    <n v="0"/>
    <n v="0"/>
    <x v="21"/>
    <x v="0"/>
    <x v="102"/>
  </r>
  <r>
    <n v="263"/>
    <n v="0"/>
    <x v="0"/>
    <x v="2"/>
    <s v=" Delia Henry"/>
    <x v="1"/>
    <n v="21"/>
    <x v="1"/>
    <x v="0"/>
    <x v="0"/>
    <n v="7.75"/>
    <n v="1"/>
    <x v="26"/>
    <x v="0"/>
    <x v="28"/>
  </r>
  <r>
    <n v="264"/>
    <n v="0"/>
    <x v="0"/>
    <x v="0"/>
    <s v=" David Reeves"/>
    <x v="0"/>
    <n v="36"/>
    <x v="1"/>
    <x v="0"/>
    <x v="2"/>
    <n v="10.5"/>
    <n v="0"/>
    <x v="57"/>
    <x v="0"/>
    <x v="29"/>
  </r>
  <r>
    <n v="265"/>
    <n v="0"/>
    <x v="0"/>
    <x v="0"/>
    <s v=" Ernesti Arvid Panula"/>
    <x v="0"/>
    <n v="16"/>
    <x v="3"/>
    <x v="1"/>
    <x v="0"/>
    <n v="39.6875"/>
    <n v="0"/>
    <x v="29"/>
    <x v="1"/>
    <x v="39"/>
  </r>
  <r>
    <n v="266"/>
    <n v="1"/>
    <x v="1"/>
    <x v="0"/>
    <s v=" Ernst Ulrik Persson"/>
    <x v="0"/>
    <n v="25"/>
    <x v="0"/>
    <x v="0"/>
    <x v="0"/>
    <n v="7.7750000000000004"/>
    <n v="0"/>
    <x v="41"/>
    <x v="0"/>
    <x v="70"/>
  </r>
  <r>
    <n v="267"/>
    <n v="1"/>
    <x v="1"/>
    <x v="1"/>
    <s v=" William Thompson (Edith Junkins) Graham"/>
    <x v="1"/>
    <n v="58"/>
    <x v="1"/>
    <x v="1"/>
    <x v="1"/>
    <n v="153.46250000000001"/>
    <n v="1"/>
    <x v="9"/>
    <x v="0"/>
    <x v="126"/>
  </r>
  <r>
    <n v="268"/>
    <n v="1"/>
    <x v="1"/>
    <x v="2"/>
    <s v=" Amelia Bissette"/>
    <x v="1"/>
    <n v="35"/>
    <x v="1"/>
    <x v="0"/>
    <x v="1"/>
    <n v="135.63329999999999"/>
    <n v="1"/>
    <x v="3"/>
    <x v="0"/>
    <x v="127"/>
  </r>
  <r>
    <n v="269"/>
    <n v="0"/>
    <x v="0"/>
    <x v="0"/>
    <s v=" Alexander Cairns"/>
    <x v="0"/>
    <n v="28"/>
    <x v="1"/>
    <x v="0"/>
    <x v="1"/>
    <n v="31"/>
    <n v="0"/>
    <x v="17"/>
    <x v="0"/>
    <x v="110"/>
  </r>
  <r>
    <n v="270"/>
    <n v="1"/>
    <x v="1"/>
    <x v="0"/>
    <s v=" William Henry Tornquist"/>
    <x v="0"/>
    <n v="25"/>
    <x v="1"/>
    <x v="0"/>
    <x v="0"/>
    <n v="0"/>
    <n v="0"/>
    <x v="41"/>
    <x v="0"/>
    <x v="102"/>
  </r>
  <r>
    <n v="271"/>
    <n v="1"/>
    <x v="1"/>
    <x v="1"/>
    <s v=" (Elizabeth Anne Maidment) Mellinger"/>
    <x v="1"/>
    <n v="41"/>
    <x v="1"/>
    <x v="1"/>
    <x v="2"/>
    <n v="19.5"/>
    <n v="1"/>
    <x v="52"/>
    <x v="0"/>
    <x v="128"/>
  </r>
  <r>
    <n v="272"/>
    <n v="0"/>
    <x v="0"/>
    <x v="0"/>
    <s v=" Charles H Natsch"/>
    <x v="0"/>
    <n v="37"/>
    <x v="1"/>
    <x v="1"/>
    <x v="1"/>
    <n v="29.7"/>
    <n v="0"/>
    <x v="46"/>
    <x v="0"/>
    <x v="129"/>
  </r>
  <r>
    <n v="273"/>
    <n v="1"/>
    <x v="1"/>
    <x v="2"/>
    <s v=" Hanora Healy"/>
    <x v="1"/>
    <n v="33"/>
    <x v="1"/>
    <x v="0"/>
    <x v="0"/>
    <n v="7.75"/>
    <n v="1"/>
    <x v="43"/>
    <x v="0"/>
    <x v="28"/>
  </r>
  <r>
    <n v="274"/>
    <n v="1"/>
    <x v="1"/>
    <x v="2"/>
    <s v=" Kornelia Theodosia Andrews"/>
    <x v="1"/>
    <n v="63"/>
    <x v="0"/>
    <x v="0"/>
    <x v="1"/>
    <n v="77.958299999999994"/>
    <n v="1"/>
    <x v="60"/>
    <x v="0"/>
    <x v="130"/>
  </r>
  <r>
    <n v="275"/>
    <n v="0"/>
    <x v="0"/>
    <x v="2"/>
    <s v=" Augusta Charlotta Lindblom"/>
    <x v="1"/>
    <n v="45"/>
    <x v="1"/>
    <x v="0"/>
    <x v="0"/>
    <n v="7.75"/>
    <n v="1"/>
    <x v="37"/>
    <x v="0"/>
    <x v="28"/>
  </r>
  <r>
    <n v="276"/>
    <n v="0"/>
    <x v="0"/>
    <x v="0"/>
    <s v=" Francis Parkes"/>
    <x v="0"/>
    <n v="21"/>
    <x v="1"/>
    <x v="0"/>
    <x v="2"/>
    <n v="0"/>
    <n v="0"/>
    <x v="26"/>
    <x v="0"/>
    <x v="102"/>
  </r>
  <r>
    <n v="277"/>
    <n v="0"/>
    <x v="0"/>
    <x v="3"/>
    <s v=" Eric Rice"/>
    <x v="0"/>
    <n v="7"/>
    <x v="3"/>
    <x v="1"/>
    <x v="0"/>
    <n v="29.125"/>
    <n v="0"/>
    <x v="30"/>
    <x v="1"/>
    <x v="15"/>
  </r>
  <r>
    <n v="278"/>
    <n v="1"/>
    <x v="1"/>
    <x v="1"/>
    <s v=" Stanton (Rosa Hunt) Abbott"/>
    <x v="1"/>
    <n v="35"/>
    <x v="0"/>
    <x v="1"/>
    <x v="0"/>
    <n v="20.25"/>
    <n v="1"/>
    <x v="3"/>
    <x v="0"/>
    <x v="131"/>
  </r>
  <r>
    <n v="279"/>
    <n v="0"/>
    <x v="0"/>
    <x v="0"/>
    <s v=" Frank Duane"/>
    <x v="0"/>
    <n v="65"/>
    <x v="1"/>
    <x v="0"/>
    <x v="0"/>
    <n v="7.75"/>
    <n v="0"/>
    <x v="33"/>
    <x v="0"/>
    <x v="28"/>
  </r>
  <r>
    <n v="280"/>
    <n v="0"/>
    <x v="0"/>
    <x v="0"/>
    <s v=" Nils Johan Goransson Olsson"/>
    <x v="0"/>
    <n v="28"/>
    <x v="1"/>
    <x v="0"/>
    <x v="0"/>
    <n v="7.8541999999999996"/>
    <n v="0"/>
    <x v="17"/>
    <x v="0"/>
    <x v="13"/>
  </r>
  <r>
    <n v="281"/>
    <n v="0"/>
    <x v="0"/>
    <x v="0"/>
    <s v=" Alfons de Pelsmaeker"/>
    <x v="0"/>
    <n v="16"/>
    <x v="1"/>
    <x v="0"/>
    <x v="0"/>
    <n v="9.5"/>
    <n v="0"/>
    <x v="29"/>
    <x v="1"/>
    <x v="58"/>
  </r>
  <r>
    <n v="282"/>
    <n v="1"/>
    <x v="1"/>
    <x v="0"/>
    <s v=" Edward Arthur Dorking"/>
    <x v="0"/>
    <n v="19"/>
    <x v="1"/>
    <x v="0"/>
    <x v="0"/>
    <n v="8.0500000000000007"/>
    <n v="0"/>
    <x v="19"/>
    <x v="0"/>
    <x v="4"/>
  </r>
  <r>
    <n v="283"/>
    <n v="0"/>
    <x v="0"/>
    <x v="0"/>
    <s v=" Richard William Smith"/>
    <x v="0"/>
    <n v="57"/>
    <x v="1"/>
    <x v="0"/>
    <x v="1"/>
    <n v="26"/>
    <n v="0"/>
    <x v="61"/>
    <x v="0"/>
    <x v="19"/>
  </r>
  <r>
    <n v="284"/>
    <n v="0"/>
    <x v="0"/>
    <x v="0"/>
    <s v=" Ivan Stankovic"/>
    <x v="0"/>
    <n v="33"/>
    <x v="1"/>
    <x v="0"/>
    <x v="0"/>
    <n v="8.6624999999999996"/>
    <n v="0"/>
    <x v="43"/>
    <x v="0"/>
    <x v="50"/>
  </r>
  <r>
    <n v="285"/>
    <n v="1"/>
    <x v="1"/>
    <x v="0"/>
    <s v=" Theodore de Mulder"/>
    <x v="0"/>
    <n v="30"/>
    <x v="1"/>
    <x v="0"/>
    <x v="0"/>
    <n v="9.5"/>
    <n v="0"/>
    <x v="28"/>
    <x v="0"/>
    <x v="58"/>
  </r>
  <r>
    <n v="286"/>
    <n v="0"/>
    <x v="0"/>
    <x v="0"/>
    <s v=" Penko Naidenoff"/>
    <x v="0"/>
    <n v="22"/>
    <x v="1"/>
    <x v="0"/>
    <x v="0"/>
    <n v="7.8958000000000004"/>
    <n v="0"/>
    <x v="0"/>
    <x v="0"/>
    <x v="25"/>
  </r>
  <r>
    <n v="287"/>
    <n v="1"/>
    <x v="1"/>
    <x v="0"/>
    <s v=" Masabumi Hosono"/>
    <x v="0"/>
    <n v="42"/>
    <x v="1"/>
    <x v="0"/>
    <x v="2"/>
    <n v="13"/>
    <n v="0"/>
    <x v="25"/>
    <x v="0"/>
    <x v="16"/>
  </r>
  <r>
    <n v="288"/>
    <n v="1"/>
    <x v="1"/>
    <x v="2"/>
    <s v=" Kate Connolly"/>
    <x v="1"/>
    <n v="22"/>
    <x v="1"/>
    <x v="0"/>
    <x v="0"/>
    <n v="7.75"/>
    <n v="1"/>
    <x v="0"/>
    <x v="0"/>
    <x v="28"/>
  </r>
  <r>
    <n v="289"/>
    <n v="1"/>
    <x v="1"/>
    <x v="2"/>
    <s v=" Ellen Barber"/>
    <x v="1"/>
    <n v="26"/>
    <x v="1"/>
    <x v="0"/>
    <x v="1"/>
    <n v="78.849999999999994"/>
    <n v="1"/>
    <x v="2"/>
    <x v="0"/>
    <x v="132"/>
  </r>
  <r>
    <n v="290"/>
    <n v="1"/>
    <x v="1"/>
    <x v="1"/>
    <s v=" Dickinson H (Helen Walton) Bishop"/>
    <x v="1"/>
    <n v="19"/>
    <x v="0"/>
    <x v="0"/>
    <x v="1"/>
    <n v="91.0792"/>
    <n v="1"/>
    <x v="19"/>
    <x v="0"/>
    <x v="133"/>
  </r>
  <r>
    <n v="291"/>
    <n v="0"/>
    <x v="0"/>
    <x v="0"/>
    <s v=" Rene Jacques Levy"/>
    <x v="0"/>
    <n v="36"/>
    <x v="1"/>
    <x v="0"/>
    <x v="2"/>
    <n v="12.875"/>
    <n v="0"/>
    <x v="57"/>
    <x v="0"/>
    <x v="134"/>
  </r>
  <r>
    <n v="292"/>
    <n v="0"/>
    <x v="0"/>
    <x v="2"/>
    <s v=" Aloisia Haas"/>
    <x v="1"/>
    <n v="24"/>
    <x v="1"/>
    <x v="0"/>
    <x v="0"/>
    <n v="8.85"/>
    <n v="1"/>
    <x v="20"/>
    <x v="0"/>
    <x v="135"/>
  </r>
  <r>
    <n v="293"/>
    <n v="0"/>
    <x v="0"/>
    <x v="0"/>
    <s v=" Ivan Mineff"/>
    <x v="0"/>
    <n v="24"/>
    <x v="1"/>
    <x v="0"/>
    <x v="0"/>
    <n v="7.8958000000000004"/>
    <n v="0"/>
    <x v="20"/>
    <x v="0"/>
    <x v="25"/>
  </r>
  <r>
    <n v="294"/>
    <n v="0"/>
    <x v="0"/>
    <x v="0"/>
    <s v=" Ervin G Lewy"/>
    <x v="0"/>
    <n v="30"/>
    <x v="1"/>
    <x v="0"/>
    <x v="1"/>
    <n v="27.720800000000001"/>
    <n v="0"/>
    <x v="28"/>
    <x v="0"/>
    <x v="26"/>
  </r>
  <r>
    <n v="295"/>
    <n v="0"/>
    <x v="0"/>
    <x v="0"/>
    <s v=" Mansour Hanna"/>
    <x v="0"/>
    <n v="23.5"/>
    <x v="1"/>
    <x v="0"/>
    <x v="0"/>
    <n v="7.2291999999999996"/>
    <n v="0"/>
    <x v="20"/>
    <x v="0"/>
    <x v="18"/>
  </r>
  <r>
    <n v="296"/>
    <n v="0"/>
    <x v="0"/>
    <x v="2"/>
    <s v=" Helen Loraine Allison"/>
    <x v="1"/>
    <n v="2"/>
    <x v="0"/>
    <x v="2"/>
    <x v="1"/>
    <n v="151.55000000000001"/>
    <n v="1"/>
    <x v="6"/>
    <x v="1"/>
    <x v="136"/>
  </r>
  <r>
    <n v="297"/>
    <n v="1"/>
    <x v="1"/>
    <x v="0"/>
    <s v=" Adolphe Saalfeld"/>
    <x v="0"/>
    <n v="47"/>
    <x v="1"/>
    <x v="0"/>
    <x v="1"/>
    <n v="30.5"/>
    <n v="0"/>
    <x v="47"/>
    <x v="0"/>
    <x v="137"/>
  </r>
  <r>
    <n v="298"/>
    <n v="1"/>
    <x v="1"/>
    <x v="1"/>
    <s v=" James (Helene DeLaudeniere Chaput) Baxter"/>
    <x v="1"/>
    <n v="50"/>
    <x v="1"/>
    <x v="1"/>
    <x v="1"/>
    <n v="247.52080000000001"/>
    <n v="1"/>
    <x v="56"/>
    <x v="0"/>
    <x v="74"/>
  </r>
  <r>
    <n v="299"/>
    <n v="1"/>
    <x v="1"/>
    <x v="2"/>
    <s v=" Anna Katherine Kelly"/>
    <x v="1"/>
    <n v="20"/>
    <x v="1"/>
    <x v="0"/>
    <x v="0"/>
    <n v="7.75"/>
    <n v="1"/>
    <x v="10"/>
    <x v="0"/>
    <x v="28"/>
  </r>
  <r>
    <n v="300"/>
    <n v="1"/>
    <x v="1"/>
    <x v="0"/>
    <s v=" Bernard McCoy"/>
    <x v="0"/>
    <n v="24"/>
    <x v="4"/>
    <x v="0"/>
    <x v="0"/>
    <n v="23.25"/>
    <n v="0"/>
    <x v="20"/>
    <x v="0"/>
    <x v="138"/>
  </r>
  <r>
    <n v="301"/>
    <n v="0"/>
    <x v="0"/>
    <x v="0"/>
    <s v=" William Cahoone Jr Johnson"/>
    <x v="0"/>
    <n v="19"/>
    <x v="1"/>
    <x v="0"/>
    <x v="0"/>
    <n v="0"/>
    <n v="0"/>
    <x v="19"/>
    <x v="0"/>
    <x v="102"/>
  </r>
  <r>
    <n v="302"/>
    <n v="1"/>
    <x v="1"/>
    <x v="2"/>
    <s v=" Nora A Keane"/>
    <x v="1"/>
    <n v="46"/>
    <x v="1"/>
    <x v="0"/>
    <x v="2"/>
    <n v="12.35"/>
    <n v="1"/>
    <x v="34"/>
    <x v="0"/>
    <x v="139"/>
  </r>
  <r>
    <n v="303"/>
    <n v="0"/>
    <x v="0"/>
    <x v="0"/>
    <s v=" Howard Hugh Williams"/>
    <x v="0"/>
    <n v="28"/>
    <x v="1"/>
    <x v="0"/>
    <x v="0"/>
    <n v="8.0500000000000007"/>
    <n v="0"/>
    <x v="17"/>
    <x v="0"/>
    <x v="4"/>
  </r>
  <r>
    <n v="304"/>
    <n v="1"/>
    <x v="1"/>
    <x v="3"/>
    <s v=" Hudson Trevor Allison"/>
    <x v="0"/>
    <n v="0.92"/>
    <x v="0"/>
    <x v="2"/>
    <x v="1"/>
    <n v="151.55000000000001"/>
    <n v="0"/>
    <x v="42"/>
    <x v="1"/>
    <x v="136"/>
  </r>
  <r>
    <n v="305"/>
    <n v="1"/>
    <x v="1"/>
    <x v="2"/>
    <s v=" Margaret Fleming"/>
    <x v="1"/>
    <n v="42"/>
    <x v="1"/>
    <x v="0"/>
    <x v="1"/>
    <n v="110.88330000000001"/>
    <n v="1"/>
    <x v="25"/>
    <x v="0"/>
    <x v="140"/>
  </r>
  <r>
    <n v="306"/>
    <n v="1"/>
    <x v="1"/>
    <x v="1"/>
    <s v=" Victor de Satode (Maria Josefa Perez de Soto y Vallejo) Penasco y Castellana"/>
    <x v="1"/>
    <n v="17"/>
    <x v="0"/>
    <x v="0"/>
    <x v="1"/>
    <n v="108.9"/>
    <n v="1"/>
    <x v="39"/>
    <x v="0"/>
    <x v="141"/>
  </r>
  <r>
    <n v="307"/>
    <n v="0"/>
    <x v="0"/>
    <x v="0"/>
    <s v=" Samuel Abelson"/>
    <x v="0"/>
    <n v="30"/>
    <x v="0"/>
    <x v="0"/>
    <x v="2"/>
    <n v="24"/>
    <n v="0"/>
    <x v="28"/>
    <x v="0"/>
    <x v="142"/>
  </r>
  <r>
    <n v="308"/>
    <n v="1"/>
    <x v="1"/>
    <x v="2"/>
    <s v=" Laura Mabel Francatelli"/>
    <x v="1"/>
    <n v="30"/>
    <x v="1"/>
    <x v="0"/>
    <x v="1"/>
    <n v="56.929200000000002"/>
    <n v="1"/>
    <x v="28"/>
    <x v="0"/>
    <x v="143"/>
  </r>
  <r>
    <n v="309"/>
    <n v="1"/>
    <x v="1"/>
    <x v="2"/>
    <s v=" Margaret Bechstein Hays"/>
    <x v="1"/>
    <n v="24"/>
    <x v="1"/>
    <x v="0"/>
    <x v="1"/>
    <n v="83.158299999999997"/>
    <n v="1"/>
    <x v="20"/>
    <x v="0"/>
    <x v="144"/>
  </r>
  <r>
    <n v="310"/>
    <n v="1"/>
    <x v="1"/>
    <x v="2"/>
    <s v=" Emily Borie Ryerson"/>
    <x v="1"/>
    <n v="18"/>
    <x v="4"/>
    <x v="2"/>
    <x v="1"/>
    <n v="262.375"/>
    <n v="1"/>
    <x v="23"/>
    <x v="0"/>
    <x v="145"/>
  </r>
  <r>
    <n v="311"/>
    <n v="0"/>
    <x v="0"/>
    <x v="1"/>
    <s v=" William (Anna Sylfven) Lahtinen"/>
    <x v="1"/>
    <n v="26"/>
    <x v="0"/>
    <x v="1"/>
    <x v="2"/>
    <n v="26"/>
    <n v="1"/>
    <x v="2"/>
    <x v="0"/>
    <x v="19"/>
  </r>
  <r>
    <n v="312"/>
    <n v="0"/>
    <x v="0"/>
    <x v="0"/>
    <s v=" Ignjac Hendekovic"/>
    <x v="0"/>
    <n v="28"/>
    <x v="1"/>
    <x v="0"/>
    <x v="0"/>
    <n v="7.8958000000000004"/>
    <n v="0"/>
    <x v="17"/>
    <x v="0"/>
    <x v="25"/>
  </r>
  <r>
    <n v="313"/>
    <n v="0"/>
    <x v="0"/>
    <x v="0"/>
    <s v=" Benjamin Hart"/>
    <x v="0"/>
    <n v="43"/>
    <x v="0"/>
    <x v="1"/>
    <x v="2"/>
    <n v="26.25"/>
    <n v="0"/>
    <x v="62"/>
    <x v="0"/>
    <x v="118"/>
  </r>
  <r>
    <n v="314"/>
    <n v="1"/>
    <x v="1"/>
    <x v="2"/>
    <s v=" Helmina Josefina Nilsson"/>
    <x v="1"/>
    <n v="26"/>
    <x v="1"/>
    <x v="0"/>
    <x v="0"/>
    <n v="7.8541999999999996"/>
    <n v="1"/>
    <x v="2"/>
    <x v="0"/>
    <x v="13"/>
  </r>
  <r>
    <n v="315"/>
    <n v="1"/>
    <x v="1"/>
    <x v="1"/>
    <s v=" Sinai (Miriam Sternin) Kantor"/>
    <x v="1"/>
    <n v="24"/>
    <x v="0"/>
    <x v="0"/>
    <x v="2"/>
    <n v="26"/>
    <n v="1"/>
    <x v="20"/>
    <x v="0"/>
    <x v="19"/>
  </r>
  <r>
    <n v="316"/>
    <n v="0"/>
    <x v="0"/>
    <x v="6"/>
    <s v=" Ernest Moraweck"/>
    <x v="0"/>
    <n v="54"/>
    <x v="1"/>
    <x v="0"/>
    <x v="2"/>
    <n v="14"/>
    <n v="0"/>
    <x v="5"/>
    <x v="0"/>
    <x v="146"/>
  </r>
  <r>
    <n v="317"/>
    <n v="1"/>
    <x v="1"/>
    <x v="2"/>
    <s v=" Mary Natalie Wick"/>
    <x v="1"/>
    <n v="31"/>
    <x v="1"/>
    <x v="2"/>
    <x v="1"/>
    <n v="164.86670000000001"/>
    <n v="1"/>
    <x v="14"/>
    <x v="0"/>
    <x v="147"/>
  </r>
  <r>
    <n v="318"/>
    <n v="1"/>
    <x v="1"/>
    <x v="1"/>
    <s v=" Frederic Oakley (Margaretta Corning Stone) Spedden"/>
    <x v="1"/>
    <n v="40"/>
    <x v="0"/>
    <x v="1"/>
    <x v="1"/>
    <n v="134.5"/>
    <n v="1"/>
    <x v="21"/>
    <x v="0"/>
    <x v="148"/>
  </r>
  <r>
    <n v="319"/>
    <n v="0"/>
    <x v="0"/>
    <x v="0"/>
    <s v=" Samuel Dennis"/>
    <x v="0"/>
    <n v="22"/>
    <x v="1"/>
    <x v="0"/>
    <x v="0"/>
    <n v="7.25"/>
    <n v="0"/>
    <x v="0"/>
    <x v="0"/>
    <x v="0"/>
  </r>
  <r>
    <n v="320"/>
    <n v="0"/>
    <x v="0"/>
    <x v="0"/>
    <s v=" Yoto Danoff"/>
    <x v="0"/>
    <n v="27"/>
    <x v="1"/>
    <x v="0"/>
    <x v="0"/>
    <n v="7.8958000000000004"/>
    <n v="0"/>
    <x v="4"/>
    <x v="0"/>
    <x v="25"/>
  </r>
  <r>
    <n v="321"/>
    <n v="1"/>
    <x v="1"/>
    <x v="2"/>
    <s v=" Hilda Mary Slayter"/>
    <x v="1"/>
    <n v="30"/>
    <x v="1"/>
    <x v="0"/>
    <x v="2"/>
    <n v="12.35"/>
    <n v="1"/>
    <x v="28"/>
    <x v="0"/>
    <x v="139"/>
  </r>
  <r>
    <n v="322"/>
    <n v="1"/>
    <x v="1"/>
    <x v="1"/>
    <s v=" Albert Francis (Sylvia Mae Harbaugh) Caldwell"/>
    <x v="1"/>
    <n v="22"/>
    <x v="0"/>
    <x v="1"/>
    <x v="2"/>
    <n v="29"/>
    <n v="1"/>
    <x v="0"/>
    <x v="0"/>
    <x v="55"/>
  </r>
  <r>
    <n v="323"/>
    <n v="0"/>
    <x v="0"/>
    <x v="0"/>
    <s v=" George John Jr Sage"/>
    <x v="0"/>
    <n v="20"/>
    <x v="6"/>
    <x v="2"/>
    <x v="0"/>
    <n v="69.55"/>
    <n v="0"/>
    <x v="10"/>
    <x v="0"/>
    <x v="92"/>
  </r>
  <r>
    <n v="324"/>
    <n v="1"/>
    <x v="1"/>
    <x v="2"/>
    <s v=" Marie Grice Young"/>
    <x v="1"/>
    <n v="36"/>
    <x v="1"/>
    <x v="0"/>
    <x v="1"/>
    <n v="135.63329999999999"/>
    <n v="1"/>
    <x v="57"/>
    <x v="0"/>
    <x v="127"/>
  </r>
  <r>
    <n v="325"/>
    <n v="0"/>
    <x v="0"/>
    <x v="0"/>
    <s v=" Johan Hansen Nysveen"/>
    <x v="0"/>
    <n v="61"/>
    <x v="1"/>
    <x v="0"/>
    <x v="0"/>
    <n v="6.2374999999999998"/>
    <n v="0"/>
    <x v="55"/>
    <x v="0"/>
    <x v="149"/>
  </r>
  <r>
    <n v="326"/>
    <n v="1"/>
    <x v="1"/>
    <x v="1"/>
    <s v=" (Ada E Hall) Ball"/>
    <x v="1"/>
    <n v="36"/>
    <x v="1"/>
    <x v="0"/>
    <x v="2"/>
    <n v="13"/>
    <n v="1"/>
    <x v="57"/>
    <x v="0"/>
    <x v="16"/>
  </r>
  <r>
    <n v="327"/>
    <n v="1"/>
    <x v="1"/>
    <x v="1"/>
    <s v=" Frank John (Emily Alice Brown) Goldsmith"/>
    <x v="1"/>
    <n v="31"/>
    <x v="0"/>
    <x v="1"/>
    <x v="0"/>
    <n v="20.524999999999999"/>
    <n v="1"/>
    <x v="14"/>
    <x v="0"/>
    <x v="95"/>
  </r>
  <r>
    <n v="328"/>
    <n v="1"/>
    <x v="1"/>
    <x v="2"/>
    <s v=" Jean Gertrude Hippach"/>
    <x v="1"/>
    <n v="16"/>
    <x v="1"/>
    <x v="1"/>
    <x v="1"/>
    <n v="57.979199999999999"/>
    <n v="1"/>
    <x v="29"/>
    <x v="1"/>
    <x v="150"/>
  </r>
  <r>
    <n v="329"/>
    <n v="1"/>
    <x v="1"/>
    <x v="2"/>
    <s v=" Agnes McCoy"/>
    <x v="1"/>
    <n v="28"/>
    <x v="4"/>
    <x v="0"/>
    <x v="0"/>
    <n v="23.25"/>
    <n v="1"/>
    <x v="17"/>
    <x v="0"/>
    <x v="138"/>
  </r>
  <r>
    <n v="330"/>
    <n v="0"/>
    <x v="0"/>
    <x v="0"/>
    <s v=" Austen Partner"/>
    <x v="0"/>
    <n v="45.5"/>
    <x v="1"/>
    <x v="0"/>
    <x v="1"/>
    <n v="28.5"/>
    <n v="0"/>
    <x v="34"/>
    <x v="0"/>
    <x v="151"/>
  </r>
  <r>
    <n v="331"/>
    <n v="0"/>
    <x v="0"/>
    <x v="0"/>
    <s v=" George Edward Graham"/>
    <x v="0"/>
    <n v="38"/>
    <x v="1"/>
    <x v="1"/>
    <x v="1"/>
    <n v="153.46250000000001"/>
    <n v="0"/>
    <x v="1"/>
    <x v="0"/>
    <x v="126"/>
  </r>
  <r>
    <n v="332"/>
    <n v="0"/>
    <x v="0"/>
    <x v="0"/>
    <s v=" Leo Edmondus Vander Planke"/>
    <x v="0"/>
    <n v="16"/>
    <x v="4"/>
    <x v="0"/>
    <x v="0"/>
    <n v="18"/>
    <n v="0"/>
    <x v="29"/>
    <x v="1"/>
    <x v="17"/>
  </r>
  <r>
    <n v="333"/>
    <n v="1"/>
    <x v="1"/>
    <x v="1"/>
    <s v=" Henry William (Clara Heinsheimer) Frauenthal"/>
    <x v="1"/>
    <n v="42"/>
    <x v="0"/>
    <x v="0"/>
    <x v="1"/>
    <n v="133.65"/>
    <n v="1"/>
    <x v="25"/>
    <x v="0"/>
    <x v="152"/>
  </r>
  <r>
    <n v="334"/>
    <n v="0"/>
    <x v="0"/>
    <x v="0"/>
    <s v=" Mitto Denkoff"/>
    <x v="0"/>
    <n v="30"/>
    <x v="1"/>
    <x v="0"/>
    <x v="0"/>
    <n v="7.8958000000000004"/>
    <n v="0"/>
    <x v="28"/>
    <x v="0"/>
    <x v="25"/>
  </r>
  <r>
    <n v="335"/>
    <n v="0"/>
    <x v="0"/>
    <x v="0"/>
    <s v=" Thomas Clinton Pears"/>
    <x v="0"/>
    <n v="29"/>
    <x v="0"/>
    <x v="0"/>
    <x v="1"/>
    <n v="66.599999999999994"/>
    <n v="0"/>
    <x v="32"/>
    <x v="0"/>
    <x v="88"/>
  </r>
  <r>
    <n v="336"/>
    <n v="1"/>
    <x v="1"/>
    <x v="2"/>
    <s v=" Elizabeth Margaret Burns"/>
    <x v="1"/>
    <n v="41"/>
    <x v="1"/>
    <x v="0"/>
    <x v="1"/>
    <n v="134.5"/>
    <n v="1"/>
    <x v="52"/>
    <x v="0"/>
    <x v="148"/>
  </r>
  <r>
    <n v="337"/>
    <n v="1"/>
    <x v="1"/>
    <x v="0"/>
    <s v=" Karl Edwart Dahl"/>
    <x v="0"/>
    <n v="45"/>
    <x v="1"/>
    <x v="0"/>
    <x v="0"/>
    <n v="8.0500000000000007"/>
    <n v="0"/>
    <x v="37"/>
    <x v="0"/>
    <x v="4"/>
  </r>
  <r>
    <n v="338"/>
    <n v="0"/>
    <x v="0"/>
    <x v="0"/>
    <s v=" Stephen Weart Blackwell"/>
    <x v="0"/>
    <n v="45"/>
    <x v="1"/>
    <x v="0"/>
    <x v="1"/>
    <n v="35.5"/>
    <n v="0"/>
    <x v="37"/>
    <x v="0"/>
    <x v="21"/>
  </r>
  <r>
    <n v="339"/>
    <n v="1"/>
    <x v="1"/>
    <x v="3"/>
    <s v=" Edmond Roger Navratil"/>
    <x v="0"/>
    <n v="2"/>
    <x v="0"/>
    <x v="1"/>
    <x v="2"/>
    <n v="26"/>
    <n v="0"/>
    <x v="6"/>
    <x v="1"/>
    <x v="19"/>
  </r>
  <r>
    <n v="340"/>
    <n v="1"/>
    <x v="1"/>
    <x v="2"/>
    <s v=" Alice Elizabeth Fortune"/>
    <x v="1"/>
    <n v="24"/>
    <x v="2"/>
    <x v="2"/>
    <x v="1"/>
    <n v="263"/>
    <n v="1"/>
    <x v="20"/>
    <x v="0"/>
    <x v="23"/>
  </r>
  <r>
    <n v="341"/>
    <n v="0"/>
    <x v="0"/>
    <x v="0"/>
    <s v=" Erik Gustaf Collander"/>
    <x v="0"/>
    <n v="28"/>
    <x v="1"/>
    <x v="0"/>
    <x v="2"/>
    <n v="13"/>
    <n v="0"/>
    <x v="17"/>
    <x v="0"/>
    <x v="16"/>
  </r>
  <r>
    <n v="342"/>
    <n v="0"/>
    <x v="0"/>
    <x v="0"/>
    <s v=" Charles Frederick Waddington Sedgwick"/>
    <x v="0"/>
    <n v="25"/>
    <x v="1"/>
    <x v="0"/>
    <x v="2"/>
    <n v="13"/>
    <n v="0"/>
    <x v="41"/>
    <x v="0"/>
    <x v="16"/>
  </r>
  <r>
    <n v="343"/>
    <n v="0"/>
    <x v="0"/>
    <x v="0"/>
    <s v=" Stanley Hubert Fox"/>
    <x v="0"/>
    <n v="36"/>
    <x v="1"/>
    <x v="0"/>
    <x v="2"/>
    <n v="13"/>
    <n v="0"/>
    <x v="57"/>
    <x v="0"/>
    <x v="16"/>
  </r>
  <r>
    <n v="344"/>
    <n v="1"/>
    <x v="1"/>
    <x v="2"/>
    <s v=" Amelia Brown"/>
    <x v="1"/>
    <n v="24"/>
    <x v="1"/>
    <x v="0"/>
    <x v="2"/>
    <n v="13"/>
    <n v="1"/>
    <x v="20"/>
    <x v="0"/>
    <x v="16"/>
  </r>
  <r>
    <n v="345"/>
    <n v="1"/>
    <x v="1"/>
    <x v="2"/>
    <s v=" Marion Elsie Smith"/>
    <x v="1"/>
    <n v="40"/>
    <x v="1"/>
    <x v="0"/>
    <x v="2"/>
    <n v="13"/>
    <n v="1"/>
    <x v="21"/>
    <x v="0"/>
    <x v="16"/>
  </r>
  <r>
    <n v="346"/>
    <n v="1"/>
    <x v="1"/>
    <x v="1"/>
    <s v=" Thomas Henry (Mary E Finck) Davison"/>
    <x v="1"/>
    <n v="34"/>
    <x v="0"/>
    <x v="0"/>
    <x v="0"/>
    <n v="16.100000000000001"/>
    <n v="1"/>
    <x v="15"/>
    <x v="0"/>
    <x v="93"/>
  </r>
  <r>
    <n v="347"/>
    <n v="1"/>
    <x v="1"/>
    <x v="3"/>
    <s v=" William Loch Coutts"/>
    <x v="0"/>
    <n v="3"/>
    <x v="0"/>
    <x v="1"/>
    <x v="0"/>
    <n v="15.9"/>
    <n v="0"/>
    <x v="27"/>
    <x v="1"/>
    <x v="153"/>
  </r>
  <r>
    <n v="348"/>
    <n v="0"/>
    <x v="0"/>
    <x v="0"/>
    <s v=" Jovan Dimic"/>
    <x v="0"/>
    <n v="42"/>
    <x v="1"/>
    <x v="0"/>
    <x v="0"/>
    <n v="8.6624999999999996"/>
    <n v="0"/>
    <x v="25"/>
    <x v="0"/>
    <x v="50"/>
  </r>
  <r>
    <n v="349"/>
    <n v="0"/>
    <x v="0"/>
    <x v="0"/>
    <s v=" Nils Martin Odahl"/>
    <x v="0"/>
    <n v="23"/>
    <x v="1"/>
    <x v="0"/>
    <x v="0"/>
    <n v="9.2249999999999996"/>
    <n v="0"/>
    <x v="13"/>
    <x v="0"/>
    <x v="154"/>
  </r>
  <r>
    <n v="350"/>
    <n v="0"/>
    <x v="0"/>
    <x v="0"/>
    <s v=" Fletcher Fellows Williams-Lambert"/>
    <x v="0"/>
    <n v="43"/>
    <x v="1"/>
    <x v="0"/>
    <x v="1"/>
    <n v="35"/>
    <n v="0"/>
    <x v="62"/>
    <x v="0"/>
    <x v="155"/>
  </r>
  <r>
    <n v="351"/>
    <n v="0"/>
    <x v="0"/>
    <x v="0"/>
    <s v=" Tannous Elias"/>
    <x v="0"/>
    <n v="15"/>
    <x v="0"/>
    <x v="1"/>
    <x v="0"/>
    <n v="7.2291999999999996"/>
    <n v="0"/>
    <x v="16"/>
    <x v="1"/>
    <x v="18"/>
  </r>
  <r>
    <n v="352"/>
    <n v="0"/>
    <x v="0"/>
    <x v="0"/>
    <s v=" Josef Arnold-Franchi"/>
    <x v="0"/>
    <n v="25"/>
    <x v="0"/>
    <x v="0"/>
    <x v="0"/>
    <n v="17.8"/>
    <n v="0"/>
    <x v="41"/>
    <x v="0"/>
    <x v="38"/>
  </r>
  <r>
    <n v="353"/>
    <n v="0"/>
    <x v="0"/>
    <x v="0"/>
    <s v=" Wazli Yousif"/>
    <x v="0"/>
    <n v="23"/>
    <x v="1"/>
    <x v="0"/>
    <x v="0"/>
    <n v="7.2249999999999996"/>
    <n v="0"/>
    <x v="13"/>
    <x v="0"/>
    <x v="18"/>
  </r>
  <r>
    <n v="354"/>
    <n v="0"/>
    <x v="0"/>
    <x v="0"/>
    <s v=" Leo Peter Vanden Steen"/>
    <x v="0"/>
    <n v="28"/>
    <x v="1"/>
    <x v="0"/>
    <x v="0"/>
    <n v="9.5"/>
    <n v="0"/>
    <x v="17"/>
    <x v="0"/>
    <x v="58"/>
  </r>
  <r>
    <n v="355"/>
    <n v="1"/>
    <x v="1"/>
    <x v="2"/>
    <s v=" Elsie Edith Bowerman"/>
    <x v="1"/>
    <n v="22"/>
    <x v="1"/>
    <x v="1"/>
    <x v="1"/>
    <n v="55"/>
    <n v="1"/>
    <x v="0"/>
    <x v="0"/>
    <x v="96"/>
  </r>
  <r>
    <n v="356"/>
    <n v="0"/>
    <x v="0"/>
    <x v="2"/>
    <s v=" Annie Clemmer Funk"/>
    <x v="1"/>
    <n v="38"/>
    <x v="1"/>
    <x v="0"/>
    <x v="2"/>
    <n v="13"/>
    <n v="1"/>
    <x v="1"/>
    <x v="0"/>
    <x v="16"/>
  </r>
  <r>
    <n v="357"/>
    <n v="1"/>
    <x v="1"/>
    <x v="2"/>
    <s v=" Mary McGovern"/>
    <x v="1"/>
    <n v="22"/>
    <x v="1"/>
    <x v="0"/>
    <x v="0"/>
    <n v="7.8792"/>
    <n v="1"/>
    <x v="0"/>
    <x v="0"/>
    <x v="24"/>
  </r>
  <r>
    <n v="358"/>
    <n v="1"/>
    <x v="1"/>
    <x v="2"/>
    <s v=" Helen Mary Mockler"/>
    <x v="1"/>
    <n v="23"/>
    <x v="1"/>
    <x v="0"/>
    <x v="0"/>
    <n v="7.8792"/>
    <n v="1"/>
    <x v="13"/>
    <x v="0"/>
    <x v="24"/>
  </r>
  <r>
    <n v="359"/>
    <n v="0"/>
    <x v="0"/>
    <x v="0"/>
    <s v=" Wilhelm Skoog"/>
    <x v="0"/>
    <n v="40"/>
    <x v="0"/>
    <x v="5"/>
    <x v="0"/>
    <n v="27.9"/>
    <n v="0"/>
    <x v="21"/>
    <x v="0"/>
    <x v="47"/>
  </r>
  <r>
    <n v="360"/>
    <n v="0"/>
    <x v="0"/>
    <x v="0"/>
    <s v=" Sebastiano del Carlo"/>
    <x v="0"/>
    <n v="29"/>
    <x v="0"/>
    <x v="0"/>
    <x v="2"/>
    <n v="27.720800000000001"/>
    <n v="0"/>
    <x v="32"/>
    <x v="0"/>
    <x v="26"/>
  </r>
  <r>
    <n v="361"/>
    <n v="0"/>
    <x v="0"/>
    <x v="1"/>
    <s v=" (Catherine David) Barbara"/>
    <x v="1"/>
    <n v="45"/>
    <x v="1"/>
    <x v="1"/>
    <x v="0"/>
    <n v="14.4542"/>
    <n v="1"/>
    <x v="37"/>
    <x v="0"/>
    <x v="52"/>
  </r>
  <r>
    <n v="362"/>
    <n v="0"/>
    <x v="0"/>
    <x v="0"/>
    <s v=" Adola Asim"/>
    <x v="0"/>
    <n v="35"/>
    <x v="1"/>
    <x v="0"/>
    <x v="0"/>
    <n v="7.05"/>
    <n v="0"/>
    <x v="3"/>
    <x v="0"/>
    <x v="78"/>
  </r>
  <r>
    <n v="363"/>
    <n v="0"/>
    <x v="0"/>
    <x v="0"/>
    <s v=" Thomas O'Brien"/>
    <x v="0"/>
    <n v="27"/>
    <x v="0"/>
    <x v="0"/>
    <x v="0"/>
    <n v="15.5"/>
    <n v="0"/>
    <x v="4"/>
    <x v="0"/>
    <x v="36"/>
  </r>
  <r>
    <n v="364"/>
    <n v="0"/>
    <x v="0"/>
    <x v="0"/>
    <s v=" Mauritz Nils Martin Adahl"/>
    <x v="0"/>
    <n v="30"/>
    <x v="1"/>
    <x v="0"/>
    <x v="0"/>
    <n v="7.25"/>
    <n v="0"/>
    <x v="28"/>
    <x v="0"/>
    <x v="0"/>
  </r>
  <r>
    <n v="365"/>
    <n v="1"/>
    <x v="1"/>
    <x v="1"/>
    <s v=" Frank Manley (Anna Sophia Atkinson) Warren"/>
    <x v="1"/>
    <n v="60"/>
    <x v="0"/>
    <x v="0"/>
    <x v="1"/>
    <n v="75.25"/>
    <n v="1"/>
    <x v="54"/>
    <x v="0"/>
    <x v="156"/>
  </r>
  <r>
    <n v="366"/>
    <n v="1"/>
    <x v="1"/>
    <x v="1"/>
    <s v=" (Mantoura Boulos) Moussa"/>
    <x v="1"/>
    <n v="35"/>
    <x v="1"/>
    <x v="0"/>
    <x v="0"/>
    <n v="7.2291999999999996"/>
    <n v="1"/>
    <x v="3"/>
    <x v="0"/>
    <x v="18"/>
  </r>
  <r>
    <n v="367"/>
    <n v="1"/>
    <x v="1"/>
    <x v="2"/>
    <s v=" Annie Jermyn"/>
    <x v="1"/>
    <n v="22"/>
    <x v="1"/>
    <x v="0"/>
    <x v="0"/>
    <n v="7.75"/>
    <n v="1"/>
    <x v="0"/>
    <x v="0"/>
    <x v="28"/>
  </r>
  <r>
    <n v="368"/>
    <n v="1"/>
    <x v="1"/>
    <x v="7"/>
    <s v=" Leontine Pauline Aubart"/>
    <x v="1"/>
    <n v="24"/>
    <x v="1"/>
    <x v="0"/>
    <x v="1"/>
    <n v="69.3"/>
    <n v="1"/>
    <x v="20"/>
    <x v="0"/>
    <x v="157"/>
  </r>
  <r>
    <n v="369"/>
    <n v="1"/>
    <x v="1"/>
    <x v="0"/>
    <s v=" George Achilles Harder"/>
    <x v="0"/>
    <n v="25"/>
    <x v="0"/>
    <x v="0"/>
    <x v="1"/>
    <n v="55.441699999999997"/>
    <n v="0"/>
    <x v="41"/>
    <x v="0"/>
    <x v="158"/>
  </r>
  <r>
    <n v="370"/>
    <n v="0"/>
    <x v="0"/>
    <x v="0"/>
    <s v=" Jakob Alfred Wiklund"/>
    <x v="0"/>
    <n v="18"/>
    <x v="0"/>
    <x v="0"/>
    <x v="0"/>
    <n v="6.4958"/>
    <n v="0"/>
    <x v="23"/>
    <x v="0"/>
    <x v="107"/>
  </r>
  <r>
    <n v="371"/>
    <n v="0"/>
    <x v="0"/>
    <x v="0"/>
    <s v=" William Thomas Beavan"/>
    <x v="0"/>
    <n v="19"/>
    <x v="1"/>
    <x v="0"/>
    <x v="0"/>
    <n v="8.0500000000000007"/>
    <n v="0"/>
    <x v="19"/>
    <x v="0"/>
    <x v="4"/>
  </r>
  <r>
    <n v="372"/>
    <n v="0"/>
    <x v="0"/>
    <x v="0"/>
    <s v=" Sante Ringhini"/>
    <x v="0"/>
    <n v="22"/>
    <x v="1"/>
    <x v="0"/>
    <x v="1"/>
    <n v="135.63329999999999"/>
    <n v="0"/>
    <x v="0"/>
    <x v="0"/>
    <x v="127"/>
  </r>
  <r>
    <n v="373"/>
    <n v="0"/>
    <x v="0"/>
    <x v="2"/>
    <s v=" Stina Viola Palsson"/>
    <x v="1"/>
    <n v="3"/>
    <x v="2"/>
    <x v="1"/>
    <x v="0"/>
    <n v="21.074999999999999"/>
    <n v="1"/>
    <x v="27"/>
    <x v="1"/>
    <x v="7"/>
  </r>
  <r>
    <n v="374"/>
    <n v="1"/>
    <x v="1"/>
    <x v="1"/>
    <s v=" Edgar Joseph (Leila Saks) Meyer"/>
    <x v="1"/>
    <n v="25"/>
    <x v="0"/>
    <x v="0"/>
    <x v="1"/>
    <n v="82.1708"/>
    <n v="1"/>
    <x v="41"/>
    <x v="0"/>
    <x v="30"/>
  </r>
  <r>
    <n v="375"/>
    <n v="1"/>
    <x v="1"/>
    <x v="2"/>
    <s v=" Aurora Adelia Landergren"/>
    <x v="1"/>
    <n v="22"/>
    <x v="1"/>
    <x v="0"/>
    <x v="0"/>
    <n v="7.25"/>
    <n v="1"/>
    <x v="0"/>
    <x v="0"/>
    <x v="0"/>
  </r>
  <r>
    <n v="376"/>
    <n v="0"/>
    <x v="0"/>
    <x v="0"/>
    <s v=" Harry Elkins Widener"/>
    <x v="0"/>
    <n v="27"/>
    <x v="1"/>
    <x v="2"/>
    <x v="1"/>
    <n v="211.5"/>
    <n v="0"/>
    <x v="4"/>
    <x v="0"/>
    <x v="159"/>
  </r>
  <r>
    <n v="377"/>
    <n v="0"/>
    <x v="0"/>
    <x v="0"/>
    <s v=" Tannous Betros"/>
    <x v="0"/>
    <n v="20"/>
    <x v="1"/>
    <x v="0"/>
    <x v="0"/>
    <n v="4.0125000000000002"/>
    <n v="0"/>
    <x v="10"/>
    <x v="0"/>
    <x v="160"/>
  </r>
  <r>
    <n v="378"/>
    <n v="0"/>
    <x v="0"/>
    <x v="0"/>
    <s v=" Karl Gideon Gustafsson"/>
    <x v="0"/>
    <n v="19"/>
    <x v="1"/>
    <x v="0"/>
    <x v="0"/>
    <n v="7.7750000000000004"/>
    <n v="0"/>
    <x v="19"/>
    <x v="0"/>
    <x v="70"/>
  </r>
  <r>
    <n v="379"/>
    <n v="1"/>
    <x v="1"/>
    <x v="2"/>
    <s v=" Rosalie Bidois"/>
    <x v="1"/>
    <n v="42"/>
    <x v="1"/>
    <x v="0"/>
    <x v="1"/>
    <n v="227.52500000000001"/>
    <n v="1"/>
    <x v="25"/>
    <x v="0"/>
    <x v="161"/>
  </r>
  <r>
    <n v="380"/>
    <n v="1"/>
    <x v="1"/>
    <x v="2"/>
    <s v=" Maria Nakid"/>
    <x v="1"/>
    <n v="1"/>
    <x v="1"/>
    <x v="2"/>
    <x v="0"/>
    <n v="15.7417"/>
    <n v="1"/>
    <x v="42"/>
    <x v="1"/>
    <x v="162"/>
  </r>
  <r>
    <n v="381"/>
    <n v="0"/>
    <x v="0"/>
    <x v="0"/>
    <s v=" Juho Tikkanen"/>
    <x v="0"/>
    <n v="32"/>
    <x v="1"/>
    <x v="0"/>
    <x v="0"/>
    <n v="7.9249999999999998"/>
    <n v="0"/>
    <x v="40"/>
    <x v="0"/>
    <x v="2"/>
  </r>
  <r>
    <n v="382"/>
    <n v="1"/>
    <x v="1"/>
    <x v="1"/>
    <s v=" Alexander Oskar (Mary Aline Towner) Holverson"/>
    <x v="1"/>
    <n v="35"/>
    <x v="0"/>
    <x v="0"/>
    <x v="1"/>
    <n v="52"/>
    <n v="1"/>
    <x v="3"/>
    <x v="0"/>
    <x v="31"/>
  </r>
  <r>
    <n v="383"/>
    <n v="0"/>
    <x v="0"/>
    <x v="0"/>
    <s v=" Vasil Plotcharsky"/>
    <x v="0"/>
    <n v="27"/>
    <x v="1"/>
    <x v="0"/>
    <x v="0"/>
    <n v="7.8958000000000004"/>
    <n v="0"/>
    <x v="4"/>
    <x v="0"/>
    <x v="25"/>
  </r>
  <r>
    <n v="384"/>
    <n v="0"/>
    <x v="0"/>
    <x v="0"/>
    <s v=" Charles Henry Davies"/>
    <x v="0"/>
    <n v="18"/>
    <x v="1"/>
    <x v="0"/>
    <x v="2"/>
    <n v="73.5"/>
    <n v="0"/>
    <x v="23"/>
    <x v="0"/>
    <x v="51"/>
  </r>
  <r>
    <n v="385"/>
    <n v="0"/>
    <x v="0"/>
    <x v="3"/>
    <s v=" Sidney Leonard Goodwin"/>
    <x v="0"/>
    <n v="1"/>
    <x v="5"/>
    <x v="2"/>
    <x v="0"/>
    <n v="46.9"/>
    <n v="0"/>
    <x v="42"/>
    <x v="1"/>
    <x v="44"/>
  </r>
  <r>
    <n v="386"/>
    <n v="1"/>
    <x v="1"/>
    <x v="2"/>
    <s v=" Kate Buss"/>
    <x v="1"/>
    <n v="36"/>
    <x v="1"/>
    <x v="0"/>
    <x v="2"/>
    <n v="13"/>
    <n v="1"/>
    <x v="57"/>
    <x v="0"/>
    <x v="16"/>
  </r>
  <r>
    <n v="387"/>
    <n v="0"/>
    <x v="0"/>
    <x v="0"/>
    <s v=" Matthew Sadlier"/>
    <x v="0"/>
    <n v="19"/>
    <x v="1"/>
    <x v="0"/>
    <x v="0"/>
    <n v="7.7291999999999996"/>
    <n v="0"/>
    <x v="19"/>
    <x v="0"/>
    <x v="91"/>
  </r>
  <r>
    <n v="388"/>
    <n v="1"/>
    <x v="1"/>
    <x v="2"/>
    <s v=" Bertha Lehmann"/>
    <x v="1"/>
    <n v="17"/>
    <x v="1"/>
    <x v="0"/>
    <x v="2"/>
    <n v="12"/>
    <n v="1"/>
    <x v="39"/>
    <x v="0"/>
    <x v="163"/>
  </r>
  <r>
    <n v="389"/>
    <n v="1"/>
    <x v="1"/>
    <x v="0"/>
    <s v=" William Ernest Carter"/>
    <x v="0"/>
    <n v="36"/>
    <x v="0"/>
    <x v="2"/>
    <x v="1"/>
    <n v="120"/>
    <n v="0"/>
    <x v="57"/>
    <x v="0"/>
    <x v="164"/>
  </r>
  <r>
    <n v="390"/>
    <n v="1"/>
    <x v="1"/>
    <x v="0"/>
    <s v=" Carl Olof Jansson"/>
    <x v="0"/>
    <n v="21"/>
    <x v="1"/>
    <x v="0"/>
    <x v="0"/>
    <n v="7.7957999999999998"/>
    <n v="0"/>
    <x v="26"/>
    <x v="0"/>
    <x v="40"/>
  </r>
  <r>
    <n v="391"/>
    <n v="0"/>
    <x v="0"/>
    <x v="0"/>
    <s v=" Johan Birger Gustafsson"/>
    <x v="0"/>
    <n v="28"/>
    <x v="4"/>
    <x v="0"/>
    <x v="0"/>
    <n v="7.9249999999999998"/>
    <n v="0"/>
    <x v="17"/>
    <x v="0"/>
    <x v="2"/>
  </r>
  <r>
    <n v="392"/>
    <n v="1"/>
    <x v="1"/>
    <x v="2"/>
    <s v=" Marjorie Newell"/>
    <x v="1"/>
    <n v="23"/>
    <x v="0"/>
    <x v="0"/>
    <x v="1"/>
    <n v="113.27500000000001"/>
    <n v="1"/>
    <x v="13"/>
    <x v="0"/>
    <x v="111"/>
  </r>
  <r>
    <n v="393"/>
    <n v="1"/>
    <x v="1"/>
    <x v="1"/>
    <s v=" Hjalmar (Agnes Charlotta Bengtsson) Sandstrom"/>
    <x v="1"/>
    <n v="24"/>
    <x v="1"/>
    <x v="2"/>
    <x v="0"/>
    <n v="16.7"/>
    <n v="1"/>
    <x v="20"/>
    <x v="0"/>
    <x v="10"/>
  </r>
  <r>
    <n v="394"/>
    <n v="0"/>
    <x v="0"/>
    <x v="0"/>
    <s v=" Erik Johansson"/>
    <x v="0"/>
    <n v="22"/>
    <x v="1"/>
    <x v="0"/>
    <x v="0"/>
    <n v="7.7957999999999998"/>
    <n v="0"/>
    <x v="0"/>
    <x v="0"/>
    <x v="40"/>
  </r>
  <r>
    <n v="395"/>
    <n v="0"/>
    <x v="0"/>
    <x v="2"/>
    <s v=" Elina Olsson"/>
    <x v="1"/>
    <n v="31"/>
    <x v="1"/>
    <x v="0"/>
    <x v="0"/>
    <n v="7.8541999999999996"/>
    <n v="1"/>
    <x v="14"/>
    <x v="0"/>
    <x v="13"/>
  </r>
  <r>
    <n v="396"/>
    <n v="0"/>
    <x v="0"/>
    <x v="0"/>
    <s v=" Peter David McKane"/>
    <x v="0"/>
    <n v="46"/>
    <x v="1"/>
    <x v="0"/>
    <x v="2"/>
    <n v="26"/>
    <n v="0"/>
    <x v="34"/>
    <x v="0"/>
    <x v="19"/>
  </r>
  <r>
    <n v="397"/>
    <n v="0"/>
    <x v="0"/>
    <x v="6"/>
    <s v=" Alfred Pain"/>
    <x v="0"/>
    <n v="23"/>
    <x v="1"/>
    <x v="0"/>
    <x v="2"/>
    <n v="10.5"/>
    <n v="0"/>
    <x v="13"/>
    <x v="0"/>
    <x v="29"/>
  </r>
  <r>
    <n v="398"/>
    <n v="1"/>
    <x v="1"/>
    <x v="1"/>
    <s v=" William H (Jessie L) Trout"/>
    <x v="1"/>
    <n v="28"/>
    <x v="1"/>
    <x v="0"/>
    <x v="2"/>
    <n v="12.65"/>
    <n v="1"/>
    <x v="17"/>
    <x v="0"/>
    <x v="165"/>
  </r>
  <r>
    <n v="399"/>
    <n v="1"/>
    <x v="1"/>
    <x v="0"/>
    <s v=" Juha Niskanen"/>
    <x v="0"/>
    <n v="39"/>
    <x v="1"/>
    <x v="0"/>
    <x v="0"/>
    <n v="7.9249999999999998"/>
    <n v="0"/>
    <x v="11"/>
    <x v="0"/>
    <x v="2"/>
  </r>
  <r>
    <n v="400"/>
    <n v="0"/>
    <x v="0"/>
    <x v="0"/>
    <s v=" John Adams"/>
    <x v="0"/>
    <n v="26"/>
    <x v="1"/>
    <x v="0"/>
    <x v="0"/>
    <n v="8.0500000000000007"/>
    <n v="0"/>
    <x v="2"/>
    <x v="0"/>
    <x v="4"/>
  </r>
  <r>
    <n v="401"/>
    <n v="0"/>
    <x v="0"/>
    <x v="2"/>
    <s v=" Mari Aina Jussila"/>
    <x v="1"/>
    <n v="21"/>
    <x v="0"/>
    <x v="0"/>
    <x v="0"/>
    <n v="9.8249999999999993"/>
    <n v="1"/>
    <x v="26"/>
    <x v="0"/>
    <x v="72"/>
  </r>
  <r>
    <n v="402"/>
    <n v="0"/>
    <x v="0"/>
    <x v="0"/>
    <s v=" Pekka Pietari Hakkarainen"/>
    <x v="0"/>
    <n v="28"/>
    <x v="0"/>
    <x v="0"/>
    <x v="0"/>
    <n v="15.85"/>
    <n v="0"/>
    <x v="17"/>
    <x v="0"/>
    <x v="61"/>
  </r>
  <r>
    <n v="403"/>
    <n v="0"/>
    <x v="0"/>
    <x v="2"/>
    <s v=" Marija Oreskovic"/>
    <x v="1"/>
    <n v="20"/>
    <x v="1"/>
    <x v="0"/>
    <x v="0"/>
    <n v="8.6624999999999996"/>
    <n v="1"/>
    <x v="10"/>
    <x v="0"/>
    <x v="50"/>
  </r>
  <r>
    <n v="404"/>
    <n v="0"/>
    <x v="0"/>
    <x v="0"/>
    <s v=" Shadrach Gale"/>
    <x v="0"/>
    <n v="34"/>
    <x v="0"/>
    <x v="0"/>
    <x v="2"/>
    <n v="21"/>
    <n v="0"/>
    <x v="15"/>
    <x v="0"/>
    <x v="34"/>
  </r>
  <r>
    <n v="405"/>
    <n v="0"/>
    <x v="0"/>
    <x v="0"/>
    <s v=" Carl/Charles Peter Widegren"/>
    <x v="0"/>
    <n v="51"/>
    <x v="1"/>
    <x v="0"/>
    <x v="0"/>
    <n v="7.75"/>
    <n v="0"/>
    <x v="50"/>
    <x v="0"/>
    <x v="28"/>
  </r>
  <r>
    <n v="406"/>
    <n v="1"/>
    <x v="1"/>
    <x v="3"/>
    <s v=" William Rowe Richards"/>
    <x v="0"/>
    <n v="3"/>
    <x v="0"/>
    <x v="1"/>
    <x v="2"/>
    <n v="18.75"/>
    <n v="0"/>
    <x v="27"/>
    <x v="1"/>
    <x v="166"/>
  </r>
  <r>
    <n v="407"/>
    <n v="0"/>
    <x v="0"/>
    <x v="0"/>
    <s v=" Hans Martin Monsen Birkeland"/>
    <x v="0"/>
    <n v="21"/>
    <x v="1"/>
    <x v="0"/>
    <x v="0"/>
    <n v="7.7750000000000004"/>
    <n v="0"/>
    <x v="26"/>
    <x v="0"/>
    <x v="70"/>
  </r>
  <r>
    <n v="408"/>
    <n v="0"/>
    <x v="0"/>
    <x v="2"/>
    <s v=" Ida Lefebre"/>
    <x v="1"/>
    <n v="3"/>
    <x v="2"/>
    <x v="1"/>
    <x v="0"/>
    <n v="25.466699999999999"/>
    <n v="1"/>
    <x v="27"/>
    <x v="1"/>
    <x v="100"/>
  </r>
  <r>
    <n v="409"/>
    <n v="0"/>
    <x v="0"/>
    <x v="0"/>
    <s v=" Todor Sdycoff"/>
    <x v="0"/>
    <n v="42"/>
    <x v="1"/>
    <x v="0"/>
    <x v="0"/>
    <n v="7.8958000000000004"/>
    <n v="0"/>
    <x v="25"/>
    <x v="0"/>
    <x v="25"/>
  </r>
  <r>
    <n v="410"/>
    <n v="0"/>
    <x v="0"/>
    <x v="0"/>
    <s v=" Henry Hart"/>
    <x v="0"/>
    <n v="27"/>
    <x v="1"/>
    <x v="0"/>
    <x v="0"/>
    <n v="6.8582999999999998"/>
    <n v="0"/>
    <x v="4"/>
    <x v="0"/>
    <x v="167"/>
  </r>
  <r>
    <n v="411"/>
    <n v="1"/>
    <x v="1"/>
    <x v="2"/>
    <s v=" Daisy E Minahan"/>
    <x v="1"/>
    <n v="33"/>
    <x v="0"/>
    <x v="0"/>
    <x v="1"/>
    <n v="90"/>
    <n v="1"/>
    <x v="43"/>
    <x v="0"/>
    <x v="114"/>
  </r>
  <r>
    <n v="412"/>
    <n v="0"/>
    <x v="0"/>
    <x v="0"/>
    <s v=" Alfred Fleming Cunningham"/>
    <x v="0"/>
    <n v="22"/>
    <x v="1"/>
    <x v="0"/>
    <x v="2"/>
    <n v="0"/>
    <n v="0"/>
    <x v="0"/>
    <x v="0"/>
    <x v="102"/>
  </r>
  <r>
    <n v="413"/>
    <n v="1"/>
    <x v="1"/>
    <x v="0"/>
    <s v=" Johan Julian Sundman"/>
    <x v="0"/>
    <n v="44"/>
    <x v="1"/>
    <x v="0"/>
    <x v="0"/>
    <n v="7.9249999999999998"/>
    <n v="0"/>
    <x v="53"/>
    <x v="0"/>
    <x v="2"/>
  </r>
  <r>
    <n v="414"/>
    <n v="0"/>
    <x v="0"/>
    <x v="1"/>
    <s v=" Thomas (Annie Louise Rowley) Meek"/>
    <x v="1"/>
    <n v="32"/>
    <x v="1"/>
    <x v="0"/>
    <x v="0"/>
    <n v="8.0500000000000007"/>
    <n v="1"/>
    <x v="40"/>
    <x v="0"/>
    <x v="4"/>
  </r>
  <r>
    <n v="415"/>
    <n v="1"/>
    <x v="1"/>
    <x v="1"/>
    <s v=" James Vivian (Lulu Thorne Christian) Drew"/>
    <x v="1"/>
    <n v="34"/>
    <x v="0"/>
    <x v="1"/>
    <x v="2"/>
    <n v="32.5"/>
    <n v="1"/>
    <x v="15"/>
    <x v="0"/>
    <x v="168"/>
  </r>
  <r>
    <n v="416"/>
    <n v="1"/>
    <x v="1"/>
    <x v="2"/>
    <s v=" Lyyli Karoliina Silven"/>
    <x v="1"/>
    <n v="18"/>
    <x v="1"/>
    <x v="2"/>
    <x v="2"/>
    <n v="13"/>
    <n v="1"/>
    <x v="23"/>
    <x v="0"/>
    <x v="16"/>
  </r>
  <r>
    <n v="417"/>
    <n v="0"/>
    <x v="0"/>
    <x v="0"/>
    <s v=" William John Matthews"/>
    <x v="0"/>
    <n v="30"/>
    <x v="1"/>
    <x v="0"/>
    <x v="2"/>
    <n v="13"/>
    <n v="0"/>
    <x v="28"/>
    <x v="0"/>
    <x v="16"/>
  </r>
  <r>
    <n v="418"/>
    <n v="0"/>
    <x v="0"/>
    <x v="2"/>
    <s v=" Catharina Van Impe"/>
    <x v="1"/>
    <n v="10"/>
    <x v="1"/>
    <x v="2"/>
    <x v="0"/>
    <n v="24.15"/>
    <n v="1"/>
    <x v="63"/>
    <x v="1"/>
    <x v="71"/>
  </r>
  <r>
    <n v="419"/>
    <n v="0"/>
    <x v="0"/>
    <x v="0"/>
    <s v=" David Charters"/>
    <x v="0"/>
    <n v="21"/>
    <x v="1"/>
    <x v="0"/>
    <x v="0"/>
    <n v="7.7332999999999998"/>
    <n v="0"/>
    <x v="26"/>
    <x v="0"/>
    <x v="91"/>
  </r>
  <r>
    <n v="420"/>
    <n v="0"/>
    <x v="0"/>
    <x v="0"/>
    <s v=" Leo Zimmerman"/>
    <x v="0"/>
    <n v="29"/>
    <x v="1"/>
    <x v="0"/>
    <x v="0"/>
    <n v="7.875"/>
    <n v="0"/>
    <x v="32"/>
    <x v="0"/>
    <x v="24"/>
  </r>
  <r>
    <n v="421"/>
    <n v="0"/>
    <x v="0"/>
    <x v="1"/>
    <s v=" Ernst Gilbert (Anna Sigrid Maria Brogren) Danbom"/>
    <x v="1"/>
    <n v="28"/>
    <x v="0"/>
    <x v="1"/>
    <x v="0"/>
    <n v="14.4"/>
    <n v="1"/>
    <x v="17"/>
    <x v="0"/>
    <x v="169"/>
  </r>
  <r>
    <n v="422"/>
    <n v="0"/>
    <x v="0"/>
    <x v="0"/>
    <s v=" Viktor Richard Rosblom"/>
    <x v="0"/>
    <n v="18"/>
    <x v="0"/>
    <x v="1"/>
    <x v="0"/>
    <n v="20.212499999999999"/>
    <n v="0"/>
    <x v="23"/>
    <x v="0"/>
    <x v="122"/>
  </r>
  <r>
    <n v="423"/>
    <n v="0"/>
    <x v="0"/>
    <x v="0"/>
    <s v=" Phillippe Wiseman"/>
    <x v="0"/>
    <n v="54"/>
    <x v="1"/>
    <x v="0"/>
    <x v="0"/>
    <n v="7.25"/>
    <n v="0"/>
    <x v="5"/>
    <x v="0"/>
    <x v="0"/>
  </r>
  <r>
    <n v="424"/>
    <n v="1"/>
    <x v="1"/>
    <x v="1"/>
    <s v=" Charles V (Ada Maria Winfield) Clarke"/>
    <x v="1"/>
    <n v="28"/>
    <x v="0"/>
    <x v="0"/>
    <x v="2"/>
    <n v="26"/>
    <n v="1"/>
    <x v="17"/>
    <x v="0"/>
    <x v="19"/>
  </r>
  <r>
    <n v="425"/>
    <n v="1"/>
    <x v="1"/>
    <x v="2"/>
    <s v=" Kate Florence Phillips"/>
    <x v="1"/>
    <n v="19"/>
    <x v="1"/>
    <x v="0"/>
    <x v="2"/>
    <n v="26"/>
    <n v="1"/>
    <x v="19"/>
    <x v="0"/>
    <x v="19"/>
  </r>
  <r>
    <n v="426"/>
    <n v="0"/>
    <x v="0"/>
    <x v="0"/>
    <s v=" James Flynn"/>
    <x v="0"/>
    <n v="28"/>
    <x v="1"/>
    <x v="0"/>
    <x v="0"/>
    <n v="7.75"/>
    <n v="0"/>
    <x v="17"/>
    <x v="0"/>
    <x v="28"/>
  </r>
  <r>
    <n v="427"/>
    <n v="1"/>
    <x v="1"/>
    <x v="0"/>
    <s v=" Berk (Berk Trembisky) Pickard"/>
    <x v="0"/>
    <n v="32"/>
    <x v="1"/>
    <x v="0"/>
    <x v="0"/>
    <n v="8.0500000000000007"/>
    <n v="0"/>
    <x v="40"/>
    <x v="0"/>
    <x v="4"/>
  </r>
  <r>
    <n v="428"/>
    <n v="1"/>
    <x v="1"/>
    <x v="0"/>
    <s v=" Mauritz Hakan Bjornstrom-Steffansson"/>
    <x v="0"/>
    <n v="28"/>
    <x v="1"/>
    <x v="0"/>
    <x v="1"/>
    <n v="26.55"/>
    <n v="0"/>
    <x v="17"/>
    <x v="0"/>
    <x v="11"/>
  </r>
  <r>
    <n v="429"/>
    <n v="1"/>
    <x v="1"/>
    <x v="1"/>
    <s v=" Percival (Florence Kate White) Thorneycroft"/>
    <x v="1"/>
    <n v="33"/>
    <x v="0"/>
    <x v="0"/>
    <x v="0"/>
    <n v="16.100000000000001"/>
    <n v="1"/>
    <x v="43"/>
    <x v="0"/>
    <x v="93"/>
  </r>
  <r>
    <n v="430"/>
    <n v="1"/>
    <x v="1"/>
    <x v="1"/>
    <s v=" Charles Alexander (Alice Adelaide Slow) Louch"/>
    <x v="1"/>
    <n v="42"/>
    <x v="0"/>
    <x v="0"/>
    <x v="2"/>
    <n v="26"/>
    <n v="1"/>
    <x v="25"/>
    <x v="0"/>
    <x v="19"/>
  </r>
  <r>
    <n v="431"/>
    <n v="0"/>
    <x v="0"/>
    <x v="0"/>
    <s v=" Nikolai Erland Kallio"/>
    <x v="0"/>
    <n v="17"/>
    <x v="1"/>
    <x v="0"/>
    <x v="0"/>
    <n v="7.125"/>
    <n v="0"/>
    <x v="39"/>
    <x v="0"/>
    <x v="120"/>
  </r>
  <r>
    <n v="432"/>
    <n v="0"/>
    <x v="0"/>
    <x v="0"/>
    <s v=" William Baird Silvey"/>
    <x v="0"/>
    <n v="50"/>
    <x v="0"/>
    <x v="0"/>
    <x v="1"/>
    <n v="55.9"/>
    <n v="0"/>
    <x v="56"/>
    <x v="0"/>
    <x v="170"/>
  </r>
  <r>
    <n v="433"/>
    <n v="1"/>
    <x v="1"/>
    <x v="2"/>
    <s v=" Lucile Polk Carter"/>
    <x v="1"/>
    <n v="14"/>
    <x v="0"/>
    <x v="2"/>
    <x v="1"/>
    <n v="120"/>
    <n v="1"/>
    <x v="7"/>
    <x v="1"/>
    <x v="164"/>
  </r>
  <r>
    <n v="434"/>
    <n v="0"/>
    <x v="0"/>
    <x v="2"/>
    <s v=" Doolina Margaret Ford"/>
    <x v="1"/>
    <n v="21"/>
    <x v="4"/>
    <x v="2"/>
    <x v="0"/>
    <n v="34.375"/>
    <n v="1"/>
    <x v="26"/>
    <x v="0"/>
    <x v="62"/>
  </r>
  <r>
    <n v="435"/>
    <n v="1"/>
    <x v="1"/>
    <x v="1"/>
    <s v=" Sidney (Emily Hocking) Richards"/>
    <x v="1"/>
    <n v="24"/>
    <x v="4"/>
    <x v="4"/>
    <x v="2"/>
    <n v="18.75"/>
    <n v="1"/>
    <x v="20"/>
    <x v="0"/>
    <x v="166"/>
  </r>
  <r>
    <n v="436"/>
    <n v="0"/>
    <x v="0"/>
    <x v="0"/>
    <s v=" Mark Fortune"/>
    <x v="0"/>
    <n v="64"/>
    <x v="0"/>
    <x v="5"/>
    <x v="1"/>
    <n v="263"/>
    <n v="0"/>
    <x v="38"/>
    <x v="0"/>
    <x v="23"/>
  </r>
  <r>
    <n v="437"/>
    <n v="0"/>
    <x v="0"/>
    <x v="0"/>
    <s v=" Johan Henrik Johannesson Kvillner"/>
    <x v="0"/>
    <n v="31"/>
    <x v="1"/>
    <x v="0"/>
    <x v="2"/>
    <n v="10.5"/>
    <n v="0"/>
    <x v="14"/>
    <x v="0"/>
    <x v="29"/>
  </r>
  <r>
    <n v="438"/>
    <n v="1"/>
    <x v="1"/>
    <x v="1"/>
    <s v=" Benjamin (Esther Ada Bloomfield) Hart"/>
    <x v="1"/>
    <n v="45"/>
    <x v="0"/>
    <x v="1"/>
    <x v="2"/>
    <n v="26.25"/>
    <n v="1"/>
    <x v="37"/>
    <x v="0"/>
    <x v="118"/>
  </r>
  <r>
    <n v="439"/>
    <n v="0"/>
    <x v="0"/>
    <x v="0"/>
    <s v=" Leon Hampe"/>
    <x v="0"/>
    <n v="20"/>
    <x v="1"/>
    <x v="0"/>
    <x v="0"/>
    <n v="9.5"/>
    <n v="0"/>
    <x v="10"/>
    <x v="0"/>
    <x v="58"/>
  </r>
  <r>
    <n v="440"/>
    <n v="0"/>
    <x v="0"/>
    <x v="0"/>
    <s v=" Johan Emil Petterson"/>
    <x v="0"/>
    <n v="25"/>
    <x v="0"/>
    <x v="0"/>
    <x v="0"/>
    <n v="7.7750000000000004"/>
    <n v="0"/>
    <x v="41"/>
    <x v="0"/>
    <x v="70"/>
  </r>
  <r>
    <n v="441"/>
    <n v="1"/>
    <x v="1"/>
    <x v="8"/>
    <s v=" Encarnacion Reynaldo"/>
    <x v="1"/>
    <n v="28"/>
    <x v="1"/>
    <x v="0"/>
    <x v="2"/>
    <n v="13"/>
    <n v="1"/>
    <x v="17"/>
    <x v="0"/>
    <x v="16"/>
  </r>
  <r>
    <n v="442"/>
    <n v="1"/>
    <x v="1"/>
    <x v="0"/>
    <s v=" Bernt Johannesen-Bratthammer"/>
    <x v="0"/>
    <n v="29"/>
    <x v="1"/>
    <x v="0"/>
    <x v="0"/>
    <n v="8.1125000000000007"/>
    <n v="0"/>
    <x v="32"/>
    <x v="0"/>
    <x v="171"/>
  </r>
  <r>
    <n v="443"/>
    <n v="1"/>
    <x v="1"/>
    <x v="3"/>
    <s v=" Washington Dodge"/>
    <x v="0"/>
    <n v="4"/>
    <x v="1"/>
    <x v="2"/>
    <x v="1"/>
    <n v="81.8583"/>
    <n v="0"/>
    <x v="8"/>
    <x v="1"/>
    <x v="172"/>
  </r>
  <r>
    <n v="444"/>
    <n v="1"/>
    <x v="1"/>
    <x v="2"/>
    <s v=" Madeleine Violet Mellinger"/>
    <x v="1"/>
    <n v="13"/>
    <x v="1"/>
    <x v="1"/>
    <x v="2"/>
    <n v="19.5"/>
    <n v="1"/>
    <x v="64"/>
    <x v="1"/>
    <x v="128"/>
  </r>
  <r>
    <n v="445"/>
    <n v="1"/>
    <x v="1"/>
    <x v="0"/>
    <s v=" Frederic Kimber Seward"/>
    <x v="0"/>
    <n v="34"/>
    <x v="1"/>
    <x v="0"/>
    <x v="1"/>
    <n v="26.55"/>
    <n v="0"/>
    <x v="15"/>
    <x v="0"/>
    <x v="11"/>
  </r>
  <r>
    <n v="446"/>
    <n v="1"/>
    <x v="1"/>
    <x v="2"/>
    <s v=" Marie Catherine Baclini"/>
    <x v="1"/>
    <n v="5"/>
    <x v="4"/>
    <x v="1"/>
    <x v="0"/>
    <n v="19.258299999999998"/>
    <n v="1"/>
    <x v="35"/>
    <x v="1"/>
    <x v="173"/>
  </r>
  <r>
    <n v="447"/>
    <n v="1"/>
    <x v="1"/>
    <x v="9"/>
    <s v=" Arthur Godfrey Peuchen"/>
    <x v="0"/>
    <n v="52"/>
    <x v="1"/>
    <x v="0"/>
    <x v="1"/>
    <n v="30.5"/>
    <n v="0"/>
    <x v="59"/>
    <x v="0"/>
    <x v="137"/>
  </r>
  <r>
    <n v="448"/>
    <n v="0"/>
    <x v="0"/>
    <x v="0"/>
    <s v=" Edwy Arthur West"/>
    <x v="0"/>
    <n v="36"/>
    <x v="0"/>
    <x v="2"/>
    <x v="2"/>
    <n v="27.75"/>
    <n v="0"/>
    <x v="57"/>
    <x v="0"/>
    <x v="43"/>
  </r>
  <r>
    <n v="449"/>
    <n v="0"/>
    <x v="0"/>
    <x v="0"/>
    <s v=" Ingvald Olai Olsen Hagland"/>
    <x v="0"/>
    <n v="28"/>
    <x v="0"/>
    <x v="0"/>
    <x v="0"/>
    <n v="19.966699999999999"/>
    <n v="0"/>
    <x v="17"/>
    <x v="0"/>
    <x v="174"/>
  </r>
  <r>
    <n v="450"/>
    <n v="0"/>
    <x v="0"/>
    <x v="0"/>
    <s v=" Benjamin Laventall Foreman"/>
    <x v="0"/>
    <n v="30"/>
    <x v="1"/>
    <x v="0"/>
    <x v="1"/>
    <n v="27.75"/>
    <n v="0"/>
    <x v="28"/>
    <x v="0"/>
    <x v="43"/>
  </r>
  <r>
    <n v="451"/>
    <n v="1"/>
    <x v="1"/>
    <x v="0"/>
    <s v=" Samuel L Goldenberg"/>
    <x v="0"/>
    <n v="49"/>
    <x v="0"/>
    <x v="0"/>
    <x v="1"/>
    <n v="89.104200000000006"/>
    <n v="0"/>
    <x v="31"/>
    <x v="0"/>
    <x v="175"/>
  </r>
  <r>
    <n v="452"/>
    <n v="0"/>
    <x v="0"/>
    <x v="0"/>
    <s v=" Joseph Peduzzi"/>
    <x v="0"/>
    <n v="24"/>
    <x v="1"/>
    <x v="0"/>
    <x v="0"/>
    <n v="8.0500000000000007"/>
    <n v="0"/>
    <x v="20"/>
    <x v="0"/>
    <x v="4"/>
  </r>
  <r>
    <n v="453"/>
    <n v="1"/>
    <x v="1"/>
    <x v="0"/>
    <s v=" Ivan Jalsevac"/>
    <x v="0"/>
    <n v="29"/>
    <x v="1"/>
    <x v="0"/>
    <x v="0"/>
    <n v="7.8958000000000004"/>
    <n v="0"/>
    <x v="32"/>
    <x v="0"/>
    <x v="25"/>
  </r>
  <r>
    <n v="454"/>
    <n v="0"/>
    <x v="0"/>
    <x v="0"/>
    <s v=" Francis Davis Millet"/>
    <x v="0"/>
    <n v="65"/>
    <x v="1"/>
    <x v="0"/>
    <x v="1"/>
    <n v="26.55"/>
    <n v="0"/>
    <x v="33"/>
    <x v="0"/>
    <x v="11"/>
  </r>
  <r>
    <n v="455"/>
    <n v="1"/>
    <x v="1"/>
    <x v="1"/>
    <s v=" Frederick R (Marion) Kenyon"/>
    <x v="1"/>
    <n v="41"/>
    <x v="0"/>
    <x v="0"/>
    <x v="1"/>
    <n v="51.862499999999997"/>
    <n v="1"/>
    <x v="52"/>
    <x v="0"/>
    <x v="6"/>
  </r>
  <r>
    <n v="456"/>
    <n v="1"/>
    <x v="1"/>
    <x v="2"/>
    <s v=" Ellen Toomey"/>
    <x v="1"/>
    <n v="50"/>
    <x v="1"/>
    <x v="0"/>
    <x v="2"/>
    <n v="10.5"/>
    <n v="1"/>
    <x v="56"/>
    <x v="0"/>
    <x v="29"/>
  </r>
  <r>
    <n v="457"/>
    <n v="0"/>
    <x v="0"/>
    <x v="0"/>
    <s v=" Maurice O'Connor"/>
    <x v="0"/>
    <n v="17"/>
    <x v="1"/>
    <x v="0"/>
    <x v="0"/>
    <n v="7.75"/>
    <n v="0"/>
    <x v="39"/>
    <x v="0"/>
    <x v="28"/>
  </r>
  <r>
    <n v="458"/>
    <n v="1"/>
    <x v="1"/>
    <x v="0"/>
    <s v=" Harry Anderson"/>
    <x v="0"/>
    <n v="48"/>
    <x v="1"/>
    <x v="0"/>
    <x v="1"/>
    <n v="26.55"/>
    <n v="0"/>
    <x v="22"/>
    <x v="0"/>
    <x v="11"/>
  </r>
  <r>
    <n v="459"/>
    <n v="0"/>
    <x v="0"/>
    <x v="0"/>
    <s v=" William Morley"/>
    <x v="0"/>
    <n v="34"/>
    <x v="1"/>
    <x v="0"/>
    <x v="0"/>
    <n v="8.0500000000000007"/>
    <n v="0"/>
    <x v="15"/>
    <x v="0"/>
    <x v="4"/>
  </r>
  <r>
    <n v="460"/>
    <n v="0"/>
    <x v="0"/>
    <x v="0"/>
    <s v=" Arthur H Gee"/>
    <x v="0"/>
    <n v="47"/>
    <x v="1"/>
    <x v="0"/>
    <x v="1"/>
    <n v="38.5"/>
    <n v="0"/>
    <x v="47"/>
    <x v="0"/>
    <x v="176"/>
  </r>
  <r>
    <n v="461"/>
    <n v="0"/>
    <x v="0"/>
    <x v="0"/>
    <s v=" Jacob Christian Milling"/>
    <x v="0"/>
    <n v="48"/>
    <x v="1"/>
    <x v="0"/>
    <x v="2"/>
    <n v="13"/>
    <n v="0"/>
    <x v="22"/>
    <x v="0"/>
    <x v="16"/>
  </r>
  <r>
    <n v="462"/>
    <n v="0"/>
    <x v="0"/>
    <x v="0"/>
    <s v=" Simon Maisner"/>
    <x v="0"/>
    <n v="34"/>
    <x v="1"/>
    <x v="0"/>
    <x v="0"/>
    <n v="8.0500000000000007"/>
    <n v="0"/>
    <x v="15"/>
    <x v="0"/>
    <x v="4"/>
  </r>
  <r>
    <n v="463"/>
    <n v="0"/>
    <x v="0"/>
    <x v="0"/>
    <s v=" Manuel Estanslas Goncalves"/>
    <x v="0"/>
    <n v="38"/>
    <x v="1"/>
    <x v="0"/>
    <x v="0"/>
    <n v="7.05"/>
    <n v="0"/>
    <x v="1"/>
    <x v="0"/>
    <x v="78"/>
  </r>
  <r>
    <n v="464"/>
    <n v="0"/>
    <x v="0"/>
    <x v="0"/>
    <s v=" William Campbell"/>
    <x v="0"/>
    <n v="21"/>
    <x v="1"/>
    <x v="0"/>
    <x v="2"/>
    <n v="0"/>
    <n v="0"/>
    <x v="26"/>
    <x v="0"/>
    <x v="102"/>
  </r>
  <r>
    <n v="465"/>
    <n v="0"/>
    <x v="0"/>
    <x v="0"/>
    <s v=" John Montgomery Smart"/>
    <x v="0"/>
    <n v="56"/>
    <x v="1"/>
    <x v="0"/>
    <x v="1"/>
    <n v="26.55"/>
    <n v="0"/>
    <x v="51"/>
    <x v="0"/>
    <x v="11"/>
  </r>
  <r>
    <n v="466"/>
    <n v="0"/>
    <x v="0"/>
    <x v="0"/>
    <s v=" James Scanlan"/>
    <x v="0"/>
    <n v="22"/>
    <x v="1"/>
    <x v="0"/>
    <x v="0"/>
    <n v="7.7249999999999996"/>
    <n v="0"/>
    <x v="0"/>
    <x v="0"/>
    <x v="91"/>
  </r>
  <r>
    <n v="467"/>
    <n v="1"/>
    <x v="1"/>
    <x v="2"/>
    <s v=" Helene Barbara Baclini"/>
    <x v="1"/>
    <n v="0.75"/>
    <x v="4"/>
    <x v="1"/>
    <x v="0"/>
    <n v="19.258299999999998"/>
    <n v="1"/>
    <x v="42"/>
    <x v="1"/>
    <x v="173"/>
  </r>
  <r>
    <n v="468"/>
    <n v="0"/>
    <x v="0"/>
    <x v="0"/>
    <s v=" Arthur Keefe"/>
    <x v="0"/>
    <n v="39"/>
    <x v="1"/>
    <x v="0"/>
    <x v="0"/>
    <n v="7.25"/>
    <n v="0"/>
    <x v="11"/>
    <x v="0"/>
    <x v="0"/>
  </r>
  <r>
    <n v="469"/>
    <n v="0"/>
    <x v="0"/>
    <x v="0"/>
    <s v=" Luka Cacic"/>
    <x v="0"/>
    <n v="38"/>
    <x v="1"/>
    <x v="0"/>
    <x v="0"/>
    <n v="8.6624999999999996"/>
    <n v="0"/>
    <x v="1"/>
    <x v="0"/>
    <x v="50"/>
  </r>
  <r>
    <n v="470"/>
    <n v="1"/>
    <x v="1"/>
    <x v="1"/>
    <s v=" Edwy Arthur (Ada Mary Worth) West"/>
    <x v="1"/>
    <n v="33"/>
    <x v="0"/>
    <x v="2"/>
    <x v="2"/>
    <n v="27.75"/>
    <n v="1"/>
    <x v="43"/>
    <x v="0"/>
    <x v="43"/>
  </r>
  <r>
    <n v="471"/>
    <n v="1"/>
    <x v="1"/>
    <x v="1"/>
    <s v=" Amin S (Marie Marthe Thuillard) Jerwan"/>
    <x v="1"/>
    <n v="23"/>
    <x v="1"/>
    <x v="0"/>
    <x v="2"/>
    <n v="13.791700000000001"/>
    <n v="1"/>
    <x v="13"/>
    <x v="0"/>
    <x v="177"/>
  </r>
  <r>
    <n v="472"/>
    <n v="0"/>
    <x v="0"/>
    <x v="2"/>
    <s v=" Ida Sofia Strandberg"/>
    <x v="1"/>
    <n v="22"/>
    <x v="1"/>
    <x v="0"/>
    <x v="0"/>
    <n v="9.8375000000000004"/>
    <n v="1"/>
    <x v="0"/>
    <x v="0"/>
    <x v="178"/>
  </r>
  <r>
    <n v="473"/>
    <n v="0"/>
    <x v="0"/>
    <x v="0"/>
    <s v=" George Quincy Clifford"/>
    <x v="0"/>
    <n v="40"/>
    <x v="1"/>
    <x v="0"/>
    <x v="1"/>
    <n v="52"/>
    <n v="0"/>
    <x v="21"/>
    <x v="0"/>
    <x v="31"/>
  </r>
  <r>
    <n v="474"/>
    <n v="0"/>
    <x v="0"/>
    <x v="0"/>
    <s v=" Peter Henry Renouf"/>
    <x v="0"/>
    <n v="34"/>
    <x v="0"/>
    <x v="0"/>
    <x v="2"/>
    <n v="21"/>
    <n v="0"/>
    <x v="15"/>
    <x v="0"/>
    <x v="34"/>
  </r>
  <r>
    <n v="475"/>
    <n v="0"/>
    <x v="0"/>
    <x v="0"/>
    <s v=" Lewis Richard Braund"/>
    <x v="0"/>
    <n v="29"/>
    <x v="0"/>
    <x v="0"/>
    <x v="0"/>
    <n v="7.0457999999999998"/>
    <n v="0"/>
    <x v="32"/>
    <x v="0"/>
    <x v="78"/>
  </r>
  <r>
    <n v="476"/>
    <n v="0"/>
    <x v="0"/>
    <x v="0"/>
    <s v=" Nils August Karlsson"/>
    <x v="0"/>
    <n v="22"/>
    <x v="1"/>
    <x v="0"/>
    <x v="0"/>
    <n v="7.5208000000000004"/>
    <n v="0"/>
    <x v="0"/>
    <x v="0"/>
    <x v="179"/>
  </r>
  <r>
    <n v="477"/>
    <n v="1"/>
    <x v="1"/>
    <x v="2"/>
    <s v=" Hildur E Hirvonen"/>
    <x v="1"/>
    <n v="2"/>
    <x v="1"/>
    <x v="1"/>
    <x v="0"/>
    <n v="12.2875"/>
    <n v="1"/>
    <x v="6"/>
    <x v="1"/>
    <x v="180"/>
  </r>
  <r>
    <n v="478"/>
    <n v="0"/>
    <x v="0"/>
    <x v="3"/>
    <s v=" Harold Victor Goodwin"/>
    <x v="0"/>
    <n v="9"/>
    <x v="5"/>
    <x v="2"/>
    <x v="0"/>
    <n v="46.9"/>
    <n v="0"/>
    <x v="49"/>
    <x v="1"/>
    <x v="44"/>
  </r>
  <r>
    <n v="479"/>
    <n v="0"/>
    <x v="0"/>
    <x v="0"/>
    <s v=" Anthony Wood Frost"/>
    <x v="0"/>
    <n v="37"/>
    <x v="1"/>
    <x v="0"/>
    <x v="2"/>
    <n v="0"/>
    <n v="0"/>
    <x v="46"/>
    <x v="0"/>
    <x v="102"/>
  </r>
  <r>
    <n v="480"/>
    <n v="0"/>
    <x v="0"/>
    <x v="0"/>
    <s v=" Richard Henry Rouse"/>
    <x v="0"/>
    <n v="50"/>
    <x v="1"/>
    <x v="0"/>
    <x v="0"/>
    <n v="8.0500000000000007"/>
    <n v="0"/>
    <x v="56"/>
    <x v="0"/>
    <x v="4"/>
  </r>
  <r>
    <n v="481"/>
    <n v="1"/>
    <x v="1"/>
    <x v="1"/>
    <s v=" (Hedwig) Turkula"/>
    <x v="1"/>
    <n v="63"/>
    <x v="1"/>
    <x v="0"/>
    <x v="0"/>
    <n v="9.5875000000000004"/>
    <n v="1"/>
    <x v="60"/>
    <x v="0"/>
    <x v="181"/>
  </r>
  <r>
    <n v="482"/>
    <n v="1"/>
    <x v="1"/>
    <x v="0"/>
    <s v=" Dickinson H Bishop"/>
    <x v="0"/>
    <n v="25"/>
    <x v="0"/>
    <x v="0"/>
    <x v="1"/>
    <n v="91.0792"/>
    <n v="0"/>
    <x v="41"/>
    <x v="0"/>
    <x v="133"/>
  </r>
  <r>
    <n v="483"/>
    <n v="0"/>
    <x v="0"/>
    <x v="2"/>
    <s v=" Jeannie Lefebre"/>
    <x v="1"/>
    <n v="8"/>
    <x v="2"/>
    <x v="1"/>
    <x v="0"/>
    <n v="25.466699999999999"/>
    <n v="1"/>
    <x v="18"/>
    <x v="1"/>
    <x v="100"/>
  </r>
  <r>
    <n v="484"/>
    <n v="1"/>
    <x v="1"/>
    <x v="1"/>
    <s v=" Frederick Maxfield (Jane Anne Forby) Hoyt"/>
    <x v="1"/>
    <n v="35"/>
    <x v="0"/>
    <x v="0"/>
    <x v="1"/>
    <n v="90"/>
    <n v="1"/>
    <x v="3"/>
    <x v="0"/>
    <x v="114"/>
  </r>
  <r>
    <n v="485"/>
    <n v="0"/>
    <x v="0"/>
    <x v="0"/>
    <s v=" Edward Austin Kent"/>
    <x v="0"/>
    <n v="58"/>
    <x v="1"/>
    <x v="0"/>
    <x v="1"/>
    <n v="29.7"/>
    <n v="0"/>
    <x v="9"/>
    <x v="0"/>
    <x v="129"/>
  </r>
  <r>
    <n v="486"/>
    <n v="0"/>
    <x v="0"/>
    <x v="0"/>
    <s v=" Francis William Somerton"/>
    <x v="0"/>
    <n v="30"/>
    <x v="1"/>
    <x v="0"/>
    <x v="0"/>
    <n v="8.0500000000000007"/>
    <n v="0"/>
    <x v="28"/>
    <x v="0"/>
    <x v="4"/>
  </r>
  <r>
    <n v="487"/>
    <n v="1"/>
    <x v="1"/>
    <x v="3"/>
    <s v=" Eden Leslie Coutts"/>
    <x v="0"/>
    <n v="9"/>
    <x v="0"/>
    <x v="1"/>
    <x v="0"/>
    <n v="15.9"/>
    <n v="0"/>
    <x v="49"/>
    <x v="1"/>
    <x v="153"/>
  </r>
  <r>
    <n v="488"/>
    <n v="0"/>
    <x v="0"/>
    <x v="0"/>
    <s v=" Konrad Mathias Reiersen Hagland"/>
    <x v="0"/>
    <n v="19"/>
    <x v="0"/>
    <x v="0"/>
    <x v="0"/>
    <n v="19.966699999999999"/>
    <n v="0"/>
    <x v="19"/>
    <x v="0"/>
    <x v="174"/>
  </r>
  <r>
    <n v="489"/>
    <n v="0"/>
    <x v="0"/>
    <x v="0"/>
    <s v=" Einar Windelov"/>
    <x v="0"/>
    <n v="21"/>
    <x v="1"/>
    <x v="0"/>
    <x v="0"/>
    <n v="7.25"/>
    <n v="0"/>
    <x v="26"/>
    <x v="0"/>
    <x v="0"/>
  </r>
  <r>
    <n v="490"/>
    <n v="0"/>
    <x v="0"/>
    <x v="0"/>
    <s v=" Harry Markland Molson"/>
    <x v="0"/>
    <n v="55"/>
    <x v="1"/>
    <x v="0"/>
    <x v="1"/>
    <n v="30.5"/>
    <n v="0"/>
    <x v="12"/>
    <x v="0"/>
    <x v="137"/>
  </r>
  <r>
    <n v="491"/>
    <n v="0"/>
    <x v="0"/>
    <x v="0"/>
    <s v=" Ramon Artagaveytia"/>
    <x v="0"/>
    <n v="71"/>
    <x v="1"/>
    <x v="0"/>
    <x v="1"/>
    <n v="49.504199999999997"/>
    <n v="0"/>
    <x v="45"/>
    <x v="0"/>
    <x v="182"/>
  </r>
  <r>
    <n v="492"/>
    <n v="0"/>
    <x v="0"/>
    <x v="0"/>
    <s v=" Edward Roland Stanley"/>
    <x v="0"/>
    <n v="21"/>
    <x v="1"/>
    <x v="0"/>
    <x v="0"/>
    <n v="8.0500000000000007"/>
    <n v="0"/>
    <x v="26"/>
    <x v="0"/>
    <x v="4"/>
  </r>
  <r>
    <n v="493"/>
    <n v="0"/>
    <x v="0"/>
    <x v="0"/>
    <s v=" Gerious Yousseff"/>
    <x v="0"/>
    <n v="26"/>
    <x v="1"/>
    <x v="0"/>
    <x v="0"/>
    <n v="14.458299999999999"/>
    <n v="0"/>
    <x v="2"/>
    <x v="0"/>
    <x v="73"/>
  </r>
  <r>
    <n v="494"/>
    <n v="1"/>
    <x v="1"/>
    <x v="2"/>
    <s v=" Elizabeth Mussey Eustis"/>
    <x v="1"/>
    <n v="54"/>
    <x v="0"/>
    <x v="0"/>
    <x v="1"/>
    <n v="78.2667"/>
    <n v="1"/>
    <x v="5"/>
    <x v="0"/>
    <x v="183"/>
  </r>
  <r>
    <n v="495"/>
    <n v="0"/>
    <x v="0"/>
    <x v="0"/>
    <s v=" Frederick William Shellard"/>
    <x v="0"/>
    <n v="55"/>
    <x v="1"/>
    <x v="0"/>
    <x v="0"/>
    <n v="15.1"/>
    <n v="0"/>
    <x v="12"/>
    <x v="0"/>
    <x v="184"/>
  </r>
  <r>
    <n v="496"/>
    <n v="0"/>
    <x v="0"/>
    <x v="1"/>
    <s v=" Hudson J C (Bessie Waldo Daniels) Allison"/>
    <x v="1"/>
    <n v="25"/>
    <x v="0"/>
    <x v="2"/>
    <x v="1"/>
    <n v="151.55000000000001"/>
    <n v="1"/>
    <x v="41"/>
    <x v="0"/>
    <x v="136"/>
  </r>
  <r>
    <n v="497"/>
    <n v="0"/>
    <x v="0"/>
    <x v="0"/>
    <s v=" Olof Svensson"/>
    <x v="0"/>
    <n v="24"/>
    <x v="1"/>
    <x v="0"/>
    <x v="0"/>
    <n v="7.7957999999999998"/>
    <n v="0"/>
    <x v="20"/>
    <x v="0"/>
    <x v="40"/>
  </r>
  <r>
    <n v="498"/>
    <n v="0"/>
    <x v="0"/>
    <x v="0"/>
    <s v=" Petar Calic"/>
    <x v="0"/>
    <n v="17"/>
    <x v="1"/>
    <x v="0"/>
    <x v="0"/>
    <n v="8.6624999999999996"/>
    <n v="0"/>
    <x v="39"/>
    <x v="0"/>
    <x v="50"/>
  </r>
  <r>
    <n v="499"/>
    <n v="0"/>
    <x v="0"/>
    <x v="2"/>
    <s v=" Mary Canavan"/>
    <x v="1"/>
    <n v="21"/>
    <x v="1"/>
    <x v="0"/>
    <x v="0"/>
    <n v="7.75"/>
    <n v="1"/>
    <x v="26"/>
    <x v="0"/>
    <x v="28"/>
  </r>
  <r>
    <n v="500"/>
    <n v="0"/>
    <x v="0"/>
    <x v="2"/>
    <s v=" Bridget Mary O'Sullivan"/>
    <x v="1"/>
    <n v="21"/>
    <x v="1"/>
    <x v="0"/>
    <x v="0"/>
    <n v="7.6292"/>
    <n v="1"/>
    <x v="26"/>
    <x v="0"/>
    <x v="185"/>
  </r>
  <r>
    <n v="501"/>
    <n v="0"/>
    <x v="0"/>
    <x v="2"/>
    <s v=" Kristina Sofia Laitinen"/>
    <x v="1"/>
    <n v="37"/>
    <x v="1"/>
    <x v="0"/>
    <x v="0"/>
    <n v="9.5875000000000004"/>
    <n v="1"/>
    <x v="46"/>
    <x v="0"/>
    <x v="181"/>
  </r>
  <r>
    <n v="502"/>
    <n v="1"/>
    <x v="1"/>
    <x v="2"/>
    <s v=" Roberta Maioni"/>
    <x v="1"/>
    <n v="16"/>
    <x v="1"/>
    <x v="0"/>
    <x v="1"/>
    <n v="86.5"/>
    <n v="1"/>
    <x v="29"/>
    <x v="1"/>
    <x v="123"/>
  </r>
  <r>
    <n v="503"/>
    <n v="0"/>
    <x v="0"/>
    <x v="0"/>
    <s v=" Victor de Satode Penasco y Castellana"/>
    <x v="0"/>
    <n v="18"/>
    <x v="0"/>
    <x v="0"/>
    <x v="1"/>
    <n v="108.9"/>
    <n v="0"/>
    <x v="23"/>
    <x v="0"/>
    <x v="141"/>
  </r>
  <r>
    <n v="504"/>
    <n v="1"/>
    <x v="1"/>
    <x v="1"/>
    <s v=" Frederick Charles (Jane Richards) Quick"/>
    <x v="1"/>
    <n v="33"/>
    <x v="1"/>
    <x v="2"/>
    <x v="2"/>
    <n v="26"/>
    <n v="1"/>
    <x v="43"/>
    <x v="0"/>
    <x v="19"/>
  </r>
  <r>
    <n v="505"/>
    <n v="1"/>
    <x v="1"/>
    <x v="0"/>
    <s v=" George Bradley"/>
    <x v="0"/>
    <n v="37"/>
    <x v="1"/>
    <x v="0"/>
    <x v="1"/>
    <n v="26.55"/>
    <n v="0"/>
    <x v="46"/>
    <x v="0"/>
    <x v="11"/>
  </r>
  <r>
    <n v="506"/>
    <n v="0"/>
    <x v="0"/>
    <x v="0"/>
    <s v=" Henry Margido Olsen"/>
    <x v="0"/>
    <n v="28"/>
    <x v="1"/>
    <x v="0"/>
    <x v="0"/>
    <n v="22.524999999999999"/>
    <n v="0"/>
    <x v="17"/>
    <x v="0"/>
    <x v="186"/>
  </r>
  <r>
    <n v="507"/>
    <n v="1"/>
    <x v="1"/>
    <x v="0"/>
    <s v=" Fang Lang"/>
    <x v="0"/>
    <n v="26"/>
    <x v="1"/>
    <x v="0"/>
    <x v="0"/>
    <n v="56.495800000000003"/>
    <n v="0"/>
    <x v="2"/>
    <x v="0"/>
    <x v="53"/>
  </r>
  <r>
    <n v="508"/>
    <n v="1"/>
    <x v="1"/>
    <x v="0"/>
    <s v=" Eugene Patrick Daly"/>
    <x v="0"/>
    <n v="29"/>
    <x v="1"/>
    <x v="0"/>
    <x v="0"/>
    <n v="7.75"/>
    <n v="0"/>
    <x v="32"/>
    <x v="0"/>
    <x v="28"/>
  </r>
  <r>
    <n v="509"/>
    <n v="0"/>
    <x v="0"/>
    <x v="0"/>
    <s v=" James Webber"/>
    <x v="0"/>
    <n v="66"/>
    <x v="1"/>
    <x v="0"/>
    <x v="0"/>
    <n v="8.0500000000000007"/>
    <n v="0"/>
    <x v="24"/>
    <x v="0"/>
    <x v="4"/>
  </r>
  <r>
    <n v="510"/>
    <n v="1"/>
    <x v="1"/>
    <x v="0"/>
    <s v=" James Robert McGough"/>
    <x v="0"/>
    <n v="36"/>
    <x v="1"/>
    <x v="0"/>
    <x v="1"/>
    <n v="26.287500000000001"/>
    <n v="0"/>
    <x v="57"/>
    <x v="0"/>
    <x v="187"/>
  </r>
  <r>
    <n v="511"/>
    <n v="1"/>
    <x v="1"/>
    <x v="1"/>
    <s v=" Martin (Elizabeth L"/>
    <x v="1"/>
    <n v="54"/>
    <x v="0"/>
    <x v="0"/>
    <x v="1"/>
    <n v="59.4"/>
    <n v="1"/>
    <x v="5"/>
    <x v="0"/>
    <x v="188"/>
  </r>
  <r>
    <n v="512"/>
    <n v="0"/>
    <x v="0"/>
    <x v="0"/>
    <s v=" Satio Coleff"/>
    <x v="0"/>
    <n v="24"/>
    <x v="1"/>
    <x v="0"/>
    <x v="0"/>
    <n v="7.4958"/>
    <n v="0"/>
    <x v="20"/>
    <x v="0"/>
    <x v="189"/>
  </r>
  <r>
    <n v="513"/>
    <n v="0"/>
    <x v="0"/>
    <x v="0"/>
    <s v=" William Anderson Walker"/>
    <x v="0"/>
    <n v="47"/>
    <x v="1"/>
    <x v="0"/>
    <x v="1"/>
    <n v="34.020800000000001"/>
    <n v="0"/>
    <x v="47"/>
    <x v="0"/>
    <x v="190"/>
  </r>
  <r>
    <n v="514"/>
    <n v="1"/>
    <x v="1"/>
    <x v="1"/>
    <s v=" (Amelia Milley) Lemore"/>
    <x v="1"/>
    <n v="34"/>
    <x v="1"/>
    <x v="0"/>
    <x v="2"/>
    <n v="10.5"/>
    <n v="1"/>
    <x v="15"/>
    <x v="0"/>
    <x v="29"/>
  </r>
  <r>
    <n v="515"/>
    <n v="0"/>
    <x v="0"/>
    <x v="0"/>
    <s v=" Patrick Ryan"/>
    <x v="0"/>
    <n v="30"/>
    <x v="1"/>
    <x v="0"/>
    <x v="0"/>
    <n v="24.15"/>
    <n v="0"/>
    <x v="28"/>
    <x v="0"/>
    <x v="71"/>
  </r>
  <r>
    <n v="516"/>
    <n v="1"/>
    <x v="1"/>
    <x v="1"/>
    <s v=" William A (Florence Agnes Hughes) Angle"/>
    <x v="1"/>
    <n v="36"/>
    <x v="0"/>
    <x v="0"/>
    <x v="2"/>
    <n v="26"/>
    <n v="1"/>
    <x v="57"/>
    <x v="0"/>
    <x v="19"/>
  </r>
  <r>
    <n v="517"/>
    <n v="0"/>
    <x v="0"/>
    <x v="0"/>
    <s v=" Stefo Pavlovic"/>
    <x v="0"/>
    <n v="32"/>
    <x v="1"/>
    <x v="0"/>
    <x v="0"/>
    <n v="7.8958000000000004"/>
    <n v="0"/>
    <x v="40"/>
    <x v="0"/>
    <x v="25"/>
  </r>
  <r>
    <n v="518"/>
    <n v="1"/>
    <x v="1"/>
    <x v="2"/>
    <s v=" Anne Perreault"/>
    <x v="1"/>
    <n v="30"/>
    <x v="1"/>
    <x v="0"/>
    <x v="1"/>
    <n v="93.5"/>
    <n v="1"/>
    <x v="28"/>
    <x v="0"/>
    <x v="191"/>
  </r>
  <r>
    <n v="519"/>
    <n v="0"/>
    <x v="0"/>
    <x v="0"/>
    <s v=" Janko Vovk"/>
    <x v="0"/>
    <n v="22"/>
    <x v="1"/>
    <x v="0"/>
    <x v="0"/>
    <n v="7.8958000000000004"/>
    <n v="0"/>
    <x v="0"/>
    <x v="0"/>
    <x v="25"/>
  </r>
  <r>
    <n v="520"/>
    <n v="0"/>
    <x v="0"/>
    <x v="0"/>
    <s v=" Sarkis Lahoud"/>
    <x v="0"/>
    <n v="35"/>
    <x v="1"/>
    <x v="0"/>
    <x v="0"/>
    <n v="7.2249999999999996"/>
    <n v="0"/>
    <x v="3"/>
    <x v="0"/>
    <x v="18"/>
  </r>
  <r>
    <n v="521"/>
    <n v="1"/>
    <x v="1"/>
    <x v="1"/>
    <s v=" Louis Albert (Ida Sophia Fischer) Hippach"/>
    <x v="1"/>
    <n v="44"/>
    <x v="1"/>
    <x v="1"/>
    <x v="1"/>
    <n v="57.979199999999999"/>
    <n v="1"/>
    <x v="53"/>
    <x v="0"/>
    <x v="150"/>
  </r>
  <r>
    <n v="522"/>
    <n v="0"/>
    <x v="0"/>
    <x v="0"/>
    <s v=" Fared Kassem"/>
    <x v="0"/>
    <n v="18"/>
    <x v="1"/>
    <x v="0"/>
    <x v="0"/>
    <n v="7.2291999999999996"/>
    <n v="0"/>
    <x v="23"/>
    <x v="0"/>
    <x v="18"/>
  </r>
  <r>
    <n v="523"/>
    <n v="0"/>
    <x v="0"/>
    <x v="0"/>
    <s v=" James Farrell"/>
    <x v="0"/>
    <n v="40.5"/>
    <x v="1"/>
    <x v="0"/>
    <x v="0"/>
    <n v="7.75"/>
    <n v="0"/>
    <x v="52"/>
    <x v="0"/>
    <x v="28"/>
  </r>
  <r>
    <n v="524"/>
    <n v="1"/>
    <x v="1"/>
    <x v="2"/>
    <s v=" Lucy Ridsdale"/>
    <x v="1"/>
    <n v="50"/>
    <x v="1"/>
    <x v="0"/>
    <x v="2"/>
    <n v="10.5"/>
    <n v="1"/>
    <x v="56"/>
    <x v="0"/>
    <x v="29"/>
  </r>
  <r>
    <n v="525"/>
    <n v="0"/>
    <x v="0"/>
    <x v="0"/>
    <s v=" John Farthing"/>
    <x v="0"/>
    <n v="49"/>
    <x v="1"/>
    <x v="0"/>
    <x v="1"/>
    <n v="221.7792"/>
    <n v="0"/>
    <x v="31"/>
    <x v="0"/>
    <x v="192"/>
  </r>
  <r>
    <n v="526"/>
    <n v="0"/>
    <x v="0"/>
    <x v="0"/>
    <s v=" Johan Werner Salonen"/>
    <x v="0"/>
    <n v="39"/>
    <x v="1"/>
    <x v="0"/>
    <x v="0"/>
    <n v="7.9249999999999998"/>
    <n v="0"/>
    <x v="11"/>
    <x v="0"/>
    <x v="2"/>
  </r>
  <r>
    <n v="527"/>
    <n v="0"/>
    <x v="0"/>
    <x v="0"/>
    <s v=" Richard George Hocking"/>
    <x v="0"/>
    <n v="23"/>
    <x v="4"/>
    <x v="1"/>
    <x v="2"/>
    <n v="11.5"/>
    <n v="0"/>
    <x v="13"/>
    <x v="0"/>
    <x v="85"/>
  </r>
  <r>
    <n v="528"/>
    <n v="1"/>
    <x v="1"/>
    <x v="2"/>
    <s v=" Phyllis May Quick"/>
    <x v="1"/>
    <n v="2"/>
    <x v="0"/>
    <x v="1"/>
    <x v="2"/>
    <n v="26"/>
    <n v="1"/>
    <x v="6"/>
    <x v="1"/>
    <x v="19"/>
  </r>
  <r>
    <n v="529"/>
    <n v="0"/>
    <x v="0"/>
    <x v="0"/>
    <s v=" Nakli Toufik"/>
    <x v="0"/>
    <n v="17"/>
    <x v="1"/>
    <x v="0"/>
    <x v="0"/>
    <n v="7.2291999999999996"/>
    <n v="0"/>
    <x v="39"/>
    <x v="0"/>
    <x v="18"/>
  </r>
  <r>
    <n v="530"/>
    <n v="0"/>
    <x v="0"/>
    <x v="0"/>
    <s v=" Joseph Jr Elias"/>
    <x v="0"/>
    <n v="17"/>
    <x v="0"/>
    <x v="1"/>
    <x v="0"/>
    <n v="7.2291999999999996"/>
    <n v="0"/>
    <x v="39"/>
    <x v="0"/>
    <x v="18"/>
  </r>
  <r>
    <n v="531"/>
    <n v="1"/>
    <x v="1"/>
    <x v="1"/>
    <s v=" Catherine (Catherine Rizk) Peter"/>
    <x v="1"/>
    <n v="24"/>
    <x v="1"/>
    <x v="2"/>
    <x v="0"/>
    <n v="22.3583"/>
    <n v="1"/>
    <x v="20"/>
    <x v="0"/>
    <x v="76"/>
  </r>
  <r>
    <n v="532"/>
    <n v="0"/>
    <x v="0"/>
    <x v="2"/>
    <s v=" Marija Cacic"/>
    <x v="1"/>
    <n v="30"/>
    <x v="1"/>
    <x v="0"/>
    <x v="0"/>
    <n v="8.6624999999999996"/>
    <n v="1"/>
    <x v="28"/>
    <x v="0"/>
    <x v="50"/>
  </r>
  <r>
    <n v="533"/>
    <n v="1"/>
    <x v="1"/>
    <x v="2"/>
    <s v=" Eva Miriam Hart"/>
    <x v="1"/>
    <n v="7"/>
    <x v="1"/>
    <x v="2"/>
    <x v="2"/>
    <n v="26.25"/>
    <n v="1"/>
    <x v="30"/>
    <x v="1"/>
    <x v="118"/>
  </r>
  <r>
    <n v="534"/>
    <n v="0"/>
    <x v="0"/>
    <x v="9"/>
    <s v=" Archibald Willingham Butt"/>
    <x v="0"/>
    <n v="45"/>
    <x v="1"/>
    <x v="0"/>
    <x v="1"/>
    <n v="26.55"/>
    <n v="0"/>
    <x v="37"/>
    <x v="0"/>
    <x v="11"/>
  </r>
  <r>
    <n v="535"/>
    <n v="1"/>
    <x v="1"/>
    <x v="2"/>
    <s v=" Bertha LeRoy"/>
    <x v="1"/>
    <n v="30"/>
    <x v="1"/>
    <x v="0"/>
    <x v="1"/>
    <n v="106.425"/>
    <n v="1"/>
    <x v="28"/>
    <x v="0"/>
    <x v="193"/>
  </r>
  <r>
    <n v="536"/>
    <n v="0"/>
    <x v="0"/>
    <x v="0"/>
    <s v=" Samuel Beard Risien"/>
    <x v="0"/>
    <n v="69"/>
    <x v="1"/>
    <x v="0"/>
    <x v="0"/>
    <n v="14.5"/>
    <n v="0"/>
    <x v="65"/>
    <x v="0"/>
    <x v="79"/>
  </r>
  <r>
    <n v="537"/>
    <n v="1"/>
    <x v="1"/>
    <x v="2"/>
    <s v=" Hedwig Margaritha Frolicher"/>
    <x v="1"/>
    <n v="22"/>
    <x v="1"/>
    <x v="2"/>
    <x v="1"/>
    <n v="49.5"/>
    <n v="1"/>
    <x v="0"/>
    <x v="0"/>
    <x v="182"/>
  </r>
  <r>
    <n v="538"/>
    <n v="1"/>
    <x v="1"/>
    <x v="2"/>
    <s v=" Harriet R Crosby"/>
    <x v="1"/>
    <n v="36"/>
    <x v="1"/>
    <x v="2"/>
    <x v="1"/>
    <n v="71"/>
    <n v="1"/>
    <x v="57"/>
    <x v="0"/>
    <x v="194"/>
  </r>
  <r>
    <n v="539"/>
    <n v="0"/>
    <x v="0"/>
    <x v="2"/>
    <s v=" Ingeborg Constanzia Andersson"/>
    <x v="1"/>
    <n v="9"/>
    <x v="3"/>
    <x v="2"/>
    <x v="0"/>
    <n v="31.274999999999999"/>
    <n v="1"/>
    <x v="49"/>
    <x v="1"/>
    <x v="12"/>
  </r>
  <r>
    <n v="540"/>
    <n v="0"/>
    <x v="0"/>
    <x v="2"/>
    <s v=" Sigrid Elisabeth Andersson"/>
    <x v="1"/>
    <n v="11"/>
    <x v="3"/>
    <x v="2"/>
    <x v="0"/>
    <n v="31.274999999999999"/>
    <n v="1"/>
    <x v="36"/>
    <x v="1"/>
    <x v="12"/>
  </r>
  <r>
    <n v="541"/>
    <n v="1"/>
    <x v="1"/>
    <x v="0"/>
    <s v=" Edward Beane"/>
    <x v="0"/>
    <n v="32"/>
    <x v="0"/>
    <x v="0"/>
    <x v="2"/>
    <n v="26"/>
    <n v="0"/>
    <x v="40"/>
    <x v="0"/>
    <x v="19"/>
  </r>
  <r>
    <n v="542"/>
    <n v="0"/>
    <x v="0"/>
    <x v="0"/>
    <s v=" Walter Donald Douglas"/>
    <x v="0"/>
    <n v="50"/>
    <x v="0"/>
    <x v="0"/>
    <x v="1"/>
    <n v="106.425"/>
    <n v="0"/>
    <x v="56"/>
    <x v="0"/>
    <x v="193"/>
  </r>
  <r>
    <n v="543"/>
    <n v="0"/>
    <x v="0"/>
    <x v="0"/>
    <s v=" Arthur Ernest Nicholson"/>
    <x v="0"/>
    <n v="64"/>
    <x v="1"/>
    <x v="0"/>
    <x v="1"/>
    <n v="26"/>
    <n v="0"/>
    <x v="38"/>
    <x v="0"/>
    <x v="19"/>
  </r>
  <r>
    <n v="544"/>
    <n v="1"/>
    <x v="1"/>
    <x v="1"/>
    <s v=" Edward (Ethel Clarke) Beane"/>
    <x v="1"/>
    <n v="19"/>
    <x v="0"/>
    <x v="0"/>
    <x v="2"/>
    <n v="26"/>
    <n v="1"/>
    <x v="19"/>
    <x v="0"/>
    <x v="19"/>
  </r>
  <r>
    <n v="545"/>
    <n v="1"/>
    <x v="1"/>
    <x v="0"/>
    <s v=" Julian Padro y Manent"/>
    <x v="0"/>
    <n v="27"/>
    <x v="1"/>
    <x v="0"/>
    <x v="2"/>
    <n v="13.862500000000001"/>
    <n v="0"/>
    <x v="4"/>
    <x v="0"/>
    <x v="195"/>
  </r>
  <r>
    <n v="546"/>
    <n v="0"/>
    <x v="0"/>
    <x v="0"/>
    <s v=" Frank John Goldsmith"/>
    <x v="0"/>
    <n v="33"/>
    <x v="0"/>
    <x v="1"/>
    <x v="0"/>
    <n v="20.524999999999999"/>
    <n v="0"/>
    <x v="43"/>
    <x v="0"/>
    <x v="95"/>
  </r>
  <r>
    <n v="547"/>
    <n v="1"/>
    <x v="1"/>
    <x v="3"/>
    <s v=" John Morgan Jr Davies"/>
    <x v="0"/>
    <n v="8"/>
    <x v="0"/>
    <x v="1"/>
    <x v="2"/>
    <n v="36.75"/>
    <n v="0"/>
    <x v="18"/>
    <x v="1"/>
    <x v="86"/>
  </r>
  <r>
    <n v="548"/>
    <n v="1"/>
    <x v="1"/>
    <x v="0"/>
    <s v=" John Borland Jr Thayer"/>
    <x v="0"/>
    <n v="17"/>
    <x v="1"/>
    <x v="2"/>
    <x v="1"/>
    <n v="110.88330000000001"/>
    <n v="0"/>
    <x v="39"/>
    <x v="0"/>
    <x v="140"/>
  </r>
  <r>
    <n v="549"/>
    <n v="0"/>
    <x v="0"/>
    <x v="0"/>
    <s v=" Percival James R Sharp"/>
    <x v="0"/>
    <n v="27"/>
    <x v="1"/>
    <x v="0"/>
    <x v="2"/>
    <n v="26"/>
    <n v="0"/>
    <x v="4"/>
    <x v="0"/>
    <x v="19"/>
  </r>
  <r>
    <n v="550"/>
    <n v="0"/>
    <x v="0"/>
    <x v="0"/>
    <s v=" Timothy O'Brien"/>
    <x v="0"/>
    <n v="21"/>
    <x v="1"/>
    <x v="0"/>
    <x v="0"/>
    <n v="7.8292000000000002"/>
    <n v="0"/>
    <x v="26"/>
    <x v="0"/>
    <x v="196"/>
  </r>
  <r>
    <n v="551"/>
    <n v="1"/>
    <x v="1"/>
    <x v="0"/>
    <s v=" Fahim Leeni"/>
    <x v="0"/>
    <n v="22"/>
    <x v="1"/>
    <x v="0"/>
    <x v="0"/>
    <n v="7.2249999999999996"/>
    <n v="0"/>
    <x v="0"/>
    <x v="0"/>
    <x v="18"/>
  </r>
  <r>
    <n v="552"/>
    <n v="1"/>
    <x v="1"/>
    <x v="2"/>
    <s v=" Velin Ohman"/>
    <x v="1"/>
    <n v="22"/>
    <x v="1"/>
    <x v="0"/>
    <x v="0"/>
    <n v="7.7750000000000004"/>
    <n v="1"/>
    <x v="0"/>
    <x v="0"/>
    <x v="70"/>
  </r>
  <r>
    <n v="553"/>
    <n v="0"/>
    <x v="0"/>
    <x v="0"/>
    <s v=" George Wright"/>
    <x v="0"/>
    <n v="62"/>
    <x v="1"/>
    <x v="0"/>
    <x v="1"/>
    <n v="26.55"/>
    <n v="0"/>
    <x v="58"/>
    <x v="0"/>
    <x v="11"/>
  </r>
  <r>
    <n v="554"/>
    <n v="1"/>
    <x v="1"/>
    <x v="10"/>
    <s v=" (Lucille Christiana Sutherland)Duff Gordon"/>
    <x v="1"/>
    <n v="48"/>
    <x v="0"/>
    <x v="0"/>
    <x v="1"/>
    <n v="39.6"/>
    <n v="1"/>
    <x v="22"/>
    <x v="0"/>
    <x v="197"/>
  </r>
  <r>
    <n v="555"/>
    <n v="0"/>
    <x v="0"/>
    <x v="0"/>
    <s v=" Victor Robbins"/>
    <x v="0"/>
    <n v="45"/>
    <x v="1"/>
    <x v="0"/>
    <x v="1"/>
    <n v="227.52500000000001"/>
    <n v="0"/>
    <x v="37"/>
    <x v="0"/>
    <x v="161"/>
  </r>
  <r>
    <n v="556"/>
    <n v="1"/>
    <x v="1"/>
    <x v="1"/>
    <s v=" Emil (Tillie Mandelbaum) Taussig"/>
    <x v="1"/>
    <n v="39"/>
    <x v="0"/>
    <x v="1"/>
    <x v="1"/>
    <n v="79.650000000000006"/>
    <n v="1"/>
    <x v="11"/>
    <x v="0"/>
    <x v="125"/>
  </r>
  <r>
    <n v="557"/>
    <n v="1"/>
    <x v="1"/>
    <x v="1"/>
    <s v=" Guillaume Joseph (Emma) de Messemaeker"/>
    <x v="1"/>
    <n v="36"/>
    <x v="0"/>
    <x v="0"/>
    <x v="0"/>
    <n v="17.399999999999999"/>
    <n v="1"/>
    <x v="57"/>
    <x v="0"/>
    <x v="198"/>
  </r>
  <r>
    <n v="558"/>
    <n v="0"/>
    <x v="0"/>
    <x v="0"/>
    <s v=" Thomas Rowan Morrow"/>
    <x v="0"/>
    <n v="30"/>
    <x v="1"/>
    <x v="0"/>
    <x v="0"/>
    <n v="7.75"/>
    <n v="0"/>
    <x v="28"/>
    <x v="0"/>
    <x v="28"/>
  </r>
  <r>
    <n v="559"/>
    <n v="0"/>
    <x v="0"/>
    <x v="0"/>
    <s v=" Husein Sivic"/>
    <x v="0"/>
    <n v="40"/>
    <x v="1"/>
    <x v="0"/>
    <x v="0"/>
    <n v="7.8958000000000004"/>
    <n v="0"/>
    <x v="21"/>
    <x v="0"/>
    <x v="25"/>
  </r>
  <r>
    <n v="560"/>
    <n v="0"/>
    <x v="0"/>
    <x v="0"/>
    <s v=" Robert Douglas Norman"/>
    <x v="0"/>
    <n v="28"/>
    <x v="1"/>
    <x v="0"/>
    <x v="2"/>
    <n v="13.5"/>
    <n v="0"/>
    <x v="17"/>
    <x v="0"/>
    <x v="116"/>
  </r>
  <r>
    <n v="561"/>
    <n v="0"/>
    <x v="0"/>
    <x v="0"/>
    <s v=" John Simmons"/>
    <x v="0"/>
    <n v="40"/>
    <x v="1"/>
    <x v="0"/>
    <x v="0"/>
    <n v="8.0500000000000007"/>
    <n v="0"/>
    <x v="21"/>
    <x v="0"/>
    <x v="4"/>
  </r>
  <r>
    <n v="562"/>
    <n v="0"/>
    <x v="0"/>
    <x v="2"/>
    <s v=" (Marion Ogden) Meanwell"/>
    <x v="1"/>
    <n v="62"/>
    <x v="1"/>
    <x v="0"/>
    <x v="0"/>
    <n v="8.0500000000000007"/>
    <n v="1"/>
    <x v="58"/>
    <x v="0"/>
    <x v="4"/>
  </r>
  <r>
    <n v="563"/>
    <n v="0"/>
    <x v="0"/>
    <x v="0"/>
    <s v=" Alfred J Davies"/>
    <x v="0"/>
    <n v="24"/>
    <x v="4"/>
    <x v="0"/>
    <x v="0"/>
    <n v="24.15"/>
    <n v="0"/>
    <x v="20"/>
    <x v="0"/>
    <x v="71"/>
  </r>
  <r>
    <n v="564"/>
    <n v="0"/>
    <x v="0"/>
    <x v="0"/>
    <s v=" Ilia Stoytcheff"/>
    <x v="0"/>
    <n v="19"/>
    <x v="1"/>
    <x v="0"/>
    <x v="0"/>
    <n v="7.8958000000000004"/>
    <n v="0"/>
    <x v="19"/>
    <x v="0"/>
    <x v="25"/>
  </r>
  <r>
    <n v="565"/>
    <n v="0"/>
    <x v="0"/>
    <x v="1"/>
    <s v=" Nils (Alma Cornelia Berglund) Palsson"/>
    <x v="1"/>
    <n v="29"/>
    <x v="1"/>
    <x v="5"/>
    <x v="0"/>
    <n v="21.074999999999999"/>
    <n v="1"/>
    <x v="32"/>
    <x v="0"/>
    <x v="7"/>
  </r>
  <r>
    <n v="566"/>
    <n v="0"/>
    <x v="0"/>
    <x v="0"/>
    <s v=" Tannous Doharr"/>
    <x v="0"/>
    <n v="28"/>
    <x v="1"/>
    <x v="0"/>
    <x v="0"/>
    <n v="7.2291999999999996"/>
    <n v="0"/>
    <x v="17"/>
    <x v="0"/>
    <x v="18"/>
  </r>
  <r>
    <n v="567"/>
    <n v="1"/>
    <x v="1"/>
    <x v="0"/>
    <s v=" Carl Jonsson"/>
    <x v="0"/>
    <n v="32"/>
    <x v="1"/>
    <x v="0"/>
    <x v="0"/>
    <n v="7.8541999999999996"/>
    <n v="0"/>
    <x v="40"/>
    <x v="0"/>
    <x v="13"/>
  </r>
  <r>
    <n v="568"/>
    <n v="1"/>
    <x v="1"/>
    <x v="0"/>
    <s v=" George Harris"/>
    <x v="0"/>
    <n v="62"/>
    <x v="1"/>
    <x v="0"/>
    <x v="2"/>
    <n v="10.5"/>
    <n v="0"/>
    <x v="58"/>
    <x v="0"/>
    <x v="29"/>
  </r>
  <r>
    <n v="569"/>
    <n v="1"/>
    <x v="1"/>
    <x v="1"/>
    <s v=" Edward Dale (Charlotte Lamson) Appleton"/>
    <x v="1"/>
    <n v="53"/>
    <x v="4"/>
    <x v="0"/>
    <x v="1"/>
    <n v="51.479199999999999"/>
    <n v="1"/>
    <x v="66"/>
    <x v="0"/>
    <x v="199"/>
  </r>
  <r>
    <n v="570"/>
    <n v="1"/>
    <x v="1"/>
    <x v="0"/>
    <s v=" John Irwin Flynn"/>
    <x v="0"/>
    <n v="36"/>
    <x v="1"/>
    <x v="0"/>
    <x v="1"/>
    <n v="26.387499999999999"/>
    <n v="0"/>
    <x v="57"/>
    <x v="0"/>
    <x v="200"/>
  </r>
  <r>
    <n v="571"/>
    <n v="1"/>
    <x v="1"/>
    <x v="2"/>
    <s v=" Mary Kelly"/>
    <x v="1"/>
    <n v="22"/>
    <x v="1"/>
    <x v="0"/>
    <x v="0"/>
    <n v="7.75"/>
    <n v="1"/>
    <x v="0"/>
    <x v="0"/>
    <x v="28"/>
  </r>
  <r>
    <n v="572"/>
    <n v="0"/>
    <x v="0"/>
    <x v="0"/>
    <s v=" Alfred George John Rush"/>
    <x v="0"/>
    <n v="16"/>
    <x v="1"/>
    <x v="0"/>
    <x v="0"/>
    <n v="8.0500000000000007"/>
    <n v="0"/>
    <x v="29"/>
    <x v="1"/>
    <x v="4"/>
  </r>
  <r>
    <n v="573"/>
    <n v="0"/>
    <x v="0"/>
    <x v="0"/>
    <s v=" George Patchett"/>
    <x v="0"/>
    <n v="19"/>
    <x v="1"/>
    <x v="0"/>
    <x v="0"/>
    <n v="14.5"/>
    <n v="0"/>
    <x v="19"/>
    <x v="0"/>
    <x v="79"/>
  </r>
  <r>
    <n v="574"/>
    <n v="1"/>
    <x v="1"/>
    <x v="2"/>
    <s v=" Ethel Garside"/>
    <x v="1"/>
    <n v="34"/>
    <x v="1"/>
    <x v="0"/>
    <x v="2"/>
    <n v="13"/>
    <n v="1"/>
    <x v="15"/>
    <x v="0"/>
    <x v="16"/>
  </r>
  <r>
    <n v="575"/>
    <n v="1"/>
    <x v="1"/>
    <x v="1"/>
    <s v=" William Baird (Alice Munger) Silvey"/>
    <x v="1"/>
    <n v="39"/>
    <x v="0"/>
    <x v="0"/>
    <x v="1"/>
    <n v="55.9"/>
    <n v="1"/>
    <x v="11"/>
    <x v="0"/>
    <x v="170"/>
  </r>
  <r>
    <n v="576"/>
    <n v="0"/>
    <x v="0"/>
    <x v="1"/>
    <s v=" Joseph (Maria Elias) Caram"/>
    <x v="1"/>
    <n v="18"/>
    <x v="0"/>
    <x v="0"/>
    <x v="0"/>
    <n v="14.458299999999999"/>
    <n v="1"/>
    <x v="23"/>
    <x v="0"/>
    <x v="73"/>
  </r>
  <r>
    <n v="577"/>
    <n v="1"/>
    <x v="1"/>
    <x v="0"/>
    <s v=" Eiriik Jussila"/>
    <x v="0"/>
    <n v="32"/>
    <x v="1"/>
    <x v="0"/>
    <x v="0"/>
    <n v="7.9249999999999998"/>
    <n v="0"/>
    <x v="40"/>
    <x v="0"/>
    <x v="2"/>
  </r>
  <r>
    <n v="578"/>
    <n v="1"/>
    <x v="1"/>
    <x v="2"/>
    <s v=" Julie Rachel Christy"/>
    <x v="1"/>
    <n v="25"/>
    <x v="0"/>
    <x v="1"/>
    <x v="2"/>
    <n v="30"/>
    <n v="1"/>
    <x v="41"/>
    <x v="0"/>
    <x v="201"/>
  </r>
  <r>
    <n v="579"/>
    <n v="1"/>
    <x v="1"/>
    <x v="1"/>
    <s v=" John Borland (Marian Longstreth Morris) Thayer"/>
    <x v="1"/>
    <n v="39"/>
    <x v="0"/>
    <x v="1"/>
    <x v="1"/>
    <n v="110.88330000000001"/>
    <n v="1"/>
    <x v="11"/>
    <x v="0"/>
    <x v="140"/>
  </r>
  <r>
    <n v="580"/>
    <n v="0"/>
    <x v="0"/>
    <x v="0"/>
    <s v=" William James Downton"/>
    <x v="0"/>
    <n v="54"/>
    <x v="1"/>
    <x v="0"/>
    <x v="2"/>
    <n v="26"/>
    <n v="0"/>
    <x v="5"/>
    <x v="0"/>
    <x v="19"/>
  </r>
  <r>
    <n v="581"/>
    <n v="0"/>
    <x v="0"/>
    <x v="0"/>
    <s v=" John Hugo Ross"/>
    <x v="0"/>
    <n v="36"/>
    <x v="1"/>
    <x v="0"/>
    <x v="1"/>
    <n v="40.125"/>
    <n v="0"/>
    <x v="57"/>
    <x v="0"/>
    <x v="202"/>
  </r>
  <r>
    <n v="582"/>
    <n v="0"/>
    <x v="0"/>
    <x v="0"/>
    <s v=" Uscher Paulner"/>
    <x v="0"/>
    <n v="16"/>
    <x v="1"/>
    <x v="0"/>
    <x v="0"/>
    <n v="8.7125000000000004"/>
    <n v="0"/>
    <x v="29"/>
    <x v="1"/>
    <x v="203"/>
  </r>
  <r>
    <n v="583"/>
    <n v="1"/>
    <x v="1"/>
    <x v="2"/>
    <s v=" Ruth Taussig"/>
    <x v="1"/>
    <n v="18"/>
    <x v="1"/>
    <x v="2"/>
    <x v="1"/>
    <n v="79.650000000000006"/>
    <n v="1"/>
    <x v="23"/>
    <x v="0"/>
    <x v="125"/>
  </r>
  <r>
    <n v="584"/>
    <n v="0"/>
    <x v="0"/>
    <x v="0"/>
    <s v=" John Denzil Jarvis"/>
    <x v="0"/>
    <n v="47"/>
    <x v="1"/>
    <x v="0"/>
    <x v="2"/>
    <n v="15"/>
    <n v="0"/>
    <x v="47"/>
    <x v="0"/>
    <x v="204"/>
  </r>
  <r>
    <n v="585"/>
    <n v="1"/>
    <x v="1"/>
    <x v="0"/>
    <s v=" Maxmillian Frolicher-Stehli"/>
    <x v="0"/>
    <n v="60"/>
    <x v="0"/>
    <x v="1"/>
    <x v="1"/>
    <n v="79.2"/>
    <n v="0"/>
    <x v="54"/>
    <x v="0"/>
    <x v="83"/>
  </r>
  <r>
    <n v="586"/>
    <n v="0"/>
    <x v="0"/>
    <x v="0"/>
    <s v=" Eliezer Gilinski"/>
    <x v="0"/>
    <n v="22"/>
    <x v="1"/>
    <x v="0"/>
    <x v="0"/>
    <n v="8.0500000000000007"/>
    <n v="0"/>
    <x v="0"/>
    <x v="0"/>
    <x v="4"/>
  </r>
  <r>
    <n v="587"/>
    <n v="0"/>
    <x v="0"/>
    <x v="0"/>
    <s v=" Joseph Murdlin"/>
    <x v="0"/>
    <n v="22"/>
    <x v="1"/>
    <x v="0"/>
    <x v="0"/>
    <n v="8.0500000000000007"/>
    <n v="0"/>
    <x v="0"/>
    <x v="0"/>
    <x v="4"/>
  </r>
  <r>
    <n v="588"/>
    <n v="0"/>
    <x v="0"/>
    <x v="0"/>
    <s v=" Matti Rintamaki"/>
    <x v="0"/>
    <n v="35"/>
    <x v="1"/>
    <x v="0"/>
    <x v="0"/>
    <n v="7.125"/>
    <n v="0"/>
    <x v="3"/>
    <x v="0"/>
    <x v="120"/>
  </r>
  <r>
    <n v="589"/>
    <n v="1"/>
    <x v="1"/>
    <x v="1"/>
    <s v=" Walter Bertram (Martha Eustis) Stephenson"/>
    <x v="1"/>
    <n v="52"/>
    <x v="0"/>
    <x v="0"/>
    <x v="1"/>
    <n v="78.2667"/>
    <n v="1"/>
    <x v="59"/>
    <x v="0"/>
    <x v="183"/>
  </r>
  <r>
    <n v="590"/>
    <n v="0"/>
    <x v="0"/>
    <x v="0"/>
    <s v=" William James Elsbury"/>
    <x v="0"/>
    <n v="47"/>
    <x v="1"/>
    <x v="0"/>
    <x v="0"/>
    <n v="7.25"/>
    <n v="0"/>
    <x v="47"/>
    <x v="0"/>
    <x v="0"/>
  </r>
  <r>
    <n v="591"/>
    <n v="0"/>
    <x v="0"/>
    <x v="2"/>
    <s v=" Mary Bourke"/>
    <x v="1"/>
    <n v="40"/>
    <x v="1"/>
    <x v="2"/>
    <x v="0"/>
    <n v="7.75"/>
    <n v="1"/>
    <x v="21"/>
    <x v="0"/>
    <x v="28"/>
  </r>
  <r>
    <n v="592"/>
    <n v="0"/>
    <x v="0"/>
    <x v="0"/>
    <s v=" John Henry Chapman"/>
    <x v="0"/>
    <n v="37"/>
    <x v="0"/>
    <x v="0"/>
    <x v="2"/>
    <n v="26"/>
    <n v="0"/>
    <x v="46"/>
    <x v="0"/>
    <x v="19"/>
  </r>
  <r>
    <n v="593"/>
    <n v="0"/>
    <x v="0"/>
    <x v="0"/>
    <s v=" Jean Baptiste Van Impe"/>
    <x v="0"/>
    <n v="36"/>
    <x v="0"/>
    <x v="1"/>
    <x v="0"/>
    <n v="24.15"/>
    <n v="0"/>
    <x v="57"/>
    <x v="0"/>
    <x v="71"/>
  </r>
  <r>
    <n v="594"/>
    <n v="1"/>
    <x v="1"/>
    <x v="2"/>
    <s v=" Jessie Wills Leitch"/>
    <x v="1"/>
    <n v="31"/>
    <x v="1"/>
    <x v="0"/>
    <x v="2"/>
    <n v="33"/>
    <n v="1"/>
    <x v="14"/>
    <x v="0"/>
    <x v="205"/>
  </r>
  <r>
    <n v="595"/>
    <n v="0"/>
    <x v="0"/>
    <x v="0"/>
    <s v=" Alfred Johnson"/>
    <x v="0"/>
    <n v="49"/>
    <x v="1"/>
    <x v="0"/>
    <x v="0"/>
    <n v="0"/>
    <n v="0"/>
    <x v="31"/>
    <x v="0"/>
    <x v="102"/>
  </r>
  <r>
    <n v="596"/>
    <n v="0"/>
    <x v="0"/>
    <x v="0"/>
    <s v=" Hanna Boulos"/>
    <x v="0"/>
    <n v="18"/>
    <x v="1"/>
    <x v="0"/>
    <x v="0"/>
    <n v="7.2249999999999996"/>
    <n v="0"/>
    <x v="23"/>
    <x v="0"/>
    <x v="18"/>
  </r>
  <r>
    <n v="597"/>
    <n v="1"/>
    <x v="1"/>
    <x v="11"/>
    <s v=" Cosmo Edmund Duff Gordon"/>
    <x v="0"/>
    <n v="49"/>
    <x v="0"/>
    <x v="0"/>
    <x v="1"/>
    <n v="56.929200000000002"/>
    <n v="0"/>
    <x v="31"/>
    <x v="0"/>
    <x v="143"/>
  </r>
  <r>
    <n v="598"/>
    <n v="1"/>
    <x v="1"/>
    <x v="1"/>
    <s v=" Sidney Samuel (Amy Frances Christy) Jacobsohn"/>
    <x v="1"/>
    <n v="24"/>
    <x v="4"/>
    <x v="1"/>
    <x v="2"/>
    <n v="27"/>
    <n v="1"/>
    <x v="20"/>
    <x v="0"/>
    <x v="112"/>
  </r>
  <r>
    <n v="599"/>
    <n v="0"/>
    <x v="0"/>
    <x v="0"/>
    <s v=" Petco Slabenoff"/>
    <x v="0"/>
    <n v="42"/>
    <x v="1"/>
    <x v="0"/>
    <x v="0"/>
    <n v="7.8958000000000004"/>
    <n v="0"/>
    <x v="25"/>
    <x v="0"/>
    <x v="25"/>
  </r>
  <r>
    <n v="600"/>
    <n v="0"/>
    <x v="0"/>
    <x v="0"/>
    <s v=" Charles H Harrington"/>
    <x v="0"/>
    <n v="37"/>
    <x v="1"/>
    <x v="0"/>
    <x v="1"/>
    <n v="42.4"/>
    <n v="0"/>
    <x v="46"/>
    <x v="0"/>
    <x v="206"/>
  </r>
  <r>
    <n v="601"/>
    <n v="0"/>
    <x v="0"/>
    <x v="0"/>
    <s v=" Ernst William Torber"/>
    <x v="0"/>
    <n v="44"/>
    <x v="1"/>
    <x v="0"/>
    <x v="0"/>
    <n v="8.0500000000000007"/>
    <n v="0"/>
    <x v="53"/>
    <x v="0"/>
    <x v="4"/>
  </r>
  <r>
    <n v="602"/>
    <n v="1"/>
    <x v="1"/>
    <x v="0"/>
    <s v=" Harry Homer"/>
    <x v="0"/>
    <n v="35"/>
    <x v="1"/>
    <x v="0"/>
    <x v="1"/>
    <n v="26.55"/>
    <n v="0"/>
    <x v="3"/>
    <x v="0"/>
    <x v="11"/>
  </r>
  <r>
    <n v="603"/>
    <n v="0"/>
    <x v="0"/>
    <x v="0"/>
    <s v=" Edvard Bengtsson Lindell"/>
    <x v="0"/>
    <n v="36"/>
    <x v="0"/>
    <x v="0"/>
    <x v="0"/>
    <n v="15.55"/>
    <n v="0"/>
    <x v="57"/>
    <x v="0"/>
    <x v="207"/>
  </r>
  <r>
    <n v="604"/>
    <n v="0"/>
    <x v="0"/>
    <x v="0"/>
    <s v=" Milan Karaic"/>
    <x v="0"/>
    <n v="30"/>
    <x v="1"/>
    <x v="0"/>
    <x v="0"/>
    <n v="7.8958000000000004"/>
    <n v="0"/>
    <x v="28"/>
    <x v="0"/>
    <x v="25"/>
  </r>
  <r>
    <n v="605"/>
    <n v="1"/>
    <x v="1"/>
    <x v="0"/>
    <s v=" Robert Williams Daniel"/>
    <x v="0"/>
    <n v="27"/>
    <x v="1"/>
    <x v="0"/>
    <x v="1"/>
    <n v="30.5"/>
    <n v="0"/>
    <x v="4"/>
    <x v="0"/>
    <x v="137"/>
  </r>
  <r>
    <n v="606"/>
    <n v="1"/>
    <x v="1"/>
    <x v="1"/>
    <s v=" Joseph (Juliette Marie Louise Lafargue) Laroche"/>
    <x v="1"/>
    <n v="22"/>
    <x v="0"/>
    <x v="2"/>
    <x v="2"/>
    <n v="41.5792"/>
    <n v="1"/>
    <x v="0"/>
    <x v="0"/>
    <x v="35"/>
  </r>
  <r>
    <n v="607"/>
    <n v="1"/>
    <x v="1"/>
    <x v="2"/>
    <s v=" Elizabeth W Shutes"/>
    <x v="1"/>
    <n v="40"/>
    <x v="1"/>
    <x v="0"/>
    <x v="1"/>
    <n v="153.46250000000001"/>
    <n v="1"/>
    <x v="21"/>
    <x v="0"/>
    <x v="126"/>
  </r>
  <r>
    <n v="608"/>
    <n v="0"/>
    <x v="0"/>
    <x v="1"/>
    <s v=" Anders Johan (Alfrida Konstantia Brogren) Andersson"/>
    <x v="1"/>
    <n v="39"/>
    <x v="0"/>
    <x v="3"/>
    <x v="0"/>
    <n v="31.274999999999999"/>
    <n v="1"/>
    <x v="11"/>
    <x v="0"/>
    <x v="12"/>
  </r>
  <r>
    <n v="609"/>
    <n v="0"/>
    <x v="0"/>
    <x v="0"/>
    <s v=" Jose Neto Jardin"/>
    <x v="0"/>
    <n v="21"/>
    <x v="1"/>
    <x v="0"/>
    <x v="0"/>
    <n v="7.05"/>
    <n v="0"/>
    <x v="26"/>
    <x v="0"/>
    <x v="78"/>
  </r>
  <r>
    <n v="610"/>
    <n v="1"/>
    <x v="1"/>
    <x v="2"/>
    <s v=" Margaret Jane Murphy"/>
    <x v="1"/>
    <n v="18"/>
    <x v="0"/>
    <x v="0"/>
    <x v="0"/>
    <n v="15.5"/>
    <n v="1"/>
    <x v="23"/>
    <x v="0"/>
    <x v="36"/>
  </r>
  <r>
    <n v="611"/>
    <n v="0"/>
    <x v="0"/>
    <x v="0"/>
    <s v=" John Horgan"/>
    <x v="0"/>
    <n v="22"/>
    <x v="1"/>
    <x v="0"/>
    <x v="0"/>
    <n v="7.75"/>
    <n v="0"/>
    <x v="0"/>
    <x v="0"/>
    <x v="28"/>
  </r>
  <r>
    <n v="612"/>
    <n v="0"/>
    <x v="0"/>
    <x v="0"/>
    <s v=" William Alfred Brocklebank"/>
    <x v="0"/>
    <n v="35"/>
    <x v="1"/>
    <x v="0"/>
    <x v="0"/>
    <n v="8.0500000000000007"/>
    <n v="0"/>
    <x v="3"/>
    <x v="0"/>
    <x v="4"/>
  </r>
  <r>
    <n v="613"/>
    <n v="1"/>
    <x v="1"/>
    <x v="2"/>
    <s v=" Alice Herman"/>
    <x v="1"/>
    <n v="24"/>
    <x v="0"/>
    <x v="2"/>
    <x v="2"/>
    <n v="65"/>
    <n v="1"/>
    <x v="20"/>
    <x v="0"/>
    <x v="208"/>
  </r>
  <r>
    <n v="614"/>
    <n v="0"/>
    <x v="0"/>
    <x v="0"/>
    <s v=" Ernst Gilbert Danbom"/>
    <x v="0"/>
    <n v="34"/>
    <x v="0"/>
    <x v="1"/>
    <x v="0"/>
    <n v="14.4"/>
    <n v="0"/>
    <x v="15"/>
    <x v="0"/>
    <x v="169"/>
  </r>
  <r>
    <n v="615"/>
    <n v="0"/>
    <x v="0"/>
    <x v="1"/>
    <s v=" William Arthur (Cordelia K Stanlick) Lobb"/>
    <x v="1"/>
    <n v="26"/>
    <x v="0"/>
    <x v="0"/>
    <x v="0"/>
    <n v="16.100000000000001"/>
    <n v="1"/>
    <x v="2"/>
    <x v="0"/>
    <x v="93"/>
  </r>
  <r>
    <n v="616"/>
    <n v="1"/>
    <x v="1"/>
    <x v="2"/>
    <s v=" Marion Louise Becker"/>
    <x v="1"/>
    <n v="4"/>
    <x v="4"/>
    <x v="1"/>
    <x v="2"/>
    <n v="39"/>
    <n v="1"/>
    <x v="8"/>
    <x v="1"/>
    <x v="103"/>
  </r>
  <r>
    <n v="617"/>
    <n v="0"/>
    <x v="0"/>
    <x v="0"/>
    <s v=" Lawrence Gavey"/>
    <x v="0"/>
    <n v="26"/>
    <x v="1"/>
    <x v="0"/>
    <x v="2"/>
    <n v="10.5"/>
    <n v="0"/>
    <x v="2"/>
    <x v="0"/>
    <x v="29"/>
  </r>
  <r>
    <n v="618"/>
    <n v="0"/>
    <x v="0"/>
    <x v="0"/>
    <s v=" Antoni Yasbeck"/>
    <x v="0"/>
    <n v="27"/>
    <x v="0"/>
    <x v="0"/>
    <x v="0"/>
    <n v="14.4542"/>
    <n v="0"/>
    <x v="4"/>
    <x v="0"/>
    <x v="52"/>
  </r>
  <r>
    <n v="619"/>
    <n v="1"/>
    <x v="1"/>
    <x v="0"/>
    <s v=" Edwin Nelson Jr Kimball"/>
    <x v="0"/>
    <n v="42"/>
    <x v="0"/>
    <x v="0"/>
    <x v="1"/>
    <n v="52.554200000000002"/>
    <n v="0"/>
    <x v="25"/>
    <x v="0"/>
    <x v="121"/>
  </r>
  <r>
    <n v="620"/>
    <n v="1"/>
    <x v="1"/>
    <x v="0"/>
    <s v=" Sahid Nakid"/>
    <x v="0"/>
    <n v="20"/>
    <x v="0"/>
    <x v="1"/>
    <x v="0"/>
    <n v="15.7417"/>
    <n v="0"/>
    <x v="10"/>
    <x v="0"/>
    <x v="162"/>
  </r>
  <r>
    <n v="621"/>
    <n v="0"/>
    <x v="0"/>
    <x v="0"/>
    <s v=" Henry Damsgaard Hansen"/>
    <x v="0"/>
    <n v="21"/>
    <x v="1"/>
    <x v="0"/>
    <x v="0"/>
    <n v="7.8541999999999996"/>
    <n v="0"/>
    <x v="26"/>
    <x v="0"/>
    <x v="13"/>
  </r>
  <r>
    <n v="622"/>
    <n v="0"/>
    <x v="0"/>
    <x v="0"/>
    <s v=" David John Bowen"/>
    <x v="0"/>
    <n v="21"/>
    <x v="1"/>
    <x v="0"/>
    <x v="0"/>
    <n v="16.100000000000001"/>
    <n v="0"/>
    <x v="26"/>
    <x v="0"/>
    <x v="93"/>
  </r>
  <r>
    <n v="623"/>
    <n v="0"/>
    <x v="0"/>
    <x v="0"/>
    <s v=" Frederick Sutton"/>
    <x v="0"/>
    <n v="61"/>
    <x v="1"/>
    <x v="0"/>
    <x v="1"/>
    <n v="32.320799999999998"/>
    <n v="0"/>
    <x v="55"/>
    <x v="0"/>
    <x v="209"/>
  </r>
  <r>
    <n v="624"/>
    <n v="0"/>
    <x v="0"/>
    <x v="5"/>
    <s v=" Charles Leonard Kirkland"/>
    <x v="0"/>
    <n v="57"/>
    <x v="1"/>
    <x v="0"/>
    <x v="2"/>
    <n v="12.35"/>
    <n v="0"/>
    <x v="61"/>
    <x v="0"/>
    <x v="139"/>
  </r>
  <r>
    <n v="625"/>
    <n v="1"/>
    <x v="1"/>
    <x v="2"/>
    <s v=" Gretchen Fiske Longley"/>
    <x v="1"/>
    <n v="21"/>
    <x v="1"/>
    <x v="0"/>
    <x v="1"/>
    <n v="77.958299999999994"/>
    <n v="1"/>
    <x v="26"/>
    <x v="0"/>
    <x v="130"/>
  </r>
  <r>
    <n v="626"/>
    <n v="0"/>
    <x v="0"/>
    <x v="0"/>
    <s v=" Guentcho Bostandyeff"/>
    <x v="0"/>
    <n v="26"/>
    <x v="1"/>
    <x v="0"/>
    <x v="0"/>
    <n v="7.8958000000000004"/>
    <n v="0"/>
    <x v="2"/>
    <x v="0"/>
    <x v="25"/>
  </r>
  <r>
    <n v="627"/>
    <n v="0"/>
    <x v="0"/>
    <x v="0"/>
    <s v=" Patrick D O'Connell"/>
    <x v="0"/>
    <n v="18"/>
    <x v="1"/>
    <x v="0"/>
    <x v="0"/>
    <n v="7.7332999999999998"/>
    <n v="0"/>
    <x v="23"/>
    <x v="0"/>
    <x v="91"/>
  </r>
  <r>
    <n v="628"/>
    <n v="1"/>
    <x v="1"/>
    <x v="0"/>
    <s v=" Algernon Henry Wilson Barkworth"/>
    <x v="0"/>
    <n v="80"/>
    <x v="1"/>
    <x v="0"/>
    <x v="1"/>
    <n v="30"/>
    <n v="0"/>
    <x v="67"/>
    <x v="0"/>
    <x v="201"/>
  </r>
  <r>
    <n v="629"/>
    <n v="0"/>
    <x v="0"/>
    <x v="0"/>
    <s v=" Johan Svensson Lundahl"/>
    <x v="0"/>
    <n v="51"/>
    <x v="1"/>
    <x v="0"/>
    <x v="0"/>
    <n v="7.0541999999999998"/>
    <n v="0"/>
    <x v="50"/>
    <x v="0"/>
    <x v="78"/>
  </r>
  <r>
    <n v="630"/>
    <n v="1"/>
    <x v="1"/>
    <x v="6"/>
    <s v=" Max Stahelin-Maeglin"/>
    <x v="0"/>
    <n v="32"/>
    <x v="1"/>
    <x v="0"/>
    <x v="1"/>
    <n v="30.5"/>
    <n v="0"/>
    <x v="40"/>
    <x v="0"/>
    <x v="137"/>
  </r>
  <r>
    <n v="631"/>
    <n v="0"/>
    <x v="0"/>
    <x v="0"/>
    <s v=" William Henry Marsh Parr"/>
    <x v="0"/>
    <n v="30"/>
    <x v="1"/>
    <x v="0"/>
    <x v="1"/>
    <n v="0"/>
    <n v="0"/>
    <x v="28"/>
    <x v="0"/>
    <x v="102"/>
  </r>
  <r>
    <n v="632"/>
    <n v="0"/>
    <x v="0"/>
    <x v="2"/>
    <s v=" Mabel Skoog"/>
    <x v="1"/>
    <n v="9"/>
    <x v="2"/>
    <x v="2"/>
    <x v="0"/>
    <n v="27.9"/>
    <n v="1"/>
    <x v="49"/>
    <x v="1"/>
    <x v="47"/>
  </r>
  <r>
    <n v="633"/>
    <n v="1"/>
    <x v="1"/>
    <x v="2"/>
    <s v=" Mary Davis"/>
    <x v="1"/>
    <n v="28"/>
    <x v="1"/>
    <x v="0"/>
    <x v="2"/>
    <n v="13"/>
    <n v="1"/>
    <x v="17"/>
    <x v="0"/>
    <x v="16"/>
  </r>
  <r>
    <n v="634"/>
    <n v="0"/>
    <x v="0"/>
    <x v="0"/>
    <s v=" Antti Gustaf Leinonen"/>
    <x v="0"/>
    <n v="32"/>
    <x v="1"/>
    <x v="0"/>
    <x v="0"/>
    <n v="7.9249999999999998"/>
    <n v="0"/>
    <x v="40"/>
    <x v="0"/>
    <x v="2"/>
  </r>
  <r>
    <n v="635"/>
    <n v="0"/>
    <x v="0"/>
    <x v="0"/>
    <s v=" Harvey Collyer"/>
    <x v="0"/>
    <n v="31"/>
    <x v="0"/>
    <x v="1"/>
    <x v="2"/>
    <n v="26.25"/>
    <n v="0"/>
    <x v="14"/>
    <x v="0"/>
    <x v="118"/>
  </r>
  <r>
    <n v="636"/>
    <n v="0"/>
    <x v="0"/>
    <x v="1"/>
    <s v=" Juha (Maria Emilia Ojala) Panula"/>
    <x v="1"/>
    <n v="41"/>
    <x v="1"/>
    <x v="3"/>
    <x v="0"/>
    <n v="39.6875"/>
    <n v="1"/>
    <x v="52"/>
    <x v="0"/>
    <x v="39"/>
  </r>
  <r>
    <n v="637"/>
    <n v="0"/>
    <x v="0"/>
    <x v="0"/>
    <s v=" Percival Thorneycroft"/>
    <x v="0"/>
    <n v="37"/>
    <x v="0"/>
    <x v="0"/>
    <x v="0"/>
    <n v="16.100000000000001"/>
    <n v="0"/>
    <x v="46"/>
    <x v="0"/>
    <x v="93"/>
  </r>
  <r>
    <n v="638"/>
    <n v="0"/>
    <x v="0"/>
    <x v="0"/>
    <s v=" Hans Peder Jensen"/>
    <x v="0"/>
    <n v="20"/>
    <x v="1"/>
    <x v="0"/>
    <x v="0"/>
    <n v="7.8541999999999996"/>
    <n v="0"/>
    <x v="10"/>
    <x v="0"/>
    <x v="13"/>
  </r>
  <r>
    <n v="639"/>
    <n v="1"/>
    <x v="1"/>
    <x v="12"/>
    <s v=" Emma Sagesser"/>
    <x v="1"/>
    <n v="24"/>
    <x v="1"/>
    <x v="0"/>
    <x v="1"/>
    <n v="69.3"/>
    <n v="1"/>
    <x v="20"/>
    <x v="0"/>
    <x v="157"/>
  </r>
  <r>
    <n v="640"/>
    <n v="0"/>
    <x v="0"/>
    <x v="2"/>
    <s v=" Margit Elizabeth Skoog"/>
    <x v="1"/>
    <n v="2"/>
    <x v="2"/>
    <x v="2"/>
    <x v="0"/>
    <n v="27.9"/>
    <n v="1"/>
    <x v="6"/>
    <x v="1"/>
    <x v="47"/>
  </r>
  <r>
    <n v="641"/>
    <n v="1"/>
    <x v="1"/>
    <x v="0"/>
    <s v=" Choong Foo"/>
    <x v="0"/>
    <n v="32"/>
    <x v="1"/>
    <x v="0"/>
    <x v="0"/>
    <n v="56.495800000000003"/>
    <n v="0"/>
    <x v="40"/>
    <x v="0"/>
    <x v="53"/>
  </r>
  <r>
    <n v="642"/>
    <n v="1"/>
    <x v="1"/>
    <x v="2"/>
    <s v=" Eugenie Baclini"/>
    <x v="1"/>
    <n v="0.75"/>
    <x v="4"/>
    <x v="1"/>
    <x v="0"/>
    <n v="19.258299999999998"/>
    <n v="1"/>
    <x v="42"/>
    <x v="1"/>
    <x v="173"/>
  </r>
  <r>
    <n v="643"/>
    <n v="1"/>
    <x v="1"/>
    <x v="0"/>
    <s v=" Henry Sleeper Harper"/>
    <x v="0"/>
    <n v="48"/>
    <x v="0"/>
    <x v="0"/>
    <x v="1"/>
    <n v="76.729200000000006"/>
    <n v="0"/>
    <x v="22"/>
    <x v="0"/>
    <x v="41"/>
  </r>
  <r>
    <n v="644"/>
    <n v="0"/>
    <x v="0"/>
    <x v="0"/>
    <s v=" Liudevit Cor"/>
    <x v="0"/>
    <n v="19"/>
    <x v="1"/>
    <x v="0"/>
    <x v="0"/>
    <n v="7.8958000000000004"/>
    <n v="0"/>
    <x v="19"/>
    <x v="0"/>
    <x v="25"/>
  </r>
  <r>
    <n v="645"/>
    <n v="1"/>
    <x v="1"/>
    <x v="13"/>
    <s v=" Oberst Alfons Simonius-Blumer"/>
    <x v="0"/>
    <n v="56"/>
    <x v="1"/>
    <x v="0"/>
    <x v="1"/>
    <n v="35.5"/>
    <n v="0"/>
    <x v="51"/>
    <x v="0"/>
    <x v="21"/>
  </r>
  <r>
    <n v="646"/>
    <n v="0"/>
    <x v="0"/>
    <x v="0"/>
    <s v=" Edward Willey"/>
    <x v="0"/>
    <n v="21"/>
    <x v="1"/>
    <x v="0"/>
    <x v="0"/>
    <n v="7.55"/>
    <n v="0"/>
    <x v="26"/>
    <x v="0"/>
    <x v="117"/>
  </r>
  <r>
    <n v="647"/>
    <n v="1"/>
    <x v="1"/>
    <x v="2"/>
    <s v=" Amy Zillah Elsie Stanley"/>
    <x v="1"/>
    <n v="23"/>
    <x v="1"/>
    <x v="0"/>
    <x v="0"/>
    <n v="7.55"/>
    <n v="1"/>
    <x v="13"/>
    <x v="0"/>
    <x v="117"/>
  </r>
  <r>
    <n v="648"/>
    <n v="0"/>
    <x v="0"/>
    <x v="0"/>
    <s v=" Mito Mitkoff"/>
    <x v="0"/>
    <n v="23"/>
    <x v="1"/>
    <x v="0"/>
    <x v="0"/>
    <n v="7.8958000000000004"/>
    <n v="0"/>
    <x v="13"/>
    <x v="0"/>
    <x v="25"/>
  </r>
  <r>
    <n v="649"/>
    <n v="1"/>
    <x v="1"/>
    <x v="2"/>
    <s v=" Elsie Doling"/>
    <x v="1"/>
    <n v="18"/>
    <x v="1"/>
    <x v="1"/>
    <x v="2"/>
    <n v="23"/>
    <n v="1"/>
    <x v="23"/>
    <x v="0"/>
    <x v="67"/>
  </r>
  <r>
    <n v="650"/>
    <n v="0"/>
    <x v="0"/>
    <x v="0"/>
    <s v=" Johannes Halvorsen Kalvik"/>
    <x v="0"/>
    <n v="21"/>
    <x v="1"/>
    <x v="0"/>
    <x v="0"/>
    <n v="8.4332999999999991"/>
    <n v="0"/>
    <x v="26"/>
    <x v="0"/>
    <x v="210"/>
  </r>
  <r>
    <n v="651"/>
    <n v="1"/>
    <x v="1"/>
    <x v="2"/>
    <s v=" Hanora O'Leary"/>
    <x v="1"/>
    <n v="16"/>
    <x v="1"/>
    <x v="0"/>
    <x v="0"/>
    <n v="7.8292000000000002"/>
    <n v="1"/>
    <x v="29"/>
    <x v="1"/>
    <x v="196"/>
  </r>
  <r>
    <n v="652"/>
    <n v="0"/>
    <x v="0"/>
    <x v="2"/>
    <s v=" Hanora Hegarty"/>
    <x v="1"/>
    <n v="18"/>
    <x v="1"/>
    <x v="0"/>
    <x v="0"/>
    <n v="6.75"/>
    <n v="1"/>
    <x v="23"/>
    <x v="0"/>
    <x v="84"/>
  </r>
  <r>
    <n v="653"/>
    <n v="0"/>
    <x v="0"/>
    <x v="0"/>
    <s v=" Leonard Mark Hickman"/>
    <x v="0"/>
    <n v="24"/>
    <x v="4"/>
    <x v="0"/>
    <x v="2"/>
    <n v="73.5"/>
    <n v="0"/>
    <x v="20"/>
    <x v="0"/>
    <x v="51"/>
  </r>
  <r>
    <n v="654"/>
    <n v="0"/>
    <x v="0"/>
    <x v="0"/>
    <s v=" Alexander Radeff"/>
    <x v="0"/>
    <n v="27"/>
    <x v="1"/>
    <x v="0"/>
    <x v="0"/>
    <n v="7.8958000000000004"/>
    <n v="0"/>
    <x v="4"/>
    <x v="0"/>
    <x v="25"/>
  </r>
  <r>
    <n v="655"/>
    <n v="0"/>
    <x v="0"/>
    <x v="1"/>
    <s v=" John (Catherine) Bourke"/>
    <x v="1"/>
    <n v="32"/>
    <x v="0"/>
    <x v="1"/>
    <x v="0"/>
    <n v="15.5"/>
    <n v="1"/>
    <x v="40"/>
    <x v="0"/>
    <x v="36"/>
  </r>
  <r>
    <n v="656"/>
    <n v="0"/>
    <x v="0"/>
    <x v="0"/>
    <s v=" George Floyd Eitemiller"/>
    <x v="0"/>
    <n v="23"/>
    <x v="1"/>
    <x v="0"/>
    <x v="2"/>
    <n v="13"/>
    <n v="0"/>
    <x v="13"/>
    <x v="0"/>
    <x v="16"/>
  </r>
  <r>
    <n v="657"/>
    <n v="0"/>
    <x v="0"/>
    <x v="0"/>
    <s v=" Arthur Webster Newell"/>
    <x v="0"/>
    <n v="58"/>
    <x v="1"/>
    <x v="2"/>
    <x v="1"/>
    <n v="113.27500000000001"/>
    <n v="0"/>
    <x v="9"/>
    <x v="0"/>
    <x v="111"/>
  </r>
  <r>
    <n v="658"/>
    <n v="1"/>
    <x v="1"/>
    <x v="6"/>
    <s v=" Henry William Frauenthal"/>
    <x v="0"/>
    <n v="50"/>
    <x v="4"/>
    <x v="0"/>
    <x v="1"/>
    <n v="133.65"/>
    <n v="0"/>
    <x v="56"/>
    <x v="0"/>
    <x v="152"/>
  </r>
  <r>
    <n v="659"/>
    <n v="0"/>
    <x v="0"/>
    <x v="0"/>
    <s v=" Mohamed Badt"/>
    <x v="0"/>
    <n v="40"/>
    <x v="1"/>
    <x v="0"/>
    <x v="0"/>
    <n v="7.2249999999999996"/>
    <n v="0"/>
    <x v="21"/>
    <x v="0"/>
    <x v="18"/>
  </r>
  <r>
    <n v="660"/>
    <n v="0"/>
    <x v="0"/>
    <x v="0"/>
    <s v=" Edward Pomeroy Colley"/>
    <x v="0"/>
    <n v="47"/>
    <x v="1"/>
    <x v="0"/>
    <x v="1"/>
    <n v="25.587499999999999"/>
    <n v="0"/>
    <x v="47"/>
    <x v="0"/>
    <x v="211"/>
  </r>
  <r>
    <n v="661"/>
    <n v="0"/>
    <x v="0"/>
    <x v="0"/>
    <s v=" Peju Coleff"/>
    <x v="0"/>
    <n v="36"/>
    <x v="1"/>
    <x v="0"/>
    <x v="0"/>
    <n v="7.4958"/>
    <n v="0"/>
    <x v="57"/>
    <x v="0"/>
    <x v="189"/>
  </r>
  <r>
    <n v="662"/>
    <n v="1"/>
    <x v="1"/>
    <x v="0"/>
    <s v=" Eino William Lindqvist"/>
    <x v="0"/>
    <n v="20"/>
    <x v="0"/>
    <x v="0"/>
    <x v="0"/>
    <n v="7.9249999999999998"/>
    <n v="0"/>
    <x v="10"/>
    <x v="0"/>
    <x v="2"/>
  </r>
  <r>
    <n v="663"/>
    <n v="0"/>
    <x v="0"/>
    <x v="0"/>
    <s v=" Lewis Hickman"/>
    <x v="0"/>
    <n v="32"/>
    <x v="4"/>
    <x v="0"/>
    <x v="2"/>
    <n v="73.5"/>
    <n v="0"/>
    <x v="40"/>
    <x v="0"/>
    <x v="51"/>
  </r>
  <r>
    <n v="664"/>
    <n v="0"/>
    <x v="0"/>
    <x v="0"/>
    <s v=" Reginald Fenton Butler"/>
    <x v="0"/>
    <n v="25"/>
    <x v="1"/>
    <x v="0"/>
    <x v="2"/>
    <n v="13"/>
    <n v="0"/>
    <x v="41"/>
    <x v="0"/>
    <x v="16"/>
  </r>
  <r>
    <n v="665"/>
    <n v="0"/>
    <x v="0"/>
    <x v="0"/>
    <s v=" Knud Paust Rommetvedt"/>
    <x v="0"/>
    <n v="49"/>
    <x v="1"/>
    <x v="0"/>
    <x v="0"/>
    <n v="7.7750000000000004"/>
    <n v="0"/>
    <x v="31"/>
    <x v="0"/>
    <x v="70"/>
  </r>
  <r>
    <n v="666"/>
    <n v="0"/>
    <x v="0"/>
    <x v="0"/>
    <s v=" Jacob Cook"/>
    <x v="0"/>
    <n v="43"/>
    <x v="1"/>
    <x v="0"/>
    <x v="0"/>
    <n v="8.0500000000000007"/>
    <n v="0"/>
    <x v="62"/>
    <x v="0"/>
    <x v="4"/>
  </r>
  <r>
    <n v="667"/>
    <n v="1"/>
    <x v="1"/>
    <x v="1"/>
    <s v=" Elmer Zebley (Juliet Cummins Wright) Taylor"/>
    <x v="1"/>
    <n v="48"/>
    <x v="0"/>
    <x v="0"/>
    <x v="1"/>
    <n v="52"/>
    <n v="1"/>
    <x v="22"/>
    <x v="0"/>
    <x v="31"/>
  </r>
  <r>
    <n v="668"/>
    <n v="1"/>
    <x v="1"/>
    <x v="1"/>
    <s v=" Thomas William Solomon (Elizabeth Catherine Ford) Brown"/>
    <x v="1"/>
    <n v="40"/>
    <x v="0"/>
    <x v="1"/>
    <x v="2"/>
    <n v="39"/>
    <n v="1"/>
    <x v="21"/>
    <x v="0"/>
    <x v="103"/>
  </r>
  <r>
    <n v="669"/>
    <n v="0"/>
    <x v="0"/>
    <x v="0"/>
    <s v=" Thornton Davidson"/>
    <x v="0"/>
    <n v="31"/>
    <x v="0"/>
    <x v="0"/>
    <x v="1"/>
    <n v="52"/>
    <n v="0"/>
    <x v="14"/>
    <x v="0"/>
    <x v="31"/>
  </r>
  <r>
    <n v="670"/>
    <n v="0"/>
    <x v="0"/>
    <x v="0"/>
    <s v=" Henry Michael Mitchell"/>
    <x v="0"/>
    <n v="70"/>
    <x v="1"/>
    <x v="0"/>
    <x v="2"/>
    <n v="10.5"/>
    <n v="0"/>
    <x v="68"/>
    <x v="0"/>
    <x v="29"/>
  </r>
  <r>
    <n v="671"/>
    <n v="1"/>
    <x v="1"/>
    <x v="0"/>
    <s v=" Charles Wilhelms"/>
    <x v="0"/>
    <n v="31"/>
    <x v="1"/>
    <x v="0"/>
    <x v="2"/>
    <n v="13"/>
    <n v="0"/>
    <x v="14"/>
    <x v="0"/>
    <x v="16"/>
  </r>
  <r>
    <n v="672"/>
    <n v="0"/>
    <x v="0"/>
    <x v="0"/>
    <s v=" Ennis Hastings Watson"/>
    <x v="0"/>
    <n v="19"/>
    <x v="1"/>
    <x v="0"/>
    <x v="2"/>
    <n v="0"/>
    <n v="0"/>
    <x v="19"/>
    <x v="0"/>
    <x v="102"/>
  </r>
  <r>
    <n v="673"/>
    <n v="0"/>
    <x v="0"/>
    <x v="0"/>
    <s v=" Gustaf Hjalmar Edvardsson"/>
    <x v="0"/>
    <n v="18"/>
    <x v="1"/>
    <x v="0"/>
    <x v="0"/>
    <n v="7.7750000000000004"/>
    <n v="0"/>
    <x v="23"/>
    <x v="0"/>
    <x v="70"/>
  </r>
  <r>
    <n v="674"/>
    <n v="0"/>
    <x v="0"/>
    <x v="0"/>
    <s v=" Frederick Charles Sawyer"/>
    <x v="0"/>
    <n v="24.5"/>
    <x v="1"/>
    <x v="0"/>
    <x v="0"/>
    <n v="8.0500000000000007"/>
    <n v="0"/>
    <x v="41"/>
    <x v="0"/>
    <x v="4"/>
  </r>
  <r>
    <n v="675"/>
    <n v="1"/>
    <x v="1"/>
    <x v="2"/>
    <s v=" Anna Sofia Turja"/>
    <x v="1"/>
    <n v="18"/>
    <x v="1"/>
    <x v="0"/>
    <x v="0"/>
    <n v="9.8416999999999994"/>
    <n v="1"/>
    <x v="23"/>
    <x v="0"/>
    <x v="178"/>
  </r>
  <r>
    <n v="676"/>
    <n v="0"/>
    <x v="0"/>
    <x v="1"/>
    <s v=" Frederick (Augusta Tyler) Goodwin"/>
    <x v="1"/>
    <n v="43"/>
    <x v="0"/>
    <x v="6"/>
    <x v="0"/>
    <n v="46.9"/>
    <n v="1"/>
    <x v="62"/>
    <x v="0"/>
    <x v="44"/>
  </r>
  <r>
    <n v="677"/>
    <n v="1"/>
    <x v="1"/>
    <x v="0"/>
    <s v=" Thomas Drake Martinez Cardeza"/>
    <x v="0"/>
    <n v="36"/>
    <x v="1"/>
    <x v="1"/>
    <x v="1"/>
    <n v="512.32920000000001"/>
    <n v="0"/>
    <x v="57"/>
    <x v="0"/>
    <x v="124"/>
  </r>
  <r>
    <n v="678"/>
    <n v="0"/>
    <x v="0"/>
    <x v="2"/>
    <s v=" Katie Peters"/>
    <x v="1"/>
    <n v="28"/>
    <x v="1"/>
    <x v="0"/>
    <x v="0"/>
    <n v="8.1374999999999993"/>
    <n v="1"/>
    <x v="17"/>
    <x v="0"/>
    <x v="212"/>
  </r>
  <r>
    <n v="679"/>
    <n v="1"/>
    <x v="1"/>
    <x v="0"/>
    <s v=" Hammad Hassab"/>
    <x v="0"/>
    <n v="27"/>
    <x v="1"/>
    <x v="0"/>
    <x v="1"/>
    <n v="76.729200000000006"/>
    <n v="0"/>
    <x v="4"/>
    <x v="0"/>
    <x v="41"/>
  </r>
  <r>
    <n v="680"/>
    <n v="0"/>
    <x v="0"/>
    <x v="0"/>
    <s v=" Thor Anderson Olsvigen"/>
    <x v="0"/>
    <n v="20"/>
    <x v="1"/>
    <x v="0"/>
    <x v="0"/>
    <n v="9.2249999999999996"/>
    <n v="0"/>
    <x v="10"/>
    <x v="0"/>
    <x v="154"/>
  </r>
  <r>
    <n v="681"/>
    <n v="0"/>
    <x v="0"/>
    <x v="0"/>
    <s v=" Charles Edward Goodwin"/>
    <x v="0"/>
    <n v="14"/>
    <x v="5"/>
    <x v="2"/>
    <x v="0"/>
    <n v="46.9"/>
    <n v="0"/>
    <x v="7"/>
    <x v="1"/>
    <x v="44"/>
  </r>
  <r>
    <n v="682"/>
    <n v="0"/>
    <x v="0"/>
    <x v="0"/>
    <s v=" Thomas William Solomon Brown"/>
    <x v="0"/>
    <n v="60"/>
    <x v="0"/>
    <x v="1"/>
    <x v="2"/>
    <n v="39"/>
    <n v="0"/>
    <x v="54"/>
    <x v="0"/>
    <x v="103"/>
  </r>
  <r>
    <n v="683"/>
    <n v="0"/>
    <x v="0"/>
    <x v="0"/>
    <s v=" Joseph Philippe Lemercier Laroche"/>
    <x v="0"/>
    <n v="25"/>
    <x v="0"/>
    <x v="2"/>
    <x v="2"/>
    <n v="41.5792"/>
    <n v="0"/>
    <x v="41"/>
    <x v="0"/>
    <x v="35"/>
  </r>
  <r>
    <n v="684"/>
    <n v="0"/>
    <x v="0"/>
    <x v="0"/>
    <s v=" Jaako Arnold Panula"/>
    <x v="0"/>
    <n v="14"/>
    <x v="3"/>
    <x v="1"/>
    <x v="0"/>
    <n v="39.6875"/>
    <n v="0"/>
    <x v="7"/>
    <x v="1"/>
    <x v="39"/>
  </r>
  <r>
    <n v="685"/>
    <n v="0"/>
    <x v="0"/>
    <x v="0"/>
    <s v=" Branko Dakic"/>
    <x v="0"/>
    <n v="19"/>
    <x v="1"/>
    <x v="0"/>
    <x v="0"/>
    <n v="10.1708"/>
    <n v="0"/>
    <x v="19"/>
    <x v="0"/>
    <x v="213"/>
  </r>
  <r>
    <n v="686"/>
    <n v="0"/>
    <x v="0"/>
    <x v="0"/>
    <s v=" Eberhard Thelander Fischer"/>
    <x v="0"/>
    <n v="18"/>
    <x v="1"/>
    <x v="0"/>
    <x v="0"/>
    <n v="7.7957999999999998"/>
    <n v="0"/>
    <x v="23"/>
    <x v="0"/>
    <x v="40"/>
  </r>
  <r>
    <n v="687"/>
    <n v="1"/>
    <x v="1"/>
    <x v="2"/>
    <s v=" Georgette Alexandra Madill"/>
    <x v="1"/>
    <n v="15"/>
    <x v="1"/>
    <x v="1"/>
    <x v="1"/>
    <n v="211.33750000000001"/>
    <n v="1"/>
    <x v="16"/>
    <x v="1"/>
    <x v="214"/>
  </r>
  <r>
    <n v="688"/>
    <n v="1"/>
    <x v="1"/>
    <x v="0"/>
    <s v=" Albert Adrian Dick"/>
    <x v="0"/>
    <n v="31"/>
    <x v="0"/>
    <x v="0"/>
    <x v="1"/>
    <n v="57"/>
    <n v="0"/>
    <x v="14"/>
    <x v="0"/>
    <x v="215"/>
  </r>
  <r>
    <n v="689"/>
    <n v="1"/>
    <x v="1"/>
    <x v="2"/>
    <s v=" Manca Karun"/>
    <x v="1"/>
    <n v="4"/>
    <x v="1"/>
    <x v="1"/>
    <x v="0"/>
    <n v="13.416700000000001"/>
    <n v="1"/>
    <x v="8"/>
    <x v="1"/>
    <x v="216"/>
  </r>
  <r>
    <n v="690"/>
    <n v="1"/>
    <x v="1"/>
    <x v="0"/>
    <s v=" Ali Lam"/>
    <x v="0"/>
    <n v="37"/>
    <x v="1"/>
    <x v="0"/>
    <x v="0"/>
    <n v="56.495800000000003"/>
    <n v="0"/>
    <x v="46"/>
    <x v="0"/>
    <x v="53"/>
  </r>
  <r>
    <n v="691"/>
    <n v="0"/>
    <x v="0"/>
    <x v="0"/>
    <s v=" Khalil Saad"/>
    <x v="0"/>
    <n v="25"/>
    <x v="1"/>
    <x v="0"/>
    <x v="0"/>
    <n v="7.2249999999999996"/>
    <n v="0"/>
    <x v="41"/>
    <x v="0"/>
    <x v="18"/>
  </r>
  <r>
    <n v="692"/>
    <n v="0"/>
    <x v="0"/>
    <x v="13"/>
    <s v=" John Weir"/>
    <x v="0"/>
    <n v="60"/>
    <x v="1"/>
    <x v="0"/>
    <x v="1"/>
    <n v="26.55"/>
    <n v="0"/>
    <x v="54"/>
    <x v="0"/>
    <x v="11"/>
  </r>
  <r>
    <n v="693"/>
    <n v="0"/>
    <x v="0"/>
    <x v="0"/>
    <s v=" Charles Henry Chapman"/>
    <x v="0"/>
    <n v="52"/>
    <x v="1"/>
    <x v="0"/>
    <x v="2"/>
    <n v="13.5"/>
    <n v="0"/>
    <x v="59"/>
    <x v="0"/>
    <x v="116"/>
  </r>
  <r>
    <n v="694"/>
    <n v="0"/>
    <x v="0"/>
    <x v="0"/>
    <s v=" James Kelly"/>
    <x v="0"/>
    <n v="44"/>
    <x v="1"/>
    <x v="0"/>
    <x v="0"/>
    <n v="8.0500000000000007"/>
    <n v="0"/>
    <x v="53"/>
    <x v="0"/>
    <x v="4"/>
  </r>
  <r>
    <n v="695"/>
    <n v="1"/>
    <x v="1"/>
    <x v="2"/>
    <s v=" Katherine Mullens"/>
    <x v="1"/>
    <n v="19"/>
    <x v="1"/>
    <x v="0"/>
    <x v="0"/>
    <n v="7.7332999999999998"/>
    <n v="1"/>
    <x v="19"/>
    <x v="0"/>
    <x v="91"/>
  </r>
  <r>
    <n v="696"/>
    <n v="0"/>
    <x v="0"/>
    <x v="0"/>
    <s v=" John Borland Thayer"/>
    <x v="0"/>
    <n v="49"/>
    <x v="0"/>
    <x v="1"/>
    <x v="1"/>
    <n v="110.88330000000001"/>
    <n v="0"/>
    <x v="31"/>
    <x v="0"/>
    <x v="140"/>
  </r>
  <r>
    <n v="697"/>
    <n v="0"/>
    <x v="0"/>
    <x v="0"/>
    <s v=" Adolf Mathias Nicolai Olsen Humblen"/>
    <x v="0"/>
    <n v="42"/>
    <x v="1"/>
    <x v="0"/>
    <x v="0"/>
    <n v="7.65"/>
    <n v="0"/>
    <x v="25"/>
    <x v="0"/>
    <x v="54"/>
  </r>
  <r>
    <n v="698"/>
    <n v="1"/>
    <x v="1"/>
    <x v="1"/>
    <s v=" John Jacob (Madeleine Talmadge Force) Astor"/>
    <x v="1"/>
    <n v="18"/>
    <x v="0"/>
    <x v="0"/>
    <x v="1"/>
    <n v="227.52500000000001"/>
    <n v="1"/>
    <x v="23"/>
    <x v="0"/>
    <x v="161"/>
  </r>
  <r>
    <n v="699"/>
    <n v="1"/>
    <x v="1"/>
    <x v="0"/>
    <s v=" Spencer Victor Silverthorne"/>
    <x v="0"/>
    <n v="35"/>
    <x v="1"/>
    <x v="0"/>
    <x v="1"/>
    <n v="26.287500000000001"/>
    <n v="0"/>
    <x v="3"/>
    <x v="0"/>
    <x v="187"/>
  </r>
  <r>
    <n v="700"/>
    <n v="0"/>
    <x v="0"/>
    <x v="2"/>
    <s v=" Saiide Barbara"/>
    <x v="1"/>
    <n v="18"/>
    <x v="1"/>
    <x v="1"/>
    <x v="0"/>
    <n v="14.4542"/>
    <n v="1"/>
    <x v="23"/>
    <x v="0"/>
    <x v="52"/>
  </r>
  <r>
    <n v="701"/>
    <n v="0"/>
    <x v="0"/>
    <x v="0"/>
    <s v=" Martin Gallagher"/>
    <x v="0"/>
    <n v="25"/>
    <x v="1"/>
    <x v="0"/>
    <x v="0"/>
    <n v="7.7416999999999998"/>
    <n v="0"/>
    <x v="41"/>
    <x v="0"/>
    <x v="217"/>
  </r>
  <r>
    <n v="702"/>
    <n v="0"/>
    <x v="0"/>
    <x v="0"/>
    <s v=" Henrik Juul Hansen"/>
    <x v="0"/>
    <n v="26"/>
    <x v="0"/>
    <x v="0"/>
    <x v="0"/>
    <n v="7.8541999999999996"/>
    <n v="0"/>
    <x v="2"/>
    <x v="0"/>
    <x v="13"/>
  </r>
  <r>
    <n v="703"/>
    <n v="0"/>
    <x v="0"/>
    <x v="0"/>
    <s v=" Henry Samuel Morley"/>
    <x v="0"/>
    <n v="39"/>
    <x v="1"/>
    <x v="0"/>
    <x v="2"/>
    <n v="26"/>
    <n v="0"/>
    <x v="11"/>
    <x v="0"/>
    <x v="19"/>
  </r>
  <r>
    <n v="704"/>
    <n v="1"/>
    <x v="1"/>
    <x v="1"/>
    <s v=" Florence Kelly"/>
    <x v="1"/>
    <n v="45"/>
    <x v="1"/>
    <x v="0"/>
    <x v="2"/>
    <n v="13.5"/>
    <n v="1"/>
    <x v="37"/>
    <x v="0"/>
    <x v="116"/>
  </r>
  <r>
    <n v="705"/>
    <n v="1"/>
    <x v="1"/>
    <x v="0"/>
    <s v=" Edward Pennington Calderhead"/>
    <x v="0"/>
    <n v="42"/>
    <x v="1"/>
    <x v="0"/>
    <x v="1"/>
    <n v="26.287500000000001"/>
    <n v="0"/>
    <x v="25"/>
    <x v="0"/>
    <x v="187"/>
  </r>
  <r>
    <n v="706"/>
    <n v="1"/>
    <x v="1"/>
    <x v="2"/>
    <s v=" Alice Cleaver"/>
    <x v="1"/>
    <n v="22"/>
    <x v="1"/>
    <x v="0"/>
    <x v="1"/>
    <n v="151.55000000000001"/>
    <n v="1"/>
    <x v="0"/>
    <x v="0"/>
    <x v="136"/>
  </r>
  <r>
    <n v="707"/>
    <n v="1"/>
    <x v="1"/>
    <x v="3"/>
    <s v=" Halim Gonios Moubarek"/>
    <x v="0"/>
    <n v="4"/>
    <x v="0"/>
    <x v="1"/>
    <x v="0"/>
    <n v="15.245799999999999"/>
    <n v="0"/>
    <x v="8"/>
    <x v="1"/>
    <x v="48"/>
  </r>
  <r>
    <n v="708"/>
    <n v="1"/>
    <x v="1"/>
    <x v="12"/>
    <s v=" Berthe Antonine Mayne"/>
    <x v="1"/>
    <n v="24"/>
    <x v="1"/>
    <x v="0"/>
    <x v="1"/>
    <n v="49.504199999999997"/>
    <n v="1"/>
    <x v="20"/>
    <x v="0"/>
    <x v="182"/>
  </r>
  <r>
    <n v="709"/>
    <n v="0"/>
    <x v="0"/>
    <x v="0"/>
    <s v=" Herman Klaber"/>
    <x v="0"/>
    <n v="41"/>
    <x v="1"/>
    <x v="0"/>
    <x v="1"/>
    <n v="26.55"/>
    <n v="0"/>
    <x v="52"/>
    <x v="0"/>
    <x v="11"/>
  </r>
  <r>
    <n v="710"/>
    <n v="1"/>
    <x v="1"/>
    <x v="0"/>
    <s v=" Elmer Zebley Taylor"/>
    <x v="0"/>
    <n v="48"/>
    <x v="0"/>
    <x v="0"/>
    <x v="1"/>
    <n v="52"/>
    <n v="0"/>
    <x v="22"/>
    <x v="0"/>
    <x v="31"/>
  </r>
  <r>
    <n v="711"/>
    <n v="0"/>
    <x v="0"/>
    <x v="0"/>
    <s v=" August Viktor Larsson"/>
    <x v="0"/>
    <n v="29"/>
    <x v="1"/>
    <x v="0"/>
    <x v="0"/>
    <n v="9.4832999999999998"/>
    <n v="0"/>
    <x v="32"/>
    <x v="0"/>
    <x v="33"/>
  </r>
  <r>
    <n v="712"/>
    <n v="0"/>
    <x v="0"/>
    <x v="0"/>
    <s v=" Samuel Greenberg"/>
    <x v="0"/>
    <n v="52"/>
    <x v="1"/>
    <x v="0"/>
    <x v="2"/>
    <n v="13"/>
    <n v="0"/>
    <x v="59"/>
    <x v="0"/>
    <x v="16"/>
  </r>
  <r>
    <n v="713"/>
    <n v="0"/>
    <x v="0"/>
    <x v="0"/>
    <s v=" Peter Andreas Lauritz Andersen Soholt"/>
    <x v="0"/>
    <n v="19"/>
    <x v="1"/>
    <x v="0"/>
    <x v="0"/>
    <n v="7.65"/>
    <n v="0"/>
    <x v="19"/>
    <x v="0"/>
    <x v="54"/>
  </r>
  <r>
    <n v="714"/>
    <n v="1"/>
    <x v="1"/>
    <x v="2"/>
    <s v=" Caroline Louise Endres"/>
    <x v="1"/>
    <n v="38"/>
    <x v="1"/>
    <x v="0"/>
    <x v="1"/>
    <n v="227.52500000000001"/>
    <n v="1"/>
    <x v="1"/>
    <x v="0"/>
    <x v="161"/>
  </r>
  <r>
    <n v="715"/>
    <n v="1"/>
    <x v="1"/>
    <x v="2"/>
    <s v=" Edwina Celia Troutt"/>
    <x v="1"/>
    <n v="27"/>
    <x v="1"/>
    <x v="0"/>
    <x v="2"/>
    <n v="10.5"/>
    <n v="1"/>
    <x v="4"/>
    <x v="0"/>
    <x v="29"/>
  </r>
  <r>
    <n v="716"/>
    <n v="0"/>
    <x v="0"/>
    <x v="0"/>
    <s v=" Malkolm Joackim Johnson"/>
    <x v="0"/>
    <n v="33"/>
    <x v="1"/>
    <x v="0"/>
    <x v="0"/>
    <n v="7.7750000000000004"/>
    <n v="0"/>
    <x v="43"/>
    <x v="0"/>
    <x v="70"/>
  </r>
  <r>
    <n v="717"/>
    <n v="1"/>
    <x v="1"/>
    <x v="2"/>
    <s v=" Annie Jessie Harper"/>
    <x v="1"/>
    <n v="6"/>
    <x v="1"/>
    <x v="1"/>
    <x v="2"/>
    <n v="33"/>
    <n v="1"/>
    <x v="69"/>
    <x v="1"/>
    <x v="205"/>
  </r>
  <r>
    <n v="718"/>
    <n v="0"/>
    <x v="0"/>
    <x v="0"/>
    <s v=" Svend Lauritz Jensen"/>
    <x v="0"/>
    <n v="17"/>
    <x v="0"/>
    <x v="0"/>
    <x v="0"/>
    <n v="7.0541999999999998"/>
    <n v="0"/>
    <x v="39"/>
    <x v="0"/>
    <x v="78"/>
  </r>
  <r>
    <n v="719"/>
    <n v="0"/>
    <x v="0"/>
    <x v="0"/>
    <s v=" William Henry Gillespie"/>
    <x v="0"/>
    <n v="34"/>
    <x v="1"/>
    <x v="0"/>
    <x v="2"/>
    <n v="13"/>
    <n v="0"/>
    <x v="15"/>
    <x v="0"/>
    <x v="16"/>
  </r>
  <r>
    <n v="720"/>
    <n v="0"/>
    <x v="0"/>
    <x v="0"/>
    <s v=" Henry Price Hodges"/>
    <x v="0"/>
    <n v="50"/>
    <x v="1"/>
    <x v="0"/>
    <x v="2"/>
    <n v="13"/>
    <n v="0"/>
    <x v="56"/>
    <x v="0"/>
    <x v="16"/>
  </r>
  <r>
    <n v="721"/>
    <n v="1"/>
    <x v="1"/>
    <x v="0"/>
    <s v=" Norman Campbell Chambers"/>
    <x v="0"/>
    <n v="27"/>
    <x v="0"/>
    <x v="0"/>
    <x v="1"/>
    <n v="53.1"/>
    <n v="0"/>
    <x v="4"/>
    <x v="0"/>
    <x v="3"/>
  </r>
  <r>
    <n v="722"/>
    <n v="0"/>
    <x v="0"/>
    <x v="0"/>
    <s v=" Luka Oreskovic"/>
    <x v="0"/>
    <n v="20"/>
    <x v="1"/>
    <x v="0"/>
    <x v="0"/>
    <n v="8.6624999999999996"/>
    <n v="0"/>
    <x v="10"/>
    <x v="0"/>
    <x v="50"/>
  </r>
  <r>
    <n v="723"/>
    <n v="1"/>
    <x v="1"/>
    <x v="1"/>
    <s v=" Peter Henry (Lillian Jefferys) Renouf"/>
    <x v="1"/>
    <n v="30"/>
    <x v="2"/>
    <x v="0"/>
    <x v="2"/>
    <n v="21"/>
    <n v="1"/>
    <x v="28"/>
    <x v="0"/>
    <x v="34"/>
  </r>
  <r>
    <n v="724"/>
    <n v="1"/>
    <x v="1"/>
    <x v="2"/>
    <s v=" Margareth Mannion"/>
    <x v="1"/>
    <n v="28"/>
    <x v="1"/>
    <x v="0"/>
    <x v="0"/>
    <n v="7.7374999999999998"/>
    <n v="1"/>
    <x v="17"/>
    <x v="0"/>
    <x v="217"/>
  </r>
  <r>
    <n v="725"/>
    <n v="0"/>
    <x v="0"/>
    <x v="0"/>
    <s v=" Kurt Arnold Gottfrid Bryhl"/>
    <x v="0"/>
    <n v="25"/>
    <x v="0"/>
    <x v="0"/>
    <x v="2"/>
    <n v="26"/>
    <n v="0"/>
    <x v="41"/>
    <x v="0"/>
    <x v="19"/>
  </r>
  <r>
    <n v="726"/>
    <n v="0"/>
    <x v="0"/>
    <x v="2"/>
    <s v=" Pieta Sofia Ilmakangas"/>
    <x v="1"/>
    <n v="25"/>
    <x v="0"/>
    <x v="0"/>
    <x v="0"/>
    <n v="7.9249999999999998"/>
    <n v="1"/>
    <x v="41"/>
    <x v="0"/>
    <x v="2"/>
  </r>
  <r>
    <n v="727"/>
    <n v="1"/>
    <x v="1"/>
    <x v="2"/>
    <s v=" Elisabeth Walton Allen"/>
    <x v="1"/>
    <n v="29"/>
    <x v="1"/>
    <x v="0"/>
    <x v="1"/>
    <n v="211.33750000000001"/>
    <n v="1"/>
    <x v="32"/>
    <x v="0"/>
    <x v="214"/>
  </r>
  <r>
    <n v="728"/>
    <n v="0"/>
    <x v="0"/>
    <x v="0"/>
    <s v=" Houssein G N Hassan"/>
    <x v="0"/>
    <n v="11"/>
    <x v="1"/>
    <x v="0"/>
    <x v="0"/>
    <n v="18.787500000000001"/>
    <n v="0"/>
    <x v="36"/>
    <x v="1"/>
    <x v="109"/>
  </r>
  <r>
    <n v="729"/>
    <n v="0"/>
    <x v="0"/>
    <x v="0"/>
    <s v=" Robert J Knight"/>
    <x v="0"/>
    <n v="41"/>
    <x v="1"/>
    <x v="0"/>
    <x v="2"/>
    <n v="0"/>
    <n v="0"/>
    <x v="52"/>
    <x v="0"/>
    <x v="102"/>
  </r>
  <r>
    <n v="730"/>
    <n v="0"/>
    <x v="0"/>
    <x v="0"/>
    <s v=" William John Berriman"/>
    <x v="0"/>
    <n v="23"/>
    <x v="1"/>
    <x v="0"/>
    <x v="2"/>
    <n v="13"/>
    <n v="0"/>
    <x v="13"/>
    <x v="0"/>
    <x v="16"/>
  </r>
  <r>
    <n v="731"/>
    <n v="0"/>
    <x v="0"/>
    <x v="0"/>
    <s v=" Moses Aaron Troupiansky"/>
    <x v="0"/>
    <n v="23"/>
    <x v="1"/>
    <x v="0"/>
    <x v="2"/>
    <n v="13"/>
    <n v="0"/>
    <x v="13"/>
    <x v="0"/>
    <x v="16"/>
  </r>
  <r>
    <n v="732"/>
    <n v="0"/>
    <x v="0"/>
    <x v="0"/>
    <s v=" Leslie Williams"/>
    <x v="0"/>
    <n v="28.5"/>
    <x v="1"/>
    <x v="0"/>
    <x v="0"/>
    <n v="16.100000000000001"/>
    <n v="0"/>
    <x v="32"/>
    <x v="0"/>
    <x v="93"/>
  </r>
  <r>
    <n v="733"/>
    <n v="0"/>
    <x v="0"/>
    <x v="1"/>
    <s v=" Edward (Margaret Ann Watson) Ford"/>
    <x v="1"/>
    <n v="48"/>
    <x v="0"/>
    <x v="4"/>
    <x v="0"/>
    <n v="34.375"/>
    <n v="1"/>
    <x v="22"/>
    <x v="0"/>
    <x v="62"/>
  </r>
  <r>
    <n v="734"/>
    <n v="1"/>
    <x v="1"/>
    <x v="0"/>
    <s v=" Gustave J Lesurer"/>
    <x v="0"/>
    <n v="35"/>
    <x v="1"/>
    <x v="0"/>
    <x v="1"/>
    <n v="512.32920000000001"/>
    <n v="0"/>
    <x v="3"/>
    <x v="0"/>
    <x v="124"/>
  </r>
  <r>
    <n v="735"/>
    <n v="0"/>
    <x v="0"/>
    <x v="0"/>
    <s v=" Kanio Ivanoff"/>
    <x v="0"/>
    <n v="20"/>
    <x v="1"/>
    <x v="0"/>
    <x v="0"/>
    <n v="7.8958000000000004"/>
    <n v="0"/>
    <x v="10"/>
    <x v="0"/>
    <x v="25"/>
  </r>
  <r>
    <n v="736"/>
    <n v="0"/>
    <x v="0"/>
    <x v="0"/>
    <s v=" Minko Nankoff"/>
    <x v="0"/>
    <n v="32"/>
    <x v="1"/>
    <x v="0"/>
    <x v="0"/>
    <n v="7.8958000000000004"/>
    <n v="0"/>
    <x v="40"/>
    <x v="0"/>
    <x v="25"/>
  </r>
  <r>
    <n v="737"/>
    <n v="1"/>
    <x v="1"/>
    <x v="0"/>
    <s v=" Walter James Hawksford"/>
    <x v="0"/>
    <n v="45"/>
    <x v="1"/>
    <x v="0"/>
    <x v="1"/>
    <n v="30"/>
    <n v="0"/>
    <x v="37"/>
    <x v="0"/>
    <x v="201"/>
  </r>
  <r>
    <n v="738"/>
    <n v="0"/>
    <x v="0"/>
    <x v="0"/>
    <s v=" Tyrell William Cavendish"/>
    <x v="0"/>
    <n v="36"/>
    <x v="0"/>
    <x v="0"/>
    <x v="1"/>
    <n v="78.849999999999994"/>
    <n v="0"/>
    <x v="57"/>
    <x v="0"/>
    <x v="132"/>
  </r>
  <r>
    <n v="739"/>
    <n v="1"/>
    <x v="1"/>
    <x v="2"/>
    <s v=" Susan Parker Ryerson"/>
    <x v="1"/>
    <n v="21"/>
    <x v="4"/>
    <x v="2"/>
    <x v="1"/>
    <n v="262.375"/>
    <n v="1"/>
    <x v="26"/>
    <x v="0"/>
    <x v="145"/>
  </r>
  <r>
    <n v="740"/>
    <n v="0"/>
    <x v="0"/>
    <x v="0"/>
    <s v=" Neal McNamee"/>
    <x v="0"/>
    <n v="24"/>
    <x v="0"/>
    <x v="0"/>
    <x v="0"/>
    <n v="16.100000000000001"/>
    <n v="0"/>
    <x v="20"/>
    <x v="0"/>
    <x v="93"/>
  </r>
  <r>
    <n v="741"/>
    <n v="1"/>
    <x v="1"/>
    <x v="0"/>
    <s v=" Juho Stranden"/>
    <x v="0"/>
    <n v="31"/>
    <x v="1"/>
    <x v="0"/>
    <x v="0"/>
    <n v="7.9249999999999998"/>
    <n v="0"/>
    <x v="14"/>
    <x v="0"/>
    <x v="2"/>
  </r>
  <r>
    <n v="742"/>
    <n v="0"/>
    <x v="0"/>
    <x v="14"/>
    <s v=" Edward Gifford Crosby"/>
    <x v="0"/>
    <n v="70"/>
    <x v="0"/>
    <x v="1"/>
    <x v="1"/>
    <n v="71"/>
    <n v="0"/>
    <x v="68"/>
    <x v="0"/>
    <x v="194"/>
  </r>
  <r>
    <n v="743"/>
    <n v="0"/>
    <x v="0"/>
    <x v="0"/>
    <s v=" Rossmore Edward Abbott"/>
    <x v="0"/>
    <n v="16"/>
    <x v="0"/>
    <x v="1"/>
    <x v="0"/>
    <n v="20.25"/>
    <n v="0"/>
    <x v="29"/>
    <x v="1"/>
    <x v="131"/>
  </r>
  <r>
    <n v="744"/>
    <n v="1"/>
    <x v="1"/>
    <x v="2"/>
    <s v=" Anna Sinkkonen"/>
    <x v="1"/>
    <n v="30"/>
    <x v="1"/>
    <x v="0"/>
    <x v="2"/>
    <n v="13"/>
    <n v="1"/>
    <x v="28"/>
    <x v="0"/>
    <x v="16"/>
  </r>
  <r>
    <n v="745"/>
    <n v="0"/>
    <x v="0"/>
    <x v="0"/>
    <s v=" Daniel Warner Marvin"/>
    <x v="0"/>
    <n v="19"/>
    <x v="0"/>
    <x v="0"/>
    <x v="1"/>
    <n v="53.1"/>
    <n v="0"/>
    <x v="19"/>
    <x v="0"/>
    <x v="3"/>
  </r>
  <r>
    <n v="746"/>
    <n v="0"/>
    <x v="0"/>
    <x v="0"/>
    <s v=" Michael Connaghton"/>
    <x v="0"/>
    <n v="31"/>
    <x v="1"/>
    <x v="0"/>
    <x v="0"/>
    <n v="7.75"/>
    <n v="0"/>
    <x v="14"/>
    <x v="0"/>
    <x v="28"/>
  </r>
  <r>
    <n v="747"/>
    <n v="1"/>
    <x v="1"/>
    <x v="2"/>
    <s v=" Joan Wells"/>
    <x v="1"/>
    <n v="4"/>
    <x v="0"/>
    <x v="1"/>
    <x v="2"/>
    <n v="23"/>
    <n v="1"/>
    <x v="8"/>
    <x v="1"/>
    <x v="67"/>
  </r>
  <r>
    <n v="748"/>
    <n v="1"/>
    <x v="1"/>
    <x v="3"/>
    <s v=" Meier Moor"/>
    <x v="0"/>
    <n v="6"/>
    <x v="1"/>
    <x v="1"/>
    <x v="0"/>
    <n v="12.475"/>
    <n v="0"/>
    <x v="69"/>
    <x v="1"/>
    <x v="56"/>
  </r>
  <r>
    <n v="749"/>
    <n v="0"/>
    <x v="0"/>
    <x v="0"/>
    <s v=" Johannes Joseph Vande Velde"/>
    <x v="0"/>
    <n v="33"/>
    <x v="1"/>
    <x v="0"/>
    <x v="0"/>
    <n v="9.5"/>
    <n v="0"/>
    <x v="43"/>
    <x v="0"/>
    <x v="58"/>
  </r>
  <r>
    <n v="750"/>
    <n v="0"/>
    <x v="0"/>
    <x v="0"/>
    <s v=" Lalio Jonkoff"/>
    <x v="0"/>
    <n v="23"/>
    <x v="1"/>
    <x v="0"/>
    <x v="0"/>
    <n v="7.8958000000000004"/>
    <n v="0"/>
    <x v="13"/>
    <x v="0"/>
    <x v="25"/>
  </r>
  <r>
    <n v="751"/>
    <n v="1"/>
    <x v="1"/>
    <x v="1"/>
    <s v=" Samuel (Jane Laver) Herman"/>
    <x v="1"/>
    <n v="48"/>
    <x v="0"/>
    <x v="2"/>
    <x v="2"/>
    <n v="65"/>
    <n v="1"/>
    <x v="22"/>
    <x v="0"/>
    <x v="208"/>
  </r>
  <r>
    <n v="752"/>
    <n v="1"/>
    <x v="1"/>
    <x v="3"/>
    <s v=" Viljo Hamalainen"/>
    <x v="0"/>
    <n v="0.67"/>
    <x v="0"/>
    <x v="1"/>
    <x v="2"/>
    <n v="14.5"/>
    <n v="0"/>
    <x v="42"/>
    <x v="1"/>
    <x v="79"/>
  </r>
  <r>
    <n v="753"/>
    <n v="0"/>
    <x v="0"/>
    <x v="0"/>
    <s v=" August Sigfrid Carlsson"/>
    <x v="0"/>
    <n v="28"/>
    <x v="1"/>
    <x v="0"/>
    <x v="0"/>
    <n v="7.7957999999999998"/>
    <n v="0"/>
    <x v="17"/>
    <x v="0"/>
    <x v="40"/>
  </r>
  <r>
    <n v="754"/>
    <n v="0"/>
    <x v="0"/>
    <x v="0"/>
    <s v=" Percy Andrew Bailey"/>
    <x v="0"/>
    <n v="18"/>
    <x v="1"/>
    <x v="0"/>
    <x v="2"/>
    <n v="11.5"/>
    <n v="0"/>
    <x v="23"/>
    <x v="0"/>
    <x v="85"/>
  </r>
  <r>
    <n v="755"/>
    <n v="0"/>
    <x v="0"/>
    <x v="0"/>
    <s v=" Thomas Leonard Theobald"/>
    <x v="0"/>
    <n v="34"/>
    <x v="1"/>
    <x v="0"/>
    <x v="0"/>
    <n v="8.0500000000000007"/>
    <n v="0"/>
    <x v="15"/>
    <x v="0"/>
    <x v="4"/>
  </r>
  <r>
    <n v="756"/>
    <n v="1"/>
    <x v="1"/>
    <x v="15"/>
    <s v=" of (Lucy Noel Martha Dyer-Edwards) Rothes"/>
    <x v="1"/>
    <n v="33"/>
    <x v="1"/>
    <x v="0"/>
    <x v="1"/>
    <n v="86.5"/>
    <n v="1"/>
    <x v="43"/>
    <x v="0"/>
    <x v="123"/>
  </r>
  <r>
    <n v="757"/>
    <n v="0"/>
    <x v="0"/>
    <x v="0"/>
    <s v=" John Garfirth"/>
    <x v="0"/>
    <n v="23"/>
    <x v="1"/>
    <x v="0"/>
    <x v="0"/>
    <n v="14.5"/>
    <n v="0"/>
    <x v="13"/>
    <x v="0"/>
    <x v="79"/>
  </r>
  <r>
    <n v="758"/>
    <n v="0"/>
    <x v="0"/>
    <x v="0"/>
    <s v=" Iisakki Antino Aijo Nirva"/>
    <x v="0"/>
    <n v="41"/>
    <x v="1"/>
    <x v="0"/>
    <x v="0"/>
    <n v="7.125"/>
    <n v="0"/>
    <x v="52"/>
    <x v="0"/>
    <x v="120"/>
  </r>
  <r>
    <n v="759"/>
    <n v="1"/>
    <x v="1"/>
    <x v="0"/>
    <s v=" Hanna Assi Barah"/>
    <x v="0"/>
    <n v="20"/>
    <x v="1"/>
    <x v="0"/>
    <x v="0"/>
    <n v="7.2291999999999996"/>
    <n v="0"/>
    <x v="10"/>
    <x v="0"/>
    <x v="18"/>
  </r>
  <r>
    <n v="760"/>
    <n v="1"/>
    <x v="1"/>
    <x v="1"/>
    <s v=" William Ernest (Lucile Polk) Carter"/>
    <x v="1"/>
    <n v="36"/>
    <x v="0"/>
    <x v="2"/>
    <x v="1"/>
    <n v="120"/>
    <n v="1"/>
    <x v="57"/>
    <x v="0"/>
    <x v="164"/>
  </r>
  <r>
    <n v="761"/>
    <n v="0"/>
    <x v="0"/>
    <x v="0"/>
    <s v=" Hans Linus Eklund"/>
    <x v="0"/>
    <n v="16"/>
    <x v="1"/>
    <x v="0"/>
    <x v="0"/>
    <n v="7.7750000000000004"/>
    <n v="0"/>
    <x v="29"/>
    <x v="1"/>
    <x v="70"/>
  </r>
  <r>
    <n v="762"/>
    <n v="1"/>
    <x v="1"/>
    <x v="1"/>
    <s v=" John C (Anna Andrews) Hogeboom"/>
    <x v="1"/>
    <n v="51"/>
    <x v="0"/>
    <x v="0"/>
    <x v="1"/>
    <n v="77.958299999999994"/>
    <n v="1"/>
    <x v="50"/>
    <x v="0"/>
    <x v="130"/>
  </r>
  <r>
    <n v="763"/>
    <n v="0"/>
    <x v="0"/>
    <x v="6"/>
    <s v=" Arthur Jackson Brewe"/>
    <x v="0"/>
    <n v="46"/>
    <x v="1"/>
    <x v="0"/>
    <x v="1"/>
    <n v="39.6"/>
    <n v="0"/>
    <x v="34"/>
    <x v="0"/>
    <x v="197"/>
  </r>
  <r>
    <n v="764"/>
    <n v="0"/>
    <x v="0"/>
    <x v="2"/>
    <s v=" Mary Mangan"/>
    <x v="1"/>
    <n v="30.5"/>
    <x v="1"/>
    <x v="0"/>
    <x v="0"/>
    <n v="7.75"/>
    <n v="1"/>
    <x v="14"/>
    <x v="0"/>
    <x v="28"/>
  </r>
  <r>
    <n v="765"/>
    <n v="0"/>
    <x v="0"/>
    <x v="0"/>
    <s v=" Daniel J Moran"/>
    <x v="0"/>
    <n v="28"/>
    <x v="0"/>
    <x v="0"/>
    <x v="0"/>
    <n v="24.15"/>
    <n v="0"/>
    <x v="17"/>
    <x v="0"/>
    <x v="71"/>
  </r>
  <r>
    <n v="766"/>
    <n v="0"/>
    <x v="0"/>
    <x v="0"/>
    <s v=" Daniel Danielsen Gronnestad"/>
    <x v="0"/>
    <n v="32"/>
    <x v="1"/>
    <x v="0"/>
    <x v="0"/>
    <n v="8.3625000000000007"/>
    <n v="0"/>
    <x v="40"/>
    <x v="0"/>
    <x v="218"/>
  </r>
  <r>
    <n v="767"/>
    <n v="0"/>
    <x v="0"/>
    <x v="0"/>
    <s v=" Rene Aime Lievens"/>
    <x v="0"/>
    <n v="24"/>
    <x v="1"/>
    <x v="0"/>
    <x v="0"/>
    <n v="9.5"/>
    <n v="0"/>
    <x v="20"/>
    <x v="0"/>
    <x v="58"/>
  </r>
  <r>
    <n v="768"/>
    <n v="0"/>
    <x v="0"/>
    <x v="0"/>
    <s v=" Niels Peder Jensen"/>
    <x v="0"/>
    <n v="48"/>
    <x v="1"/>
    <x v="0"/>
    <x v="0"/>
    <n v="7.8541999999999996"/>
    <n v="0"/>
    <x v="22"/>
    <x v="0"/>
    <x v="13"/>
  </r>
  <r>
    <n v="769"/>
    <n v="0"/>
    <x v="0"/>
    <x v="1"/>
    <s v=" (Mary) Mack"/>
    <x v="1"/>
    <n v="57"/>
    <x v="1"/>
    <x v="0"/>
    <x v="2"/>
    <n v="10.5"/>
    <n v="1"/>
    <x v="61"/>
    <x v="0"/>
    <x v="29"/>
  </r>
  <r>
    <n v="770"/>
    <n v="0"/>
    <x v="0"/>
    <x v="0"/>
    <s v=" Dibo Elias"/>
    <x v="0"/>
    <n v="29"/>
    <x v="1"/>
    <x v="0"/>
    <x v="0"/>
    <n v="7.2249999999999996"/>
    <n v="0"/>
    <x v="32"/>
    <x v="0"/>
    <x v="18"/>
  </r>
  <r>
    <n v="771"/>
    <n v="1"/>
    <x v="1"/>
    <x v="1"/>
    <s v=" Elizabeth (Eliza Needs) Hocking"/>
    <x v="1"/>
    <n v="54"/>
    <x v="0"/>
    <x v="4"/>
    <x v="2"/>
    <n v="23"/>
    <n v="1"/>
    <x v="5"/>
    <x v="0"/>
    <x v="67"/>
  </r>
  <r>
    <n v="772"/>
    <n v="0"/>
    <x v="0"/>
    <x v="0"/>
    <s v=" Pehr Fabian Oliver Malkolm Myhrman"/>
    <x v="0"/>
    <n v="18"/>
    <x v="1"/>
    <x v="0"/>
    <x v="0"/>
    <n v="7.75"/>
    <n v="0"/>
    <x v="23"/>
    <x v="0"/>
    <x v="28"/>
  </r>
  <r>
    <n v="773"/>
    <n v="0"/>
    <x v="0"/>
    <x v="0"/>
    <s v=" Roger Tobin"/>
    <x v="0"/>
    <n v="20"/>
    <x v="1"/>
    <x v="0"/>
    <x v="0"/>
    <n v="7.75"/>
    <n v="0"/>
    <x v="10"/>
    <x v="0"/>
    <x v="28"/>
  </r>
  <r>
    <n v="774"/>
    <n v="1"/>
    <x v="1"/>
    <x v="2"/>
    <s v=" Virginia Ethel Emanuel"/>
    <x v="1"/>
    <n v="5"/>
    <x v="1"/>
    <x v="0"/>
    <x v="0"/>
    <n v="12.475"/>
    <n v="1"/>
    <x v="35"/>
    <x v="1"/>
    <x v="56"/>
  </r>
  <r>
    <n v="775"/>
    <n v="0"/>
    <x v="0"/>
    <x v="0"/>
    <s v=" Thomas J Kilgannon"/>
    <x v="0"/>
    <n v="22"/>
    <x v="1"/>
    <x v="0"/>
    <x v="0"/>
    <n v="7.7374999999999998"/>
    <n v="0"/>
    <x v="0"/>
    <x v="0"/>
    <x v="217"/>
  </r>
  <r>
    <n v="776"/>
    <n v="1"/>
    <x v="1"/>
    <x v="1"/>
    <s v=" Edward Scott (Elisabeth Walton McMillan) Robert"/>
    <x v="1"/>
    <n v="43"/>
    <x v="1"/>
    <x v="1"/>
    <x v="1"/>
    <n v="211.33750000000001"/>
    <n v="1"/>
    <x v="62"/>
    <x v="0"/>
    <x v="214"/>
  </r>
  <r>
    <n v="777"/>
    <n v="1"/>
    <x v="1"/>
    <x v="2"/>
    <s v=" Banoura Ayoub"/>
    <x v="1"/>
    <n v="13"/>
    <x v="1"/>
    <x v="0"/>
    <x v="0"/>
    <n v="7.2291999999999996"/>
    <n v="1"/>
    <x v="64"/>
    <x v="1"/>
    <x v="18"/>
  </r>
  <r>
    <n v="778"/>
    <n v="1"/>
    <x v="1"/>
    <x v="1"/>
    <s v=" Albert Adrian (Vera Gillespie) Dick"/>
    <x v="1"/>
    <n v="17"/>
    <x v="0"/>
    <x v="0"/>
    <x v="1"/>
    <n v="57"/>
    <n v="1"/>
    <x v="39"/>
    <x v="0"/>
    <x v="215"/>
  </r>
  <r>
    <n v="779"/>
    <n v="0"/>
    <x v="0"/>
    <x v="0"/>
    <s v=" Milton Clyde Long"/>
    <x v="0"/>
    <n v="29"/>
    <x v="1"/>
    <x v="0"/>
    <x v="1"/>
    <n v="30"/>
    <n v="0"/>
    <x v="32"/>
    <x v="0"/>
    <x v="201"/>
  </r>
  <r>
    <n v="780"/>
    <n v="0"/>
    <x v="0"/>
    <x v="0"/>
    <s v=" Andrew G Johnston"/>
    <x v="0"/>
    <n v="35"/>
    <x v="0"/>
    <x v="2"/>
    <x v="0"/>
    <n v="23.45"/>
    <n v="0"/>
    <x v="3"/>
    <x v="0"/>
    <x v="219"/>
  </r>
  <r>
    <n v="781"/>
    <n v="0"/>
    <x v="0"/>
    <x v="0"/>
    <s v=" William Ali"/>
    <x v="0"/>
    <n v="25"/>
    <x v="1"/>
    <x v="0"/>
    <x v="0"/>
    <n v="7.05"/>
    <n v="0"/>
    <x v="41"/>
    <x v="0"/>
    <x v="78"/>
  </r>
  <r>
    <n v="782"/>
    <n v="0"/>
    <x v="0"/>
    <x v="0"/>
    <s v=" Abraham (David Lishin) Harmer"/>
    <x v="0"/>
    <n v="25"/>
    <x v="1"/>
    <x v="0"/>
    <x v="0"/>
    <n v="7.25"/>
    <n v="0"/>
    <x v="41"/>
    <x v="0"/>
    <x v="0"/>
  </r>
  <r>
    <n v="783"/>
    <n v="1"/>
    <x v="1"/>
    <x v="2"/>
    <s v=" Anna Sofia Sjoblom"/>
    <x v="1"/>
    <n v="18"/>
    <x v="1"/>
    <x v="0"/>
    <x v="0"/>
    <n v="7.4958"/>
    <n v="1"/>
    <x v="23"/>
    <x v="0"/>
    <x v="189"/>
  </r>
  <r>
    <n v="784"/>
    <n v="0"/>
    <x v="0"/>
    <x v="3"/>
    <s v=" George Hugh Rice"/>
    <x v="0"/>
    <n v="8"/>
    <x v="3"/>
    <x v="1"/>
    <x v="0"/>
    <n v="29.125"/>
    <n v="0"/>
    <x v="18"/>
    <x v="1"/>
    <x v="15"/>
  </r>
  <r>
    <n v="785"/>
    <n v="1"/>
    <x v="1"/>
    <x v="3"/>
    <s v=" Bertram Vere Dean"/>
    <x v="0"/>
    <n v="1"/>
    <x v="0"/>
    <x v="2"/>
    <x v="0"/>
    <n v="20.574999999999999"/>
    <n v="0"/>
    <x v="42"/>
    <x v="1"/>
    <x v="64"/>
  </r>
  <r>
    <n v="786"/>
    <n v="0"/>
    <x v="0"/>
    <x v="0"/>
    <s v=" Benjamin Guggenheim"/>
    <x v="0"/>
    <n v="46"/>
    <x v="1"/>
    <x v="0"/>
    <x v="1"/>
    <n v="79.2"/>
    <n v="0"/>
    <x v="34"/>
    <x v="0"/>
    <x v="83"/>
  </r>
  <r>
    <n v="787"/>
    <n v="0"/>
    <x v="0"/>
    <x v="0"/>
    <s v=" Andrew Keane"/>
    <x v="0"/>
    <n v="20"/>
    <x v="1"/>
    <x v="0"/>
    <x v="0"/>
    <n v="7.75"/>
    <n v="0"/>
    <x v="10"/>
    <x v="0"/>
    <x v="28"/>
  </r>
  <r>
    <n v="788"/>
    <n v="0"/>
    <x v="0"/>
    <x v="0"/>
    <s v=" Alfred Gaskell"/>
    <x v="0"/>
    <n v="16"/>
    <x v="1"/>
    <x v="0"/>
    <x v="2"/>
    <n v="26"/>
    <n v="0"/>
    <x v="29"/>
    <x v="1"/>
    <x v="19"/>
  </r>
  <r>
    <n v="789"/>
    <n v="0"/>
    <x v="0"/>
    <x v="2"/>
    <s v=" Stella Anna Sage"/>
    <x v="1"/>
    <n v="21"/>
    <x v="6"/>
    <x v="2"/>
    <x v="0"/>
    <n v="69.55"/>
    <n v="1"/>
    <x v="26"/>
    <x v="0"/>
    <x v="92"/>
  </r>
  <r>
    <n v="790"/>
    <n v="0"/>
    <x v="0"/>
    <x v="0"/>
    <s v=" William Fisher Hoyt"/>
    <x v="0"/>
    <n v="43"/>
    <x v="1"/>
    <x v="0"/>
    <x v="1"/>
    <n v="30.695799999999998"/>
    <n v="0"/>
    <x v="62"/>
    <x v="0"/>
    <x v="99"/>
  </r>
  <r>
    <n v="791"/>
    <n v="0"/>
    <x v="0"/>
    <x v="0"/>
    <s v=" Ristiu Dantcheff"/>
    <x v="0"/>
    <n v="25"/>
    <x v="1"/>
    <x v="0"/>
    <x v="0"/>
    <n v="7.8958000000000004"/>
    <n v="0"/>
    <x v="41"/>
    <x v="0"/>
    <x v="25"/>
  </r>
  <r>
    <n v="792"/>
    <n v="0"/>
    <x v="0"/>
    <x v="0"/>
    <s v=" Richard Otter"/>
    <x v="0"/>
    <n v="39"/>
    <x v="1"/>
    <x v="0"/>
    <x v="2"/>
    <n v="13"/>
    <n v="0"/>
    <x v="11"/>
    <x v="0"/>
    <x v="16"/>
  </r>
  <r>
    <n v="793"/>
    <n v="1"/>
    <x v="1"/>
    <x v="6"/>
    <s v=" Alice (Farnham) Leader"/>
    <x v="0"/>
    <n v="49"/>
    <x v="1"/>
    <x v="0"/>
    <x v="1"/>
    <n v="25.929200000000002"/>
    <n v="0"/>
    <x v="31"/>
    <x v="0"/>
    <x v="97"/>
  </r>
  <r>
    <n v="794"/>
    <n v="1"/>
    <x v="1"/>
    <x v="1"/>
    <s v=" Mara Osman"/>
    <x v="1"/>
    <n v="31"/>
    <x v="1"/>
    <x v="0"/>
    <x v="0"/>
    <n v="8.6832999999999991"/>
    <n v="1"/>
    <x v="14"/>
    <x v="0"/>
    <x v="220"/>
  </r>
  <r>
    <n v="795"/>
    <n v="0"/>
    <x v="0"/>
    <x v="0"/>
    <s v=" Yousseff Ibrahim Shawah"/>
    <x v="0"/>
    <n v="30"/>
    <x v="1"/>
    <x v="0"/>
    <x v="0"/>
    <n v="7.2291999999999996"/>
    <n v="0"/>
    <x v="28"/>
    <x v="0"/>
    <x v="18"/>
  </r>
  <r>
    <n v="796"/>
    <n v="0"/>
    <x v="0"/>
    <x v="1"/>
    <s v=" Jean Baptiste (Rosalie Paula Govaert) Van Impe"/>
    <x v="1"/>
    <n v="30"/>
    <x v="0"/>
    <x v="1"/>
    <x v="0"/>
    <n v="24.15"/>
    <n v="1"/>
    <x v="28"/>
    <x v="0"/>
    <x v="71"/>
  </r>
  <r>
    <n v="797"/>
    <n v="0"/>
    <x v="0"/>
    <x v="0"/>
    <s v=" Martin Ponesell"/>
    <x v="0"/>
    <n v="34"/>
    <x v="1"/>
    <x v="0"/>
    <x v="2"/>
    <n v="13"/>
    <n v="0"/>
    <x v="15"/>
    <x v="0"/>
    <x v="16"/>
  </r>
  <r>
    <n v="798"/>
    <n v="1"/>
    <x v="1"/>
    <x v="1"/>
    <s v=" Harvey (Charlotte Annie Tate) Collyer"/>
    <x v="1"/>
    <n v="31"/>
    <x v="0"/>
    <x v="1"/>
    <x v="2"/>
    <n v="26.25"/>
    <n v="1"/>
    <x v="14"/>
    <x v="0"/>
    <x v="118"/>
  </r>
  <r>
    <n v="799"/>
    <n v="1"/>
    <x v="1"/>
    <x v="3"/>
    <s v=" William Thornton II Carter"/>
    <x v="0"/>
    <n v="11"/>
    <x v="0"/>
    <x v="2"/>
    <x v="1"/>
    <n v="120"/>
    <n v="0"/>
    <x v="36"/>
    <x v="1"/>
    <x v="164"/>
  </r>
  <r>
    <n v="800"/>
    <n v="1"/>
    <x v="1"/>
    <x v="3"/>
    <s v=" Assad Alexander Thomas"/>
    <x v="0"/>
    <n v="0.42"/>
    <x v="1"/>
    <x v="1"/>
    <x v="0"/>
    <n v="8.5167000000000002"/>
    <n v="0"/>
    <x v="70"/>
    <x v="1"/>
    <x v="221"/>
  </r>
  <r>
    <n v="801"/>
    <n v="1"/>
    <x v="1"/>
    <x v="0"/>
    <s v=" Oskar Arvid Hedman"/>
    <x v="0"/>
    <n v="27"/>
    <x v="1"/>
    <x v="0"/>
    <x v="0"/>
    <n v="6.9749999999999996"/>
    <n v="0"/>
    <x v="4"/>
    <x v="0"/>
    <x v="77"/>
  </r>
  <r>
    <n v="802"/>
    <n v="0"/>
    <x v="0"/>
    <x v="0"/>
    <s v=" Karl Johan Johansson"/>
    <x v="0"/>
    <n v="31"/>
    <x v="1"/>
    <x v="0"/>
    <x v="0"/>
    <n v="7.7750000000000004"/>
    <n v="0"/>
    <x v="14"/>
    <x v="0"/>
    <x v="70"/>
  </r>
  <r>
    <n v="803"/>
    <n v="0"/>
    <x v="0"/>
    <x v="0"/>
    <s v=" Thomas Jr Andrews"/>
    <x v="0"/>
    <n v="39"/>
    <x v="1"/>
    <x v="0"/>
    <x v="1"/>
    <n v="0"/>
    <n v="0"/>
    <x v="11"/>
    <x v="0"/>
    <x v="102"/>
  </r>
  <r>
    <n v="804"/>
    <n v="0"/>
    <x v="0"/>
    <x v="2"/>
    <s v=" Ellen Natalia Pettersson"/>
    <x v="1"/>
    <n v="18"/>
    <x v="1"/>
    <x v="0"/>
    <x v="0"/>
    <n v="7.7750000000000004"/>
    <n v="1"/>
    <x v="23"/>
    <x v="0"/>
    <x v="70"/>
  </r>
  <r>
    <n v="805"/>
    <n v="0"/>
    <x v="0"/>
    <x v="0"/>
    <s v=" August Meyer"/>
    <x v="0"/>
    <n v="39"/>
    <x v="1"/>
    <x v="0"/>
    <x v="2"/>
    <n v="13"/>
    <n v="0"/>
    <x v="11"/>
    <x v="0"/>
    <x v="16"/>
  </r>
  <r>
    <n v="806"/>
    <n v="1"/>
    <x v="1"/>
    <x v="1"/>
    <s v=" Norman Campbell (Bertha Griggs) Chambers"/>
    <x v="1"/>
    <n v="33"/>
    <x v="0"/>
    <x v="0"/>
    <x v="1"/>
    <n v="53.1"/>
    <n v="1"/>
    <x v="43"/>
    <x v="0"/>
    <x v="3"/>
  </r>
  <r>
    <n v="807"/>
    <n v="0"/>
    <x v="0"/>
    <x v="0"/>
    <s v=" William Alexander"/>
    <x v="0"/>
    <n v="26"/>
    <x v="1"/>
    <x v="0"/>
    <x v="0"/>
    <n v="7.8875000000000002"/>
    <n v="0"/>
    <x v="2"/>
    <x v="0"/>
    <x v="222"/>
  </r>
  <r>
    <n v="808"/>
    <n v="0"/>
    <x v="0"/>
    <x v="0"/>
    <s v=" James Lester"/>
    <x v="0"/>
    <n v="39"/>
    <x v="1"/>
    <x v="0"/>
    <x v="0"/>
    <n v="24.15"/>
    <n v="0"/>
    <x v="11"/>
    <x v="0"/>
    <x v="71"/>
  </r>
  <r>
    <n v="809"/>
    <n v="0"/>
    <x v="0"/>
    <x v="0"/>
    <s v=" Richard James Slemen"/>
    <x v="0"/>
    <n v="35"/>
    <x v="1"/>
    <x v="0"/>
    <x v="2"/>
    <n v="10.5"/>
    <n v="0"/>
    <x v="3"/>
    <x v="0"/>
    <x v="29"/>
  </r>
  <r>
    <n v="810"/>
    <n v="0"/>
    <x v="0"/>
    <x v="2"/>
    <s v=" Ebba Iris Alfrida Andersson"/>
    <x v="1"/>
    <n v="6"/>
    <x v="3"/>
    <x v="2"/>
    <x v="0"/>
    <n v="31.274999999999999"/>
    <n v="1"/>
    <x v="69"/>
    <x v="1"/>
    <x v="12"/>
  </r>
  <r>
    <n v="811"/>
    <n v="0"/>
    <x v="0"/>
    <x v="0"/>
    <s v=" Ernest Portage Tomlin"/>
    <x v="0"/>
    <n v="30.5"/>
    <x v="1"/>
    <x v="0"/>
    <x v="0"/>
    <n v="8.0500000000000007"/>
    <n v="0"/>
    <x v="14"/>
    <x v="0"/>
    <x v="4"/>
  </r>
  <r>
    <n v="812"/>
    <n v="0"/>
    <x v="0"/>
    <x v="0"/>
    <s v=" Richard Fry"/>
    <x v="0"/>
    <n v="39"/>
    <x v="1"/>
    <x v="0"/>
    <x v="1"/>
    <n v="0"/>
    <n v="0"/>
    <x v="11"/>
    <x v="0"/>
    <x v="102"/>
  </r>
  <r>
    <n v="813"/>
    <n v="0"/>
    <x v="0"/>
    <x v="2"/>
    <s v=" Wendla Maria Heininen"/>
    <x v="1"/>
    <n v="23"/>
    <x v="1"/>
    <x v="0"/>
    <x v="0"/>
    <n v="7.9249999999999998"/>
    <n v="1"/>
    <x v="13"/>
    <x v="0"/>
    <x v="2"/>
  </r>
  <r>
    <n v="814"/>
    <n v="0"/>
    <x v="0"/>
    <x v="0"/>
    <s v=" Albert Mallet"/>
    <x v="0"/>
    <n v="31"/>
    <x v="0"/>
    <x v="1"/>
    <x v="2"/>
    <n v="37.004199999999997"/>
    <n v="0"/>
    <x v="14"/>
    <x v="0"/>
    <x v="223"/>
  </r>
  <r>
    <n v="815"/>
    <n v="0"/>
    <x v="0"/>
    <x v="0"/>
    <s v=" John Fredrik Alexander Holm"/>
    <x v="0"/>
    <n v="43"/>
    <x v="1"/>
    <x v="0"/>
    <x v="0"/>
    <n v="6.45"/>
    <n v="0"/>
    <x v="62"/>
    <x v="0"/>
    <x v="224"/>
  </r>
  <r>
    <n v="816"/>
    <n v="0"/>
    <x v="0"/>
    <x v="3"/>
    <s v=" Karl Thorsten Skoog"/>
    <x v="0"/>
    <n v="10"/>
    <x v="2"/>
    <x v="2"/>
    <x v="0"/>
    <n v="27.9"/>
    <n v="0"/>
    <x v="63"/>
    <x v="1"/>
    <x v="47"/>
  </r>
  <r>
    <n v="817"/>
    <n v="1"/>
    <x v="1"/>
    <x v="1"/>
    <s v=" Charles Melville (Clara Jennings Gregg) Hays"/>
    <x v="1"/>
    <n v="52"/>
    <x v="0"/>
    <x v="1"/>
    <x v="1"/>
    <n v="93.5"/>
    <n v="1"/>
    <x v="59"/>
    <x v="0"/>
    <x v="191"/>
  </r>
  <r>
    <n v="818"/>
    <n v="1"/>
    <x v="1"/>
    <x v="0"/>
    <s v=" Nikola Lulic"/>
    <x v="0"/>
    <n v="27"/>
    <x v="1"/>
    <x v="0"/>
    <x v="0"/>
    <n v="8.6624999999999996"/>
    <n v="0"/>
    <x v="4"/>
    <x v="0"/>
    <x v="50"/>
  </r>
  <r>
    <n v="819"/>
    <n v="0"/>
    <x v="0"/>
    <x v="16"/>
    <s v=" John George Reuchlin"/>
    <x v="0"/>
    <n v="38"/>
    <x v="1"/>
    <x v="0"/>
    <x v="1"/>
    <n v="0"/>
    <n v="0"/>
    <x v="1"/>
    <x v="0"/>
    <x v="102"/>
  </r>
  <r>
    <n v="820"/>
    <n v="1"/>
    <x v="1"/>
    <x v="1"/>
    <s v=" (Beila) Moor"/>
    <x v="1"/>
    <n v="27"/>
    <x v="1"/>
    <x v="1"/>
    <x v="0"/>
    <n v="12.475"/>
    <n v="1"/>
    <x v="4"/>
    <x v="0"/>
    <x v="56"/>
  </r>
  <r>
    <n v="821"/>
    <n v="0"/>
    <x v="0"/>
    <x v="3"/>
    <s v=" Urho Abraham Panula"/>
    <x v="0"/>
    <n v="2"/>
    <x v="3"/>
    <x v="1"/>
    <x v="0"/>
    <n v="39.6875"/>
    <n v="0"/>
    <x v="6"/>
    <x v="1"/>
    <x v="39"/>
  </r>
  <r>
    <n v="822"/>
    <n v="0"/>
    <x v="0"/>
    <x v="0"/>
    <s v=" John Flynn"/>
    <x v="0"/>
    <n v="36"/>
    <x v="1"/>
    <x v="0"/>
    <x v="0"/>
    <n v="6.95"/>
    <n v="0"/>
    <x v="57"/>
    <x v="0"/>
    <x v="225"/>
  </r>
  <r>
    <n v="823"/>
    <n v="0"/>
    <x v="0"/>
    <x v="0"/>
    <s v=" Len Lam"/>
    <x v="0"/>
    <n v="23"/>
    <x v="1"/>
    <x v="0"/>
    <x v="0"/>
    <n v="56.495800000000003"/>
    <n v="0"/>
    <x v="13"/>
    <x v="0"/>
    <x v="53"/>
  </r>
  <r>
    <n v="824"/>
    <n v="1"/>
    <x v="1"/>
    <x v="3"/>
    <s v=" Andre Mallet"/>
    <x v="0"/>
    <n v="1"/>
    <x v="1"/>
    <x v="2"/>
    <x v="2"/>
    <n v="37.004199999999997"/>
    <n v="0"/>
    <x v="42"/>
    <x v="1"/>
    <x v="223"/>
  </r>
  <r>
    <n v="825"/>
    <n v="1"/>
    <x v="1"/>
    <x v="0"/>
    <s v=" Thomas Joseph McCormack"/>
    <x v="0"/>
    <n v="19"/>
    <x v="1"/>
    <x v="0"/>
    <x v="0"/>
    <n v="7.75"/>
    <n v="0"/>
    <x v="19"/>
    <x v="0"/>
    <x v="28"/>
  </r>
  <r>
    <n v="826"/>
    <n v="1"/>
    <x v="1"/>
    <x v="1"/>
    <s v=" George Nelson (Martha Evelyn) Stone"/>
    <x v="1"/>
    <n v="62"/>
    <x v="1"/>
    <x v="0"/>
    <x v="1"/>
    <n v="80"/>
    <n v="1"/>
    <x v="58"/>
    <x v="0"/>
    <x v="45"/>
  </r>
  <r>
    <n v="827"/>
    <n v="1"/>
    <x v="1"/>
    <x v="1"/>
    <s v=" Antoni (Selini Alexander) Yasbeck"/>
    <x v="1"/>
    <n v="15"/>
    <x v="0"/>
    <x v="0"/>
    <x v="0"/>
    <n v="14.4542"/>
    <n v="1"/>
    <x v="16"/>
    <x v="1"/>
    <x v="52"/>
  </r>
  <r>
    <n v="828"/>
    <n v="1"/>
    <x v="1"/>
    <x v="3"/>
    <s v=" George Sibley Richards"/>
    <x v="0"/>
    <n v="0.83"/>
    <x v="0"/>
    <x v="1"/>
    <x v="2"/>
    <n v="18.75"/>
    <n v="0"/>
    <x v="42"/>
    <x v="1"/>
    <x v="166"/>
  </r>
  <r>
    <n v="829"/>
    <n v="0"/>
    <x v="0"/>
    <x v="0"/>
    <s v=" Amin Saad"/>
    <x v="0"/>
    <n v="30"/>
    <x v="1"/>
    <x v="0"/>
    <x v="0"/>
    <n v="7.2291999999999996"/>
    <n v="0"/>
    <x v="28"/>
    <x v="0"/>
    <x v="18"/>
  </r>
  <r>
    <n v="830"/>
    <n v="0"/>
    <x v="0"/>
    <x v="0"/>
    <s v=" Albert Augustsson"/>
    <x v="0"/>
    <n v="23"/>
    <x v="1"/>
    <x v="0"/>
    <x v="0"/>
    <n v="7.8541999999999996"/>
    <n v="0"/>
    <x v="13"/>
    <x v="0"/>
    <x v="13"/>
  </r>
  <r>
    <n v="831"/>
    <n v="0"/>
    <x v="0"/>
    <x v="0"/>
    <s v=" Owen George Allum"/>
    <x v="0"/>
    <n v="18"/>
    <x v="1"/>
    <x v="0"/>
    <x v="0"/>
    <n v="8.3000000000000007"/>
    <n v="0"/>
    <x v="23"/>
    <x v="0"/>
    <x v="226"/>
  </r>
  <r>
    <n v="832"/>
    <n v="1"/>
    <x v="1"/>
    <x v="2"/>
    <s v=" Sara Rebecca Compton"/>
    <x v="1"/>
    <n v="39"/>
    <x v="0"/>
    <x v="1"/>
    <x v="1"/>
    <n v="83.158299999999997"/>
    <n v="1"/>
    <x v="11"/>
    <x v="0"/>
    <x v="144"/>
  </r>
  <r>
    <n v="833"/>
    <n v="0"/>
    <x v="0"/>
    <x v="0"/>
    <s v=" Jakob Pasic"/>
    <x v="0"/>
    <n v="21"/>
    <x v="1"/>
    <x v="0"/>
    <x v="0"/>
    <n v="8.6624999999999996"/>
    <n v="0"/>
    <x v="26"/>
    <x v="0"/>
    <x v="50"/>
  </r>
  <r>
    <n v="834"/>
    <n v="0"/>
    <x v="0"/>
    <x v="0"/>
    <s v=" Maurice Sirota"/>
    <x v="0"/>
    <n v="20"/>
    <x v="1"/>
    <x v="0"/>
    <x v="0"/>
    <n v="8.0500000000000007"/>
    <n v="0"/>
    <x v="10"/>
    <x v="0"/>
    <x v="4"/>
  </r>
  <r>
    <n v="835"/>
    <n v="1"/>
    <x v="1"/>
    <x v="0"/>
    <s v=" Chang Chip"/>
    <x v="0"/>
    <n v="32"/>
    <x v="1"/>
    <x v="0"/>
    <x v="0"/>
    <n v="56.495800000000003"/>
    <n v="0"/>
    <x v="40"/>
    <x v="0"/>
    <x v="53"/>
  </r>
  <r>
    <n v="836"/>
    <n v="1"/>
    <x v="1"/>
    <x v="0"/>
    <s v=" Pierre Marechal"/>
    <x v="0"/>
    <n v="29"/>
    <x v="1"/>
    <x v="0"/>
    <x v="1"/>
    <n v="29.7"/>
    <n v="0"/>
    <x v="32"/>
    <x v="0"/>
    <x v="129"/>
  </r>
  <r>
    <n v="837"/>
    <n v="0"/>
    <x v="0"/>
    <x v="0"/>
    <s v=" Ilmari Rudolf Alhomaki"/>
    <x v="0"/>
    <n v="20"/>
    <x v="1"/>
    <x v="0"/>
    <x v="0"/>
    <n v="7.9249999999999998"/>
    <n v="0"/>
    <x v="10"/>
    <x v="0"/>
    <x v="2"/>
  </r>
  <r>
    <n v="838"/>
    <n v="0"/>
    <x v="0"/>
    <x v="0"/>
    <s v=" Thomas Charles Mudd"/>
    <x v="0"/>
    <n v="16"/>
    <x v="1"/>
    <x v="0"/>
    <x v="2"/>
    <n v="10.5"/>
    <n v="0"/>
    <x v="29"/>
    <x v="1"/>
    <x v="29"/>
  </r>
  <r>
    <n v="839"/>
    <n v="1"/>
    <x v="1"/>
    <x v="2"/>
    <s v=" Augusta Serepeca"/>
    <x v="1"/>
    <n v="30"/>
    <x v="1"/>
    <x v="0"/>
    <x v="1"/>
    <n v="31"/>
    <n v="1"/>
    <x v="28"/>
    <x v="0"/>
    <x v="110"/>
  </r>
  <r>
    <n v="840"/>
    <n v="0"/>
    <x v="0"/>
    <x v="0"/>
    <s v=" Peter L Lemberopolous"/>
    <x v="0"/>
    <n v="34.5"/>
    <x v="1"/>
    <x v="0"/>
    <x v="0"/>
    <n v="6.4375"/>
    <n v="0"/>
    <x v="3"/>
    <x v="0"/>
    <x v="227"/>
  </r>
  <r>
    <n v="841"/>
    <n v="0"/>
    <x v="0"/>
    <x v="0"/>
    <s v=" Jeso Culumovic"/>
    <x v="0"/>
    <n v="17"/>
    <x v="1"/>
    <x v="0"/>
    <x v="0"/>
    <n v="8.6624999999999996"/>
    <n v="0"/>
    <x v="39"/>
    <x v="0"/>
    <x v="50"/>
  </r>
  <r>
    <n v="842"/>
    <n v="0"/>
    <x v="0"/>
    <x v="0"/>
    <s v=" Anthony Abbing"/>
    <x v="0"/>
    <n v="42"/>
    <x v="1"/>
    <x v="0"/>
    <x v="0"/>
    <n v="7.55"/>
    <n v="0"/>
    <x v="25"/>
    <x v="0"/>
    <x v="117"/>
  </r>
  <r>
    <n v="843"/>
    <n v="0"/>
    <x v="0"/>
    <x v="0"/>
    <s v=" Douglas Bullen Sage"/>
    <x v="0"/>
    <n v="18"/>
    <x v="6"/>
    <x v="2"/>
    <x v="0"/>
    <n v="69.55"/>
    <n v="0"/>
    <x v="23"/>
    <x v="0"/>
    <x v="92"/>
  </r>
  <r>
    <n v="844"/>
    <n v="0"/>
    <x v="0"/>
    <x v="0"/>
    <s v=" Marin Markoff"/>
    <x v="0"/>
    <n v="35"/>
    <x v="1"/>
    <x v="0"/>
    <x v="0"/>
    <n v="7.8958000000000004"/>
    <n v="0"/>
    <x v="3"/>
    <x v="0"/>
    <x v="25"/>
  </r>
  <r>
    <n v="845"/>
    <n v="0"/>
    <x v="0"/>
    <x v="5"/>
    <s v=" John Harper"/>
    <x v="0"/>
    <n v="28"/>
    <x v="1"/>
    <x v="1"/>
    <x v="2"/>
    <n v="33"/>
    <n v="0"/>
    <x v="17"/>
    <x v="0"/>
    <x v="205"/>
  </r>
  <r>
    <n v="846"/>
    <n v="1"/>
    <x v="1"/>
    <x v="1"/>
    <s v=" Samuel L (Edwiga Grabowska) Goldenberg"/>
    <x v="1"/>
    <n v="40"/>
    <x v="0"/>
    <x v="0"/>
    <x v="1"/>
    <n v="89.104200000000006"/>
    <n v="1"/>
    <x v="21"/>
    <x v="0"/>
    <x v="175"/>
  </r>
  <r>
    <n v="847"/>
    <n v="0"/>
    <x v="0"/>
    <x v="3"/>
    <s v=" Sigvard Harald Elias Andersson"/>
    <x v="0"/>
    <n v="4"/>
    <x v="3"/>
    <x v="2"/>
    <x v="0"/>
    <n v="31.274999999999999"/>
    <n v="0"/>
    <x v="8"/>
    <x v="1"/>
    <x v="12"/>
  </r>
  <r>
    <n v="848"/>
    <n v="0"/>
    <x v="0"/>
    <x v="0"/>
    <s v=" Johan Svensson"/>
    <x v="0"/>
    <n v="74"/>
    <x v="1"/>
    <x v="0"/>
    <x v="0"/>
    <n v="7.7750000000000004"/>
    <n v="0"/>
    <x v="71"/>
    <x v="0"/>
    <x v="70"/>
  </r>
  <r>
    <n v="849"/>
    <n v="0"/>
    <x v="0"/>
    <x v="2"/>
    <s v=" Nourelain Boulos"/>
    <x v="1"/>
    <n v="9"/>
    <x v="0"/>
    <x v="1"/>
    <x v="0"/>
    <n v="15.245799999999999"/>
    <n v="1"/>
    <x v="49"/>
    <x v="1"/>
    <x v="48"/>
  </r>
  <r>
    <n v="850"/>
    <n v="1"/>
    <x v="1"/>
    <x v="2"/>
    <s v=" Mary Conover Lines"/>
    <x v="1"/>
    <n v="16"/>
    <x v="1"/>
    <x v="1"/>
    <x v="1"/>
    <n v="39.4"/>
    <n v="1"/>
    <x v="29"/>
    <x v="1"/>
    <x v="228"/>
  </r>
  <r>
    <n v="851"/>
    <n v="0"/>
    <x v="0"/>
    <x v="1"/>
    <s v=" Ernest Courtenay (Lilian Hughes) Carter"/>
    <x v="1"/>
    <n v="44"/>
    <x v="0"/>
    <x v="0"/>
    <x v="2"/>
    <n v="26"/>
    <n v="1"/>
    <x v="53"/>
    <x v="0"/>
    <x v="19"/>
  </r>
  <r>
    <n v="852"/>
    <n v="1"/>
    <x v="1"/>
    <x v="1"/>
    <s v=" Sam (Leah Rosen) Aks"/>
    <x v="1"/>
    <n v="18"/>
    <x v="1"/>
    <x v="1"/>
    <x v="0"/>
    <n v="9.35"/>
    <n v="1"/>
    <x v="23"/>
    <x v="0"/>
    <x v="115"/>
  </r>
  <r>
    <n v="853"/>
    <n v="1"/>
    <x v="1"/>
    <x v="1"/>
    <s v=" George Dennick (Mary Hitchcock) Wick"/>
    <x v="1"/>
    <n v="45"/>
    <x v="0"/>
    <x v="1"/>
    <x v="1"/>
    <n v="164.86670000000001"/>
    <n v="1"/>
    <x v="37"/>
    <x v="0"/>
    <x v="147"/>
  </r>
  <r>
    <n v="854"/>
    <n v="1"/>
    <x v="1"/>
    <x v="0"/>
    <s v=" Peter Denis Daly"/>
    <x v="0"/>
    <n v="51"/>
    <x v="1"/>
    <x v="0"/>
    <x v="1"/>
    <n v="26.55"/>
    <n v="0"/>
    <x v="50"/>
    <x v="0"/>
    <x v="11"/>
  </r>
  <r>
    <n v="855"/>
    <n v="1"/>
    <x v="1"/>
    <x v="1"/>
    <s v=" Solomon (Latifa Qurban) Baclini"/>
    <x v="1"/>
    <n v="24"/>
    <x v="1"/>
    <x v="4"/>
    <x v="0"/>
    <n v="19.258299999999998"/>
    <n v="1"/>
    <x v="20"/>
    <x v="0"/>
    <x v="173"/>
  </r>
  <r>
    <n v="856"/>
    <n v="0"/>
    <x v="0"/>
    <x v="0"/>
    <s v=" Raihed Razi"/>
    <x v="0"/>
    <n v="30"/>
    <x v="1"/>
    <x v="0"/>
    <x v="0"/>
    <n v="7.2291999999999996"/>
    <n v="0"/>
    <x v="28"/>
    <x v="0"/>
    <x v="18"/>
  </r>
  <r>
    <n v="857"/>
    <n v="0"/>
    <x v="0"/>
    <x v="0"/>
    <s v=" Claus Peter Hansen"/>
    <x v="0"/>
    <n v="41"/>
    <x v="4"/>
    <x v="0"/>
    <x v="0"/>
    <n v="14.1083"/>
    <n v="0"/>
    <x v="52"/>
    <x v="0"/>
    <x v="229"/>
  </r>
  <r>
    <n v="858"/>
    <n v="0"/>
    <x v="0"/>
    <x v="0"/>
    <s v=" Frederick Edward Giles"/>
    <x v="0"/>
    <n v="21"/>
    <x v="0"/>
    <x v="0"/>
    <x v="2"/>
    <n v="11.5"/>
    <n v="0"/>
    <x v="26"/>
    <x v="0"/>
    <x v="85"/>
  </r>
  <r>
    <n v="859"/>
    <n v="1"/>
    <x v="1"/>
    <x v="1"/>
    <s v=" Frederick Joel (Margaret Welles Barron) Swift"/>
    <x v="1"/>
    <n v="48"/>
    <x v="1"/>
    <x v="0"/>
    <x v="1"/>
    <n v="25.929200000000002"/>
    <n v="1"/>
    <x v="22"/>
    <x v="0"/>
    <x v="97"/>
  </r>
  <r>
    <n v="860"/>
    <n v="0"/>
    <x v="0"/>
    <x v="2"/>
    <s v=" Dorothy Edith Sage"/>
    <x v="1"/>
    <n v="14"/>
    <x v="6"/>
    <x v="2"/>
    <x v="0"/>
    <n v="69.55"/>
    <n v="1"/>
    <x v="7"/>
    <x v="1"/>
    <x v="92"/>
  </r>
  <r>
    <n v="861"/>
    <n v="0"/>
    <x v="0"/>
    <x v="0"/>
    <s v=" John William Gill"/>
    <x v="0"/>
    <n v="24"/>
    <x v="1"/>
    <x v="0"/>
    <x v="2"/>
    <n v="13"/>
    <n v="0"/>
    <x v="20"/>
    <x v="0"/>
    <x v="16"/>
  </r>
  <r>
    <n v="862"/>
    <n v="1"/>
    <x v="1"/>
    <x v="1"/>
    <s v=" (Karolina) Bystrom"/>
    <x v="1"/>
    <n v="42"/>
    <x v="1"/>
    <x v="0"/>
    <x v="2"/>
    <n v="13"/>
    <n v="1"/>
    <x v="25"/>
    <x v="0"/>
    <x v="16"/>
  </r>
  <r>
    <n v="863"/>
    <n v="1"/>
    <x v="1"/>
    <x v="2"/>
    <s v=" Asuncion Duran y More"/>
    <x v="1"/>
    <n v="27"/>
    <x v="0"/>
    <x v="0"/>
    <x v="2"/>
    <n v="13.8583"/>
    <n v="1"/>
    <x v="4"/>
    <x v="0"/>
    <x v="195"/>
  </r>
  <r>
    <n v="864"/>
    <n v="0"/>
    <x v="0"/>
    <x v="0"/>
    <s v=" Washington Augustus II Roebling"/>
    <x v="0"/>
    <n v="31"/>
    <x v="1"/>
    <x v="0"/>
    <x v="1"/>
    <n v="50.495800000000003"/>
    <n v="0"/>
    <x v="14"/>
    <x v="0"/>
    <x v="230"/>
  </r>
  <r>
    <n v="865"/>
    <n v="0"/>
    <x v="0"/>
    <x v="0"/>
    <s v=" Philemon van Melkebeke"/>
    <x v="0"/>
    <n v="23"/>
    <x v="1"/>
    <x v="0"/>
    <x v="0"/>
    <n v="9.5"/>
    <n v="0"/>
    <x v="13"/>
    <x v="0"/>
    <x v="58"/>
  </r>
  <r>
    <n v="866"/>
    <n v="1"/>
    <x v="1"/>
    <x v="3"/>
    <s v=" Harold Theodor Johnson"/>
    <x v="0"/>
    <n v="4"/>
    <x v="0"/>
    <x v="1"/>
    <x v="0"/>
    <n v="11.1333"/>
    <n v="0"/>
    <x v="8"/>
    <x v="1"/>
    <x v="8"/>
  </r>
  <r>
    <n v="867"/>
    <n v="0"/>
    <x v="0"/>
    <x v="0"/>
    <s v=" Cerin Balkic"/>
    <x v="0"/>
    <n v="26"/>
    <x v="1"/>
    <x v="0"/>
    <x v="0"/>
    <n v="7.8958000000000004"/>
    <n v="0"/>
    <x v="2"/>
    <x v="0"/>
    <x v="25"/>
  </r>
  <r>
    <n v="868"/>
    <n v="1"/>
    <x v="1"/>
    <x v="1"/>
    <s v=" Richard Leonard (Sallie Monypeny) Beckwith"/>
    <x v="1"/>
    <n v="47"/>
    <x v="0"/>
    <x v="1"/>
    <x v="1"/>
    <n v="52.554200000000002"/>
    <n v="1"/>
    <x v="47"/>
    <x v="0"/>
    <x v="121"/>
  </r>
  <r>
    <n v="869"/>
    <n v="0"/>
    <x v="0"/>
    <x v="0"/>
    <s v=" Frans Olof Carlsson"/>
    <x v="0"/>
    <n v="33"/>
    <x v="1"/>
    <x v="0"/>
    <x v="1"/>
    <n v="5"/>
    <n v="0"/>
    <x v="43"/>
    <x v="0"/>
    <x v="231"/>
  </r>
  <r>
    <n v="870"/>
    <n v="0"/>
    <x v="0"/>
    <x v="0"/>
    <s v=" Victor Vander Cruyssen"/>
    <x v="0"/>
    <n v="47"/>
    <x v="1"/>
    <x v="0"/>
    <x v="0"/>
    <n v="9"/>
    <n v="0"/>
    <x v="47"/>
    <x v="0"/>
    <x v="57"/>
  </r>
  <r>
    <n v="871"/>
    <n v="1"/>
    <x v="1"/>
    <x v="1"/>
    <s v=" Samuel (Hannah Wizosky) Abelson"/>
    <x v="1"/>
    <n v="28"/>
    <x v="0"/>
    <x v="0"/>
    <x v="2"/>
    <n v="24"/>
    <n v="1"/>
    <x v="17"/>
    <x v="0"/>
    <x v="142"/>
  </r>
  <r>
    <n v="872"/>
    <n v="1"/>
    <x v="1"/>
    <x v="2"/>
    <s v=" Adele Kiamie Najib"/>
    <x v="1"/>
    <n v="15"/>
    <x v="1"/>
    <x v="0"/>
    <x v="0"/>
    <n v="7.2249999999999996"/>
    <n v="1"/>
    <x v="16"/>
    <x v="1"/>
    <x v="18"/>
  </r>
  <r>
    <n v="873"/>
    <n v="0"/>
    <x v="0"/>
    <x v="0"/>
    <s v=" Alfred Ossian Gustafsson"/>
    <x v="0"/>
    <n v="20"/>
    <x v="1"/>
    <x v="0"/>
    <x v="0"/>
    <n v="9.8458000000000006"/>
    <n v="0"/>
    <x v="10"/>
    <x v="0"/>
    <x v="232"/>
  </r>
  <r>
    <n v="874"/>
    <n v="0"/>
    <x v="0"/>
    <x v="0"/>
    <s v=" Nedelio Petroff"/>
    <x v="0"/>
    <n v="19"/>
    <x v="1"/>
    <x v="0"/>
    <x v="0"/>
    <n v="7.8958000000000004"/>
    <n v="0"/>
    <x v="19"/>
    <x v="0"/>
    <x v="25"/>
  </r>
  <r>
    <n v="875"/>
    <n v="0"/>
    <x v="0"/>
    <x v="0"/>
    <s v=" Kristo Laleff"/>
    <x v="0"/>
    <n v="23"/>
    <x v="1"/>
    <x v="0"/>
    <x v="0"/>
    <n v="7.8958000000000004"/>
    <n v="0"/>
    <x v="13"/>
    <x v="0"/>
    <x v="25"/>
  </r>
  <r>
    <n v="876"/>
    <n v="1"/>
    <x v="1"/>
    <x v="1"/>
    <s v=" Thomas Jr (Lily Alexenia Wilson) Potter"/>
    <x v="1"/>
    <n v="56"/>
    <x v="1"/>
    <x v="1"/>
    <x v="1"/>
    <n v="83.158299999999997"/>
    <n v="1"/>
    <x v="51"/>
    <x v="0"/>
    <x v="144"/>
  </r>
  <r>
    <n v="877"/>
    <n v="1"/>
    <x v="1"/>
    <x v="1"/>
    <s v=" William (Imanita Parrish Hall) Shelley"/>
    <x v="1"/>
    <n v="25"/>
    <x v="1"/>
    <x v="1"/>
    <x v="2"/>
    <n v="26"/>
    <n v="1"/>
    <x v="41"/>
    <x v="0"/>
    <x v="19"/>
  </r>
  <r>
    <n v="878"/>
    <n v="0"/>
    <x v="0"/>
    <x v="0"/>
    <s v=" Johann Markun"/>
    <x v="0"/>
    <n v="33"/>
    <x v="1"/>
    <x v="0"/>
    <x v="0"/>
    <n v="7.8958000000000004"/>
    <n v="0"/>
    <x v="43"/>
    <x v="0"/>
    <x v="25"/>
  </r>
  <r>
    <n v="879"/>
    <n v="0"/>
    <x v="0"/>
    <x v="2"/>
    <s v=" Gerda Ulrika Dahlberg"/>
    <x v="1"/>
    <n v="22"/>
    <x v="1"/>
    <x v="0"/>
    <x v="0"/>
    <n v="10.5167"/>
    <n v="1"/>
    <x v="0"/>
    <x v="0"/>
    <x v="233"/>
  </r>
  <r>
    <n v="880"/>
    <n v="0"/>
    <x v="0"/>
    <x v="0"/>
    <s v=" Frederick James Banfield"/>
    <x v="0"/>
    <n v="28"/>
    <x v="1"/>
    <x v="0"/>
    <x v="2"/>
    <n v="10.5"/>
    <n v="0"/>
    <x v="17"/>
    <x v="0"/>
    <x v="29"/>
  </r>
  <r>
    <n v="881"/>
    <n v="0"/>
    <x v="0"/>
    <x v="0"/>
    <s v=" Henry Jr Sutehall"/>
    <x v="0"/>
    <n v="25"/>
    <x v="1"/>
    <x v="0"/>
    <x v="0"/>
    <n v="7.05"/>
    <n v="0"/>
    <x v="41"/>
    <x v="0"/>
    <x v="78"/>
  </r>
  <r>
    <n v="882"/>
    <n v="0"/>
    <x v="0"/>
    <x v="1"/>
    <s v=" William (Margaret Norton) Rice"/>
    <x v="1"/>
    <n v="39"/>
    <x v="1"/>
    <x v="3"/>
    <x v="0"/>
    <n v="29.125"/>
    <n v="1"/>
    <x v="11"/>
    <x v="0"/>
    <x v="15"/>
  </r>
  <r>
    <n v="883"/>
    <n v="0"/>
    <x v="0"/>
    <x v="5"/>
    <s v=" Juozas Montvila"/>
    <x v="0"/>
    <n v="27"/>
    <x v="1"/>
    <x v="0"/>
    <x v="2"/>
    <n v="13"/>
    <n v="0"/>
    <x v="4"/>
    <x v="0"/>
    <x v="16"/>
  </r>
  <r>
    <n v="884"/>
    <n v="1"/>
    <x v="1"/>
    <x v="2"/>
    <s v=" Margaret Edith Graham"/>
    <x v="1"/>
    <n v="19"/>
    <x v="1"/>
    <x v="0"/>
    <x v="1"/>
    <n v="30"/>
    <n v="1"/>
    <x v="19"/>
    <x v="0"/>
    <x v="201"/>
  </r>
  <r>
    <n v="885"/>
    <n v="0"/>
    <x v="0"/>
    <x v="2"/>
    <s v=" Catherine Helen Johnston"/>
    <x v="1"/>
    <n v="7"/>
    <x v="0"/>
    <x v="2"/>
    <x v="0"/>
    <n v="23.45"/>
    <n v="1"/>
    <x v="30"/>
    <x v="1"/>
    <x v="219"/>
  </r>
  <r>
    <n v="886"/>
    <n v="1"/>
    <x v="1"/>
    <x v="0"/>
    <s v=" Karl Howell Behr"/>
    <x v="0"/>
    <n v="26"/>
    <x v="1"/>
    <x v="0"/>
    <x v="1"/>
    <n v="30"/>
    <n v="0"/>
    <x v="2"/>
    <x v="0"/>
    <x v="201"/>
  </r>
  <r>
    <n v="887"/>
    <n v="0"/>
    <x v="0"/>
    <x v="0"/>
    <s v=" Patrick Dooley"/>
    <x v="0"/>
    <n v="32"/>
    <x v="1"/>
    <x v="0"/>
    <x v="0"/>
    <n v="7.75"/>
    <n v="0"/>
    <x v="40"/>
    <x v="0"/>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D69CE-B4E6-4C61-9772-CD1A34F6D62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6:E53" firstHeaderRow="1" firstDataRow="1" firstDataCol="1"/>
  <pivotFields count="15">
    <pivotField showAll="0"/>
    <pivotField showAll="0"/>
    <pivotField axis="axisRow" dataField="1" showAll="0">
      <items count="3">
        <item x="0"/>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2">
    <field x="2"/>
    <field x="5"/>
  </rowFields>
  <rowItems count="7">
    <i>
      <x/>
    </i>
    <i r="1">
      <x/>
    </i>
    <i r="1">
      <x v="1"/>
    </i>
    <i>
      <x v="1"/>
    </i>
    <i r="1">
      <x/>
    </i>
    <i r="1">
      <x v="1"/>
    </i>
    <i t="grand">
      <x/>
    </i>
  </rowItems>
  <colItems count="1">
    <i/>
  </colItems>
  <dataFields count="1">
    <dataField name="Count of Survived" fld="2" subtotal="count" baseField="0" baseItem="0"/>
  </dataFields>
  <chartFormats count="6">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2" count="1" selected="0">
            <x v="0"/>
          </reference>
          <reference field="5" count="1" selected="0">
            <x v="0"/>
          </reference>
        </references>
      </pivotArea>
    </chartFormat>
    <chartFormat chart="2" format="2">
      <pivotArea type="data" outline="0" fieldPosition="0">
        <references count="3">
          <reference field="4294967294" count="1" selected="0">
            <x v="0"/>
          </reference>
          <reference field="2" count="1" selected="0">
            <x v="0"/>
          </reference>
          <reference field="5" count="1" selected="0">
            <x v="1"/>
          </reference>
        </references>
      </pivotArea>
    </chartFormat>
    <chartFormat chart="2" format="3">
      <pivotArea type="data" outline="0" fieldPosition="0">
        <references count="3">
          <reference field="4294967294" count="1" selected="0">
            <x v="0"/>
          </reference>
          <reference field="2" count="1" selected="0">
            <x v="1"/>
          </reference>
          <reference field="5" count="1" selected="0">
            <x v="0"/>
          </reference>
        </references>
      </pivotArea>
    </chartFormat>
    <chartFormat chart="2" format="4">
      <pivotArea type="data" outline="0" fieldPosition="0">
        <references count="3">
          <reference field="4294967294" count="1" selected="0">
            <x v="0"/>
          </reference>
          <reference field="2"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04643-4982-4C10-877D-7E23C0C69DEA}" name="Survival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6:B49" firstHeaderRow="1" firstDataRow="1" firstDataCol="1"/>
  <pivotFields count="15">
    <pivotField showAll="0"/>
    <pivotField showAll="0"/>
    <pivotField axis="axisRow" dataField="1" showAll="0">
      <items count="3">
        <item x="0"/>
        <item x="1"/>
        <item t="default"/>
      </items>
    </pivotField>
    <pivotField showAll="0">
      <items count="18">
        <item x="14"/>
        <item x="13"/>
        <item x="4"/>
        <item x="6"/>
        <item x="16"/>
        <item x="10"/>
        <item x="9"/>
        <item x="3"/>
        <item x="2"/>
        <item x="12"/>
        <item x="7"/>
        <item x="0"/>
        <item x="1"/>
        <item x="8"/>
        <item x="5"/>
        <item x="11"/>
        <item x="15"/>
        <item t="default"/>
      </items>
    </pivotField>
    <pivotField showAll="0"/>
    <pivotField showAll="0">
      <items count="3">
        <item x="1"/>
        <item x="0"/>
        <item t="default"/>
      </items>
    </pivotField>
    <pivotField showAll="0"/>
    <pivotField showAll="0">
      <items count="8">
        <item x="1"/>
        <item x="0"/>
        <item x="4"/>
        <item x="2"/>
        <item x="3"/>
        <item x="5"/>
        <item x="6"/>
        <item t="default"/>
      </items>
    </pivotField>
    <pivotField showAll="0">
      <items count="8">
        <item x="0"/>
        <item x="1"/>
        <item x="2"/>
        <item x="4"/>
        <item x="5"/>
        <item x="3"/>
        <item x="6"/>
        <item t="default"/>
      </items>
    </pivotField>
    <pivotField showAll="0">
      <items count="4">
        <item x="1"/>
        <item x="2"/>
        <item x="0"/>
        <item t="default"/>
      </items>
    </pivotField>
    <pivotField showAll="0"/>
    <pivotField showAll="0"/>
    <pivotField showAll="0">
      <items count="73">
        <item x="70"/>
        <item x="42"/>
        <item x="6"/>
        <item x="27"/>
        <item x="8"/>
        <item x="35"/>
        <item x="69"/>
        <item x="30"/>
        <item x="18"/>
        <item x="49"/>
        <item x="63"/>
        <item x="36"/>
        <item x="48"/>
        <item x="64"/>
        <item x="7"/>
        <item x="16"/>
        <item x="29"/>
        <item x="39"/>
        <item x="23"/>
        <item x="19"/>
        <item x="10"/>
        <item x="26"/>
        <item x="0"/>
        <item x="13"/>
        <item x="20"/>
        <item x="41"/>
        <item x="2"/>
        <item x="4"/>
        <item x="17"/>
        <item x="32"/>
        <item x="28"/>
        <item x="14"/>
        <item x="40"/>
        <item x="43"/>
        <item x="15"/>
        <item x="3"/>
        <item x="57"/>
        <item x="46"/>
        <item x="1"/>
        <item x="11"/>
        <item x="21"/>
        <item x="52"/>
        <item x="25"/>
        <item x="62"/>
        <item x="53"/>
        <item x="37"/>
        <item x="34"/>
        <item x="47"/>
        <item x="22"/>
        <item x="31"/>
        <item x="56"/>
        <item x="50"/>
        <item x="59"/>
        <item x="66"/>
        <item x="5"/>
        <item x="12"/>
        <item x="51"/>
        <item x="61"/>
        <item x="9"/>
        <item x="44"/>
        <item x="54"/>
        <item x="55"/>
        <item x="58"/>
        <item x="60"/>
        <item x="38"/>
        <item x="33"/>
        <item x="24"/>
        <item x="65"/>
        <item x="68"/>
        <item x="45"/>
        <item x="71"/>
        <item x="67"/>
        <item t="default"/>
      </items>
    </pivotField>
    <pivotField showAll="0">
      <items count="3">
        <item x="0"/>
        <item x="1"/>
        <item t="default"/>
      </items>
    </pivotField>
    <pivotField showAll="0">
      <items count="235">
        <item x="102"/>
        <item x="160"/>
        <item x="231"/>
        <item x="149"/>
        <item x="227"/>
        <item x="224"/>
        <item x="107"/>
        <item x="84"/>
        <item x="167"/>
        <item x="225"/>
        <item x="77"/>
        <item x="78"/>
        <item x="120"/>
        <item x="75"/>
        <item x="18"/>
        <item x="0"/>
        <item x="89"/>
        <item x="189"/>
        <item x="179"/>
        <item x="117"/>
        <item x="185"/>
        <item x="54"/>
        <item x="91"/>
        <item x="217"/>
        <item x="28"/>
        <item x="70"/>
        <item x="59"/>
        <item x="40"/>
        <item x="196"/>
        <item x="13"/>
        <item x="24"/>
        <item x="222"/>
        <item x="25"/>
        <item x="2"/>
        <item x="20"/>
        <item x="4"/>
        <item x="171"/>
        <item x="212"/>
        <item x="49"/>
        <item x="226"/>
        <item x="218"/>
        <item x="106"/>
        <item x="210"/>
        <item x="5"/>
        <item x="221"/>
        <item x="69"/>
        <item x="50"/>
        <item x="220"/>
        <item x="203"/>
        <item x="135"/>
        <item x="57"/>
        <item x="82"/>
        <item x="154"/>
        <item x="115"/>
        <item x="33"/>
        <item x="58"/>
        <item x="181"/>
        <item x="72"/>
        <item x="178"/>
        <item x="232"/>
        <item x="213"/>
        <item x="108"/>
        <item x="29"/>
        <item x="233"/>
        <item x="8"/>
        <item x="32"/>
        <item x="85"/>
        <item x="163"/>
        <item x="119"/>
        <item x="180"/>
        <item x="139"/>
        <item x="56"/>
        <item x="87"/>
        <item x="165"/>
        <item x="134"/>
        <item x="16"/>
        <item x="216"/>
        <item x="116"/>
        <item x="177"/>
        <item x="195"/>
        <item x="146"/>
        <item x="229"/>
        <item x="169"/>
        <item x="52"/>
        <item x="73"/>
        <item x="79"/>
        <item x="204"/>
        <item x="80"/>
        <item x="184"/>
        <item x="48"/>
        <item x="36"/>
        <item x="207"/>
        <item x="162"/>
        <item x="94"/>
        <item x="61"/>
        <item x="153"/>
        <item x="14"/>
        <item x="93"/>
        <item x="10"/>
        <item x="198"/>
        <item x="38"/>
        <item x="17"/>
        <item x="166"/>
        <item x="109"/>
        <item x="173"/>
        <item x="128"/>
        <item x="174"/>
        <item x="122"/>
        <item x="131"/>
        <item x="95"/>
        <item x="64"/>
        <item x="34"/>
        <item x="7"/>
        <item x="37"/>
        <item x="104"/>
        <item x="76"/>
        <item x="186"/>
        <item x="67"/>
        <item x="138"/>
        <item x="219"/>
        <item x="142"/>
        <item x="71"/>
        <item x="100"/>
        <item x="211"/>
        <item x="97"/>
        <item x="19"/>
        <item x="118"/>
        <item x="81"/>
        <item x="187"/>
        <item x="200"/>
        <item x="11"/>
        <item x="112"/>
        <item x="26"/>
        <item x="43"/>
        <item x="47"/>
        <item x="151"/>
        <item x="101"/>
        <item x="55"/>
        <item x="15"/>
        <item x="129"/>
        <item x="201"/>
        <item x="9"/>
        <item x="137"/>
        <item x="99"/>
        <item x="110"/>
        <item x="12"/>
        <item x="22"/>
        <item x="209"/>
        <item x="168"/>
        <item x="205"/>
        <item x="98"/>
        <item x="190"/>
        <item x="62"/>
        <item x="65"/>
        <item x="155"/>
        <item x="21"/>
        <item x="86"/>
        <item x="223"/>
        <item x="176"/>
        <item x="103"/>
        <item x="228"/>
        <item x="197"/>
        <item x="39"/>
        <item x="202"/>
        <item x="35"/>
        <item x="206"/>
        <item x="44"/>
        <item x="60"/>
        <item x="182"/>
        <item x="105"/>
        <item x="230"/>
        <item x="199"/>
        <item x="6"/>
        <item x="31"/>
        <item x="121"/>
        <item x="3"/>
        <item x="96"/>
        <item x="158"/>
        <item x="170"/>
        <item x="53"/>
        <item x="143"/>
        <item x="215"/>
        <item x="150"/>
        <item x="188"/>
        <item x="63"/>
        <item x="90"/>
        <item x="42"/>
        <item x="66"/>
        <item x="208"/>
        <item x="88"/>
        <item x="157"/>
        <item x="92"/>
        <item x="194"/>
        <item x="1"/>
        <item x="51"/>
        <item x="156"/>
        <item x="113"/>
        <item x="41"/>
        <item x="68"/>
        <item x="130"/>
        <item x="183"/>
        <item x="132"/>
        <item x="83"/>
        <item x="125"/>
        <item x="45"/>
        <item x="172"/>
        <item x="30"/>
        <item x="144"/>
        <item x="46"/>
        <item x="123"/>
        <item x="175"/>
        <item x="114"/>
        <item x="133"/>
        <item x="191"/>
        <item x="193"/>
        <item x="141"/>
        <item x="140"/>
        <item x="111"/>
        <item x="164"/>
        <item x="152"/>
        <item x="148"/>
        <item x="127"/>
        <item x="27"/>
        <item x="136"/>
        <item x="126"/>
        <item x="147"/>
        <item x="214"/>
        <item x="159"/>
        <item x="192"/>
        <item x="161"/>
        <item x="74"/>
        <item x="145"/>
        <item x="23"/>
        <item x="124"/>
        <item t="default"/>
      </items>
    </pivotField>
  </pivotFields>
  <rowFields count="1">
    <field x="2"/>
  </rowFields>
  <rowItems count="3">
    <i>
      <x/>
    </i>
    <i>
      <x v="1"/>
    </i>
    <i t="grand">
      <x/>
    </i>
  </rowItems>
  <colItems count="1">
    <i/>
  </colItems>
  <dataFields count="1">
    <dataField name="Count of Survived" fld="2"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4F268-5A61-462C-A2E4-40188DC9FD1B}" name="Sex Age P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44" firstHeaderRow="1" firstDataRow="2" firstDataCol="1"/>
  <pivotFields count="15">
    <pivotField showAll="0"/>
    <pivotField showAll="0"/>
    <pivotField axis="axisRow" showAll="0">
      <items count="3">
        <item x="0"/>
        <item x="1"/>
        <item t="default"/>
      </items>
    </pivotField>
    <pivotField showAll="0">
      <items count="18">
        <item x="14"/>
        <item x="13"/>
        <item x="4"/>
        <item x="6"/>
        <item x="16"/>
        <item x="10"/>
        <item x="9"/>
        <item x="3"/>
        <item x="2"/>
        <item x="12"/>
        <item x="7"/>
        <item x="0"/>
        <item x="1"/>
        <item x="8"/>
        <item x="5"/>
        <item x="11"/>
        <item x="15"/>
        <item t="default"/>
      </items>
    </pivotField>
    <pivotField showAll="0"/>
    <pivotField axis="axisCol" dataField="1" showAll="0">
      <items count="3">
        <item x="1"/>
        <item x="0"/>
        <item t="default"/>
      </items>
    </pivotField>
    <pivotField showAll="0"/>
    <pivotField showAll="0"/>
    <pivotField showAll="0"/>
    <pivotField axis="axisRow" showAll="0">
      <items count="4">
        <item x="1"/>
        <item x="2"/>
        <item x="0"/>
        <item t="default"/>
      </items>
    </pivotField>
    <pivotField showAll="0"/>
    <pivotField showAll="0"/>
    <pivotField showAll="0"/>
    <pivotField axis="axisRow" showAll="0">
      <items count="3">
        <item x="0"/>
        <item x="1"/>
        <item t="default"/>
      </items>
    </pivotField>
    <pivotField showAll="0"/>
  </pivotFields>
  <rowFields count="3">
    <field x="13"/>
    <field x="9"/>
    <field x="2"/>
  </rowFields>
  <rowItems count="21">
    <i>
      <x/>
    </i>
    <i r="1">
      <x/>
    </i>
    <i r="2">
      <x/>
    </i>
    <i r="2">
      <x v="1"/>
    </i>
    <i r="1">
      <x v="1"/>
    </i>
    <i r="2">
      <x/>
    </i>
    <i r="2">
      <x v="1"/>
    </i>
    <i r="1">
      <x v="2"/>
    </i>
    <i r="2">
      <x/>
    </i>
    <i r="2">
      <x v="1"/>
    </i>
    <i>
      <x v="1"/>
    </i>
    <i r="1">
      <x/>
    </i>
    <i r="2">
      <x/>
    </i>
    <i r="2">
      <x v="1"/>
    </i>
    <i r="1">
      <x v="1"/>
    </i>
    <i r="2">
      <x/>
    </i>
    <i r="2">
      <x v="1"/>
    </i>
    <i r="1">
      <x v="2"/>
    </i>
    <i r="2">
      <x/>
    </i>
    <i r="2">
      <x v="1"/>
    </i>
    <i t="grand">
      <x/>
    </i>
  </rowItems>
  <colFields count="1">
    <field x="5"/>
  </colFields>
  <colItems count="3">
    <i>
      <x/>
    </i>
    <i>
      <x v="1"/>
    </i>
    <i t="grand">
      <x/>
    </i>
  </colItems>
  <dataFields count="1">
    <dataField name="Count of Sex" fld="5"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0"/>
          </reference>
        </references>
      </pivotArea>
    </chartFormat>
    <chartFormat chart="2" format="8"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925D5-C317-41DC-BD6C-C22CFE74DA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6:H53" firstHeaderRow="1" firstDataRow="1" firstDataCol="1"/>
  <pivotFields count="15">
    <pivotField showAll="0"/>
    <pivotField showAll="0"/>
    <pivotField showAll="0">
      <items count="3">
        <item x="0"/>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2">
    <field x="5"/>
    <field x="13"/>
  </rowFields>
  <rowItems count="7">
    <i>
      <x/>
    </i>
    <i r="1">
      <x/>
    </i>
    <i r="1">
      <x v="1"/>
    </i>
    <i>
      <x v="1"/>
    </i>
    <i r="1">
      <x/>
    </i>
    <i r="1">
      <x v="1"/>
    </i>
    <i t="grand">
      <x/>
    </i>
  </rowItems>
  <colItems count="1">
    <i/>
  </colItems>
  <dataFields count="1">
    <dataField name="Count of Child Adult" fld="13"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C9E22437-D614-436A-A27C-3509729E2D53}" sourceName="Survived">
  <pivotTables>
    <pivotTable tabId="9" name="Survival Count"/>
  </pivotTables>
  <data>
    <tabular pivotCacheId="7734246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name" xr10:uid="{21EC158E-631B-482D-81C5-BD7098DFB4D8}" sourceName="Surname">
  <pivotTables>
    <pivotTable tabId="9" name="Survival Count"/>
    <pivotTable tabId="9" name="Sex Age PClass"/>
  </pivotTables>
  <data>
    <tabular pivotCacheId="773424605">
      <items count="17">
        <i x="14" s="1"/>
        <i x="13" s="1"/>
        <i x="4" s="1"/>
        <i x="6" s="1"/>
        <i x="16" s="1"/>
        <i x="10" s="1"/>
        <i x="9" s="1"/>
        <i x="3" s="1"/>
        <i x="2" s="1"/>
        <i x="12" s="1"/>
        <i x="7" s="1"/>
        <i x="0" s="1"/>
        <i x="1" s="1"/>
        <i x="8" s="1"/>
        <i x="5" s="1"/>
        <i x="11"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FDD9A781-C51D-430C-834E-31D9951FBD10}" sourceName="Sex">
  <pivotTables>
    <pivotTable tabId="9" name="Survival Count"/>
    <pivotTable tabId="9" name="Sex Age PClass"/>
  </pivotTables>
  <data>
    <tabular pivotCacheId="77342460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C1B9983B-00F9-40B3-B917-7EA8FA0940BD}" sourceName="Pclass">
  <pivotTables>
    <pivotTable tabId="9" name="Survival Count"/>
    <pivotTable tabId="9" name="Sex Age PClass"/>
  </pivotTables>
  <data>
    <tabular pivotCacheId="773424605">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_Adult" xr10:uid="{EF07F933-F10E-4492-B7C5-98CC5D4506D5}" sourceName="Child Adult">
  <pivotTables>
    <pivotTable tabId="9" name="Survival Count"/>
  </pivotTables>
  <data>
    <tabular pivotCacheId="773424605">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nded_Fare" xr10:uid="{4EEB7680-2CAB-479A-8F53-10C850849DD0}" sourceName="Rounded Fare">
  <pivotTables>
    <pivotTable tabId="9" name="Survival Count"/>
  </pivotTables>
  <data>
    <tabular pivotCacheId="773424605">
      <items count="234">
        <i x="102" s="1"/>
        <i x="160" s="1"/>
        <i x="231" s="1"/>
        <i x="149" s="1"/>
        <i x="227" s="1"/>
        <i x="224" s="1"/>
        <i x="107" s="1"/>
        <i x="84" s="1"/>
        <i x="167" s="1"/>
        <i x="225" s="1"/>
        <i x="77" s="1"/>
        <i x="78" s="1"/>
        <i x="120" s="1"/>
        <i x="75" s="1"/>
        <i x="18" s="1"/>
        <i x="0" s="1"/>
        <i x="89" s="1"/>
        <i x="189" s="1"/>
        <i x="179" s="1"/>
        <i x="117" s="1"/>
        <i x="185" s="1"/>
        <i x="54" s="1"/>
        <i x="91" s="1"/>
        <i x="217" s="1"/>
        <i x="28" s="1"/>
        <i x="70" s="1"/>
        <i x="59" s="1"/>
        <i x="40" s="1"/>
        <i x="196" s="1"/>
        <i x="13" s="1"/>
        <i x="24" s="1"/>
        <i x="222" s="1"/>
        <i x="25" s="1"/>
        <i x="2" s="1"/>
        <i x="20" s="1"/>
        <i x="4" s="1"/>
        <i x="171" s="1"/>
        <i x="212" s="1"/>
        <i x="49" s="1"/>
        <i x="226" s="1"/>
        <i x="218" s="1"/>
        <i x="106" s="1"/>
        <i x="210" s="1"/>
        <i x="5" s="1"/>
        <i x="221" s="1"/>
        <i x="69" s="1"/>
        <i x="50" s="1"/>
        <i x="220" s="1"/>
        <i x="203" s="1"/>
        <i x="135" s="1"/>
        <i x="57" s="1"/>
        <i x="82" s="1"/>
        <i x="154" s="1"/>
        <i x="115" s="1"/>
        <i x="33" s="1"/>
        <i x="58" s="1"/>
        <i x="181" s="1"/>
        <i x="72" s="1"/>
        <i x="178" s="1"/>
        <i x="232" s="1"/>
        <i x="213" s="1"/>
        <i x="108" s="1"/>
        <i x="29" s="1"/>
        <i x="233" s="1"/>
        <i x="8" s="1"/>
        <i x="32" s="1"/>
        <i x="85" s="1"/>
        <i x="163" s="1"/>
        <i x="119" s="1"/>
        <i x="180" s="1"/>
        <i x="139" s="1"/>
        <i x="56" s="1"/>
        <i x="87" s="1"/>
        <i x="165" s="1"/>
        <i x="134" s="1"/>
        <i x="16" s="1"/>
        <i x="216" s="1"/>
        <i x="116" s="1"/>
        <i x="177" s="1"/>
        <i x="195" s="1"/>
        <i x="146" s="1"/>
        <i x="229" s="1"/>
        <i x="169" s="1"/>
        <i x="52" s="1"/>
        <i x="73" s="1"/>
        <i x="79" s="1"/>
        <i x="204" s="1"/>
        <i x="80" s="1"/>
        <i x="184" s="1"/>
        <i x="48" s="1"/>
        <i x="36" s="1"/>
        <i x="207" s="1"/>
        <i x="162" s="1"/>
        <i x="94" s="1"/>
        <i x="61" s="1"/>
        <i x="153" s="1"/>
        <i x="14" s="1"/>
        <i x="93" s="1"/>
        <i x="10" s="1"/>
        <i x="198" s="1"/>
        <i x="38" s="1"/>
        <i x="17" s="1"/>
        <i x="166" s="1"/>
        <i x="109" s="1"/>
        <i x="173" s="1"/>
        <i x="128" s="1"/>
        <i x="174" s="1"/>
        <i x="122" s="1"/>
        <i x="131" s="1"/>
        <i x="95" s="1"/>
        <i x="64" s="1"/>
        <i x="34" s="1"/>
        <i x="7" s="1"/>
        <i x="37" s="1"/>
        <i x="104" s="1"/>
        <i x="76" s="1"/>
        <i x="186" s="1"/>
        <i x="67" s="1"/>
        <i x="138" s="1"/>
        <i x="219" s="1"/>
        <i x="142" s="1"/>
        <i x="71" s="1"/>
        <i x="100" s="1"/>
        <i x="211" s="1"/>
        <i x="97" s="1"/>
        <i x="19" s="1"/>
        <i x="118" s="1"/>
        <i x="81" s="1"/>
        <i x="187" s="1"/>
        <i x="200" s="1"/>
        <i x="11" s="1"/>
        <i x="112" s="1"/>
        <i x="26" s="1"/>
        <i x="43" s="1"/>
        <i x="47" s="1"/>
        <i x="151" s="1"/>
        <i x="101" s="1"/>
        <i x="55" s="1"/>
        <i x="15" s="1"/>
        <i x="129" s="1"/>
        <i x="201" s="1"/>
        <i x="9" s="1"/>
        <i x="137" s="1"/>
        <i x="99" s="1"/>
        <i x="110" s="1"/>
        <i x="12" s="1"/>
        <i x="22" s="1"/>
        <i x="209" s="1"/>
        <i x="168" s="1"/>
        <i x="205" s="1"/>
        <i x="98" s="1"/>
        <i x="190" s="1"/>
        <i x="62" s="1"/>
        <i x="65" s="1"/>
        <i x="155" s="1"/>
        <i x="21" s="1"/>
        <i x="86" s="1"/>
        <i x="223" s="1"/>
        <i x="176" s="1"/>
        <i x="103" s="1"/>
        <i x="228" s="1"/>
        <i x="197" s="1"/>
        <i x="39" s="1"/>
        <i x="202" s="1"/>
        <i x="35" s="1"/>
        <i x="206" s="1"/>
        <i x="44" s="1"/>
        <i x="60" s="1"/>
        <i x="182" s="1"/>
        <i x="105" s="1"/>
        <i x="230" s="1"/>
        <i x="199" s="1"/>
        <i x="6" s="1"/>
        <i x="31" s="1"/>
        <i x="121" s="1"/>
        <i x="3" s="1"/>
        <i x="96" s="1"/>
        <i x="158" s="1"/>
        <i x="170" s="1"/>
        <i x="53" s="1"/>
        <i x="143" s="1"/>
        <i x="215" s="1"/>
        <i x="150" s="1"/>
        <i x="188" s="1"/>
        <i x="63" s="1"/>
        <i x="90" s="1"/>
        <i x="42" s="1"/>
        <i x="66" s="1"/>
        <i x="208" s="1"/>
        <i x="88" s="1"/>
        <i x="157" s="1"/>
        <i x="92" s="1"/>
        <i x="194" s="1"/>
        <i x="1" s="1"/>
        <i x="51" s="1"/>
        <i x="156" s="1"/>
        <i x="113" s="1"/>
        <i x="41" s="1"/>
        <i x="68" s="1"/>
        <i x="130" s="1"/>
        <i x="183" s="1"/>
        <i x="132" s="1"/>
        <i x="83" s="1"/>
        <i x="125" s="1"/>
        <i x="45" s="1"/>
        <i x="172" s="1"/>
        <i x="30" s="1"/>
        <i x="144" s="1"/>
        <i x="46" s="1"/>
        <i x="123" s="1"/>
        <i x="175" s="1"/>
        <i x="114" s="1"/>
        <i x="133" s="1"/>
        <i x="191" s="1"/>
        <i x="193" s="1"/>
        <i x="141" s="1"/>
        <i x="140" s="1"/>
        <i x="111" s="1"/>
        <i x="164" s="1"/>
        <i x="152" s="1"/>
        <i x="148" s="1"/>
        <i x="127" s="1"/>
        <i x="27" s="1"/>
        <i x="136" s="1"/>
        <i x="126" s="1"/>
        <i x="147" s="1"/>
        <i x="214" s="1"/>
        <i x="159" s="1"/>
        <i x="192" s="1"/>
        <i x="161" s="1"/>
        <i x="74" s="1"/>
        <i x="145" s="1"/>
        <i x="23" s="1"/>
        <i x="12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nded_Age" xr10:uid="{C9807EE6-C27F-47BE-8B51-BF8238C0A39B}" sourceName="Rounded Age">
  <pivotTables>
    <pivotTable tabId="9" name="Survival Count"/>
  </pivotTables>
  <data>
    <tabular pivotCacheId="773424605">
      <items count="72">
        <i x="70" s="1"/>
        <i x="42" s="1"/>
        <i x="6" s="1"/>
        <i x="27" s="1"/>
        <i x="8" s="1"/>
        <i x="35" s="1"/>
        <i x="69" s="1"/>
        <i x="30" s="1"/>
        <i x="18" s="1"/>
        <i x="49" s="1"/>
        <i x="63" s="1"/>
        <i x="36" s="1"/>
        <i x="48" s="1"/>
        <i x="64" s="1"/>
        <i x="7" s="1"/>
        <i x="16" s="1"/>
        <i x="29" s="1"/>
        <i x="39" s="1"/>
        <i x="23" s="1"/>
        <i x="19" s="1"/>
        <i x="10" s="1"/>
        <i x="26" s="1"/>
        <i x="0" s="1"/>
        <i x="13" s="1"/>
        <i x="20" s="1"/>
        <i x="41" s="1"/>
        <i x="2" s="1"/>
        <i x="4" s="1"/>
        <i x="17" s="1"/>
        <i x="32" s="1"/>
        <i x="28" s="1"/>
        <i x="14" s="1"/>
        <i x="40" s="1"/>
        <i x="43" s="1"/>
        <i x="15" s="1"/>
        <i x="3" s="1"/>
        <i x="57" s="1"/>
        <i x="46" s="1"/>
        <i x="1" s="1"/>
        <i x="11" s="1"/>
        <i x="21" s="1"/>
        <i x="52" s="1"/>
        <i x="25" s="1"/>
        <i x="62" s="1"/>
        <i x="53" s="1"/>
        <i x="37" s="1"/>
        <i x="34" s="1"/>
        <i x="47" s="1"/>
        <i x="22" s="1"/>
        <i x="31" s="1"/>
        <i x="56" s="1"/>
        <i x="50" s="1"/>
        <i x="59" s="1"/>
        <i x="66" s="1"/>
        <i x="5" s="1"/>
        <i x="12" s="1"/>
        <i x="51" s="1"/>
        <i x="61" s="1"/>
        <i x="9" s="1"/>
        <i x="44" s="1"/>
        <i x="54" s="1"/>
        <i x="55" s="1"/>
        <i x="58" s="1"/>
        <i x="60" s="1"/>
        <i x="38" s="1"/>
        <i x="33" s="1"/>
        <i x="24" s="1"/>
        <i x="65" s="1"/>
        <i x="68" s="1"/>
        <i x="45" s="1"/>
        <i x="71" s="1"/>
        <i x="6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B97F6FB1-B823-4F97-A88B-15DA959161F2}" cache="Slicer_Survived" caption="Survived" rowHeight="234950"/>
  <slicer name="Surname" xr10:uid="{9AFF2DF6-852F-4636-AE30-85B0AAA834BB}" cache="Slicer_Surname" caption="Surname" startItem="4" rowHeight="234950"/>
  <slicer name="Sex" xr10:uid="{D4CB7BBD-81DF-4E89-AB9A-3486A60B4A56}" cache="Slicer_Sex" caption="Sex" rowHeight="234950"/>
  <slicer name="Pclass" xr10:uid="{734899D7-98F7-4F26-8B81-3D1C91BBD2C0}" cache="Slicer_Pclass" caption="Pclass" rowHeight="234950"/>
  <slicer name="Child Adult" xr10:uid="{1F57A387-D029-470A-A55E-085DDF8060C6}" cache="Slicer_Child_Adult" caption="Child Adult" rowHeight="234950"/>
  <slicer name="Rounded Fare" xr10:uid="{88B4BF0B-31C5-43D2-99A3-C0CEEEC83881}" cache="Slicer_Rounded_Fare" caption="Rounded Fare" startItem="72" rowHeight="234950"/>
  <slicer name="Rounded Age" xr10:uid="{4288BD01-13E9-431F-827D-1E28503094D8}" cache="Slicer_Rounded_Age" caption="Rounded A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AEEB75-A120-47D0-8B65-3C84E191EA7B}" name="Titanic" displayName="Titanic" ref="A1:O888" totalsRowShown="0">
  <autoFilter ref="A1:O888" xr:uid="{EAAEEB75-A120-47D0-8B65-3C84E191EA7B}"/>
  <tableColumns count="15">
    <tableColumn id="1" xr3:uid="{F1202D76-023E-4B7A-89EF-80CFC8CA5983}" name="Index"/>
    <tableColumn id="2" xr3:uid="{960C07D7-5213-4FDC-8231-1802BEA61F2C}" name="Survived Num"/>
    <tableColumn id="3" xr3:uid="{D4AE7EC1-810B-49BE-8494-7127871B2075}" name="Survived">
      <calculatedColumnFormula>IF(B2=0,"No","Yes")</calculatedColumnFormula>
    </tableColumn>
    <tableColumn id="4" xr3:uid="{94188262-8004-4D46-981B-8BF690D671F7}" name="Surname"/>
    <tableColumn id="5" xr3:uid="{AC4AC3FE-7876-4D6C-9FCF-E6997B8373C6}" name="Name"/>
    <tableColumn id="6" xr3:uid="{67FE75D1-5734-4B66-A4FD-B8966A3A3E32}" name="Sex" dataDxfId="0">
      <calculatedColumnFormula array="1">IF(OR(COUNTIF(D2,"*"&amp;Preprocessing!$T$9:$T$15&amp;"*")),"Female","Male")</calculatedColumnFormula>
    </tableColumn>
    <tableColumn id="7" xr3:uid="{F8CDD294-11B8-45F1-9F47-751A294EFCD9}" name="Age"/>
    <tableColumn id="8" xr3:uid="{D864E7A0-8EB2-43FA-AF30-DCAE845A32CA}" name="Siblings/Spouses Aboard"/>
    <tableColumn id="9" xr3:uid="{304B48F9-91CF-4AED-9473-C1BA3C3BD9E7}" name="Parents/Children Aboard"/>
    <tableColumn id="10" xr3:uid="{4C64F256-1A30-4F3D-8B87-67A5B3EA3599}" name="Pclass"/>
    <tableColumn id="11" xr3:uid="{6DBDF01E-C7F9-4C4B-8D49-76B2DBE9D68C}" name="Fare"/>
    <tableColumn id="12" xr3:uid="{445F26F2-B8E5-4DE0-92E5-F9DB0E57C5C9}" name="SexNum">
      <calculatedColumnFormula>IF(F2 = "Male", 0, 1)</calculatedColumnFormula>
    </tableColumn>
    <tableColumn id="13" xr3:uid="{A7500B3E-0B57-4DDE-A5CD-369B42A7FA9A}" name="Rounded Age">
      <calculatedColumnFormula>ROUND(G2, 0)</calculatedColumnFormula>
    </tableColumn>
    <tableColumn id="14" xr3:uid="{8AE17785-17D8-4EB2-923C-D2FB620A7E20}" name="Child Adult">
      <calculatedColumnFormula>IF(G2&lt;=16,"Child","Adult")</calculatedColumnFormula>
    </tableColumn>
    <tableColumn id="15" xr3:uid="{93C04989-77AB-4E77-AFC5-C7FF4094918B}" name="Rounded Fare">
      <calculatedColumnFormula>ROUND(K2, 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freecodecamp.org/news/https-medium-com-sharadvm-how-to-read-a-regression-table-661d391e9bd7-708e75efc56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microsoft.com/en-gb/office/create-and-share-a-dashboard-with-excel-and-microsoft-groups-ad92a34d-38d0-4fdd-b8b1-58379aae746e" TargetMode="External"/><Relationship Id="rId2" Type="http://schemas.openxmlformats.org/officeDocument/2006/relationships/hyperlink" Target="https://medium.com/@adaoraogbonna/analyses-of-the-titanic-dataset-using-excel-8d1d63d0b177" TargetMode="External"/><Relationship Id="rId1" Type="http://schemas.openxmlformats.org/officeDocument/2006/relationships/hyperlink" Target="https://www.statology.org/logistic-regression-exce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support.microsoft.com/en-gb/office/create-and-share-a-dashboard-with-excel-and-microsoft-groups-ad92a34d-38d0-4fdd-b8b1-58379aae746e" TargetMode="External"/><Relationship Id="rId2" Type="http://schemas.openxmlformats.org/officeDocument/2006/relationships/hyperlink" Target="https://medium.com/@adaoraogbonna/analyses-of-the-titanic-dataset-using-excel-8d1d63d0b177" TargetMode="External"/><Relationship Id="rId1" Type="http://schemas.openxmlformats.org/officeDocument/2006/relationships/hyperlink" Target="https://www.statology.org/logistic-regression-exce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E504-C2B8-4AA2-A405-540EF9BF4D21}">
  <dimension ref="A1:N228"/>
  <sheetViews>
    <sheetView workbookViewId="0">
      <selection activeCell="I7" sqref="I7"/>
    </sheetView>
  </sheetViews>
  <sheetFormatPr defaultRowHeight="14.4" x14ac:dyDescent="0.3"/>
  <cols>
    <col min="6" max="6" width="17.109375" customWidth="1"/>
    <col min="7" max="7" width="13.88671875" customWidth="1"/>
    <col min="8" max="8" width="14.77734375" customWidth="1"/>
    <col min="9" max="9" width="14.21875" customWidth="1"/>
    <col min="11" max="11" width="24.21875" customWidth="1"/>
    <col min="12" max="12" width="19.44140625" customWidth="1"/>
    <col min="13" max="13" width="20.109375" customWidth="1"/>
    <col min="14" max="14" width="23.77734375" customWidth="1"/>
  </cols>
  <sheetData>
    <row r="1" spans="1:13" x14ac:dyDescent="0.3">
      <c r="A1" t="s">
        <v>3</v>
      </c>
      <c r="B1" t="s">
        <v>2</v>
      </c>
      <c r="C1" t="s">
        <v>1</v>
      </c>
      <c r="D1" t="s">
        <v>0</v>
      </c>
      <c r="F1" s="10" t="s">
        <v>902</v>
      </c>
    </row>
    <row r="2" spans="1:13" ht="15" thickBot="1" x14ac:dyDescent="0.35">
      <c r="A2">
        <v>230.1</v>
      </c>
      <c r="B2">
        <v>37.799999999999997</v>
      </c>
      <c r="C2">
        <v>69.2</v>
      </c>
      <c r="D2">
        <v>22.1</v>
      </c>
    </row>
    <row r="3" spans="1:13" x14ac:dyDescent="0.3">
      <c r="A3">
        <v>44.5</v>
      </c>
      <c r="B3">
        <v>39.299999999999997</v>
      </c>
      <c r="C3">
        <v>45.1</v>
      </c>
      <c r="D3">
        <v>10.4</v>
      </c>
      <c r="F3" s="3" t="s">
        <v>903</v>
      </c>
      <c r="G3" s="3"/>
    </row>
    <row r="4" spans="1:13" x14ac:dyDescent="0.3">
      <c r="A4">
        <v>17.2</v>
      </c>
      <c r="B4">
        <v>45.9</v>
      </c>
      <c r="C4">
        <v>69.3</v>
      </c>
      <c r="D4">
        <v>9.3000000000000007</v>
      </c>
      <c r="F4" t="s">
        <v>904</v>
      </c>
      <c r="G4">
        <v>0.94721203443524304</v>
      </c>
    </row>
    <row r="5" spans="1:13" x14ac:dyDescent="0.3">
      <c r="A5">
        <v>151.5</v>
      </c>
      <c r="B5">
        <v>41.3</v>
      </c>
      <c r="C5">
        <v>58.5</v>
      </c>
      <c r="D5">
        <v>18.5</v>
      </c>
      <c r="F5" t="s">
        <v>905</v>
      </c>
      <c r="G5">
        <v>0.89721063817895208</v>
      </c>
    </row>
    <row r="6" spans="1:13" x14ac:dyDescent="0.3">
      <c r="A6">
        <v>180.8</v>
      </c>
      <c r="B6">
        <v>10.8</v>
      </c>
      <c r="C6">
        <v>58.4</v>
      </c>
      <c r="D6">
        <v>12.9</v>
      </c>
      <c r="F6" t="s">
        <v>906</v>
      </c>
      <c r="G6">
        <v>0.89563733162046666</v>
      </c>
    </row>
    <row r="7" spans="1:13" x14ac:dyDescent="0.3">
      <c r="A7">
        <v>8.6999999999999993</v>
      </c>
      <c r="B7">
        <v>48.9</v>
      </c>
      <c r="C7">
        <v>75</v>
      </c>
      <c r="D7">
        <v>7.2</v>
      </c>
      <c r="F7" t="s">
        <v>907</v>
      </c>
      <c r="G7">
        <v>1.6855103734147443</v>
      </c>
      <c r="I7" s="9" t="s">
        <v>949</v>
      </c>
    </row>
    <row r="8" spans="1:13" ht="15" thickBot="1" x14ac:dyDescent="0.35">
      <c r="A8">
        <v>57.5</v>
      </c>
      <c r="B8">
        <v>32.799999999999997</v>
      </c>
      <c r="C8">
        <v>23.5</v>
      </c>
      <c r="D8">
        <v>11.8</v>
      </c>
      <c r="F8" s="1" t="s">
        <v>908</v>
      </c>
      <c r="G8" s="1">
        <v>200</v>
      </c>
      <c r="I8" t="s">
        <v>948</v>
      </c>
    </row>
    <row r="9" spans="1:13" x14ac:dyDescent="0.3">
      <c r="A9">
        <v>120.2</v>
      </c>
      <c r="B9">
        <v>19.600000000000001</v>
      </c>
      <c r="C9">
        <v>11.6</v>
      </c>
      <c r="D9">
        <v>13.2</v>
      </c>
    </row>
    <row r="10" spans="1:13" ht="15" thickBot="1" x14ac:dyDescent="0.35">
      <c r="A10">
        <v>8.6</v>
      </c>
      <c r="B10">
        <v>2.1</v>
      </c>
      <c r="C10">
        <v>1</v>
      </c>
      <c r="D10">
        <v>4.8</v>
      </c>
      <c r="F10" t="s">
        <v>909</v>
      </c>
      <c r="G10" s="7" t="s">
        <v>935</v>
      </c>
    </row>
    <row r="11" spans="1:13" x14ac:dyDescent="0.3">
      <c r="A11">
        <v>199.8</v>
      </c>
      <c r="B11">
        <v>2.6</v>
      </c>
      <c r="C11">
        <v>21.2</v>
      </c>
      <c r="D11">
        <v>10.6</v>
      </c>
      <c r="F11" s="2"/>
      <c r="G11" s="2" t="s">
        <v>914</v>
      </c>
      <c r="H11" s="2" t="s">
        <v>915</v>
      </c>
      <c r="I11" s="2" t="s">
        <v>916</v>
      </c>
      <c r="J11" s="2" t="s">
        <v>917</v>
      </c>
      <c r="K11" s="2" t="s">
        <v>918</v>
      </c>
      <c r="M11" s="8" t="s">
        <v>940</v>
      </c>
    </row>
    <row r="12" spans="1:13" x14ac:dyDescent="0.3">
      <c r="A12">
        <v>66.099999999999994</v>
      </c>
      <c r="B12">
        <v>5.8</v>
      </c>
      <c r="C12">
        <v>24.2</v>
      </c>
      <c r="D12">
        <v>8.6</v>
      </c>
      <c r="F12" t="s">
        <v>910</v>
      </c>
      <c r="G12">
        <v>3</v>
      </c>
      <c r="H12">
        <v>4860.3234870978104</v>
      </c>
      <c r="I12">
        <v>1620.1078290326034</v>
      </c>
      <c r="J12">
        <v>570.27070365909378</v>
      </c>
      <c r="K12">
        <v>1.5752272560925405E-96</v>
      </c>
      <c r="M12">
        <f>H12/H14</f>
        <v>0.89721063817895208</v>
      </c>
    </row>
    <row r="13" spans="1:13" x14ac:dyDescent="0.3">
      <c r="A13">
        <v>214.7</v>
      </c>
      <c r="B13">
        <v>24</v>
      </c>
      <c r="C13">
        <v>4</v>
      </c>
      <c r="D13">
        <v>17.399999999999999</v>
      </c>
      <c r="F13" t="s">
        <v>911</v>
      </c>
      <c r="G13">
        <v>196</v>
      </c>
      <c r="H13">
        <v>556.82526290218732</v>
      </c>
      <c r="I13">
        <v>2.8409452188887108</v>
      </c>
    </row>
    <row r="14" spans="1:13" ht="15" thickBot="1" x14ac:dyDescent="0.35">
      <c r="A14">
        <v>23.8</v>
      </c>
      <c r="B14">
        <v>35.1</v>
      </c>
      <c r="C14">
        <v>65.900000000000006</v>
      </c>
      <c r="D14">
        <v>9.1999999999999993</v>
      </c>
      <c r="F14" s="1" t="s">
        <v>912</v>
      </c>
      <c r="G14" s="1">
        <v>199</v>
      </c>
      <c r="H14" s="1">
        <v>5417.1487499999976</v>
      </c>
      <c r="I14" s="1"/>
      <c r="J14" s="1"/>
      <c r="K14" s="1"/>
      <c r="M14" t="s">
        <v>947</v>
      </c>
    </row>
    <row r="15" spans="1:13" x14ac:dyDescent="0.3">
      <c r="A15">
        <v>97.5</v>
      </c>
      <c r="B15">
        <v>7.6</v>
      </c>
      <c r="C15">
        <v>7.2</v>
      </c>
      <c r="D15">
        <v>9.6999999999999993</v>
      </c>
      <c r="G15" t="s">
        <v>942</v>
      </c>
      <c r="H15" t="s">
        <v>941</v>
      </c>
      <c r="I15" t="s">
        <v>945</v>
      </c>
      <c r="K15" t="s">
        <v>950</v>
      </c>
      <c r="L15" t="s">
        <v>952</v>
      </c>
      <c r="M15" t="s">
        <v>953</v>
      </c>
    </row>
    <row r="16" spans="1:13" x14ac:dyDescent="0.3">
      <c r="A16">
        <v>204.1</v>
      </c>
      <c r="B16">
        <v>32.9</v>
      </c>
      <c r="C16">
        <v>46</v>
      </c>
      <c r="D16">
        <v>19</v>
      </c>
      <c r="G16" t="s">
        <v>943</v>
      </c>
      <c r="H16" t="s">
        <v>944</v>
      </c>
      <c r="I16" t="s">
        <v>946</v>
      </c>
      <c r="K16" t="s">
        <v>951</v>
      </c>
      <c r="L16">
        <f>I12/I13</f>
        <v>570.27070365909378</v>
      </c>
      <c r="M16">
        <f>_xlfn.F.DIST.RT(J12, G12, G13)</f>
        <v>1.5752272560925405E-96</v>
      </c>
    </row>
    <row r="17" spans="1:14" ht="15" thickBot="1" x14ac:dyDescent="0.35">
      <c r="A17">
        <v>195.4</v>
      </c>
      <c r="B17">
        <v>47.7</v>
      </c>
      <c r="C17">
        <v>52.9</v>
      </c>
      <c r="D17">
        <v>22.4</v>
      </c>
    </row>
    <row r="18" spans="1:14" x14ac:dyDescent="0.3">
      <c r="A18">
        <v>67.8</v>
      </c>
      <c r="B18">
        <v>36.6</v>
      </c>
      <c r="C18">
        <v>114</v>
      </c>
      <c r="D18">
        <v>12.5</v>
      </c>
      <c r="F18" s="2"/>
      <c r="G18" s="2" t="s">
        <v>919</v>
      </c>
      <c r="H18" s="2" t="s">
        <v>907</v>
      </c>
      <c r="I18" s="2" t="s">
        <v>920</v>
      </c>
      <c r="J18" s="2" t="s">
        <v>921</v>
      </c>
      <c r="K18" s="2" t="s">
        <v>922</v>
      </c>
      <c r="L18" s="2" t="s">
        <v>923</v>
      </c>
      <c r="M18" s="2" t="s">
        <v>924</v>
      </c>
      <c r="N18" s="2" t="s">
        <v>925</v>
      </c>
    </row>
    <row r="19" spans="1:14" x14ac:dyDescent="0.3">
      <c r="A19">
        <v>281.39999999999998</v>
      </c>
      <c r="B19">
        <v>39.6</v>
      </c>
      <c r="C19">
        <v>55.8</v>
      </c>
      <c r="D19">
        <v>24.4</v>
      </c>
      <c r="F19" t="s">
        <v>913</v>
      </c>
      <c r="G19">
        <v>2.9388893694594174</v>
      </c>
      <c r="H19">
        <v>0.3119082363217911</v>
      </c>
      <c r="I19">
        <v>9.4222884400763594</v>
      </c>
      <c r="J19">
        <v>1.2672945051313229E-17</v>
      </c>
      <c r="K19">
        <v>2.3237622792333079</v>
      </c>
      <c r="L19">
        <v>3.5540164596855268</v>
      </c>
      <c r="M19">
        <v>2.3237622792333079</v>
      </c>
      <c r="N19">
        <v>3.5540164596855268</v>
      </c>
    </row>
    <row r="20" spans="1:14" x14ac:dyDescent="0.3">
      <c r="A20">
        <v>69.2</v>
      </c>
      <c r="B20">
        <v>20.5</v>
      </c>
      <c r="C20">
        <v>18.3</v>
      </c>
      <c r="D20">
        <v>11.3</v>
      </c>
      <c r="F20" t="s">
        <v>3</v>
      </c>
      <c r="G20">
        <v>4.576464545539756E-2</v>
      </c>
      <c r="H20">
        <v>1.3948968069749748E-3</v>
      </c>
      <c r="I20">
        <v>32.808624427669656</v>
      </c>
      <c r="J20">
        <v>1.5099599548145318E-81</v>
      </c>
      <c r="K20">
        <v>4.301371196239745E-2</v>
      </c>
      <c r="L20">
        <v>4.851557894839767E-2</v>
      </c>
      <c r="M20">
        <v>4.301371196239745E-2</v>
      </c>
      <c r="N20">
        <v>4.851557894839767E-2</v>
      </c>
    </row>
    <row r="21" spans="1:14" x14ac:dyDescent="0.3">
      <c r="A21">
        <v>147.30000000000001</v>
      </c>
      <c r="B21">
        <v>23.9</v>
      </c>
      <c r="C21">
        <v>19.100000000000001</v>
      </c>
      <c r="D21">
        <v>14.6</v>
      </c>
      <c r="F21" t="s">
        <v>2</v>
      </c>
      <c r="G21">
        <v>0.18853001691820431</v>
      </c>
      <c r="H21">
        <v>8.6112339673019428E-3</v>
      </c>
      <c r="I21">
        <v>21.893496058065441</v>
      </c>
      <c r="J21">
        <v>1.5053389205757539E-54</v>
      </c>
      <c r="K21">
        <v>0.1715474474419118</v>
      </c>
      <c r="L21">
        <v>0.20551258639449682</v>
      </c>
      <c r="M21">
        <v>0.1715474474419118</v>
      </c>
      <c r="N21">
        <v>0.20551258639449682</v>
      </c>
    </row>
    <row r="22" spans="1:14" ht="15" thickBot="1" x14ac:dyDescent="0.35">
      <c r="A22">
        <v>218.4</v>
      </c>
      <c r="B22">
        <v>27.7</v>
      </c>
      <c r="C22">
        <v>53.4</v>
      </c>
      <c r="D22">
        <v>18</v>
      </c>
      <c r="F22" s="1" t="s">
        <v>1</v>
      </c>
      <c r="G22" s="1">
        <v>-1.037493042476263E-3</v>
      </c>
      <c r="H22" s="1">
        <v>5.8710096470863671E-3</v>
      </c>
      <c r="I22" s="1">
        <v>-0.17671458656027664</v>
      </c>
      <c r="J22" s="1">
        <v>0.85991505008057501</v>
      </c>
      <c r="K22" s="1">
        <v>-1.2615953180270797E-2</v>
      </c>
      <c r="L22" s="1">
        <v>1.0540967095318272E-2</v>
      </c>
      <c r="M22" s="1">
        <v>-1.2615953180270797E-2</v>
      </c>
      <c r="N22" s="1">
        <v>1.0540967095318272E-2</v>
      </c>
    </row>
    <row r="23" spans="1:14" x14ac:dyDescent="0.3">
      <c r="A23">
        <v>237.4</v>
      </c>
      <c r="B23">
        <v>5.0999999999999996</v>
      </c>
      <c r="C23">
        <v>23.5</v>
      </c>
      <c r="D23">
        <v>12.5</v>
      </c>
      <c r="G23" t="s">
        <v>930</v>
      </c>
      <c r="H23" t="s">
        <v>931</v>
      </c>
      <c r="I23" t="s">
        <v>921</v>
      </c>
      <c r="L23" s="6" t="s">
        <v>937</v>
      </c>
    </row>
    <row r="24" spans="1:14" x14ac:dyDescent="0.3">
      <c r="A24">
        <v>13.2</v>
      </c>
      <c r="B24">
        <v>15.9</v>
      </c>
      <c r="C24">
        <v>49.6</v>
      </c>
      <c r="D24">
        <v>5.6</v>
      </c>
      <c r="G24">
        <f>G20+H20*2</f>
        <v>4.8554439069347512E-2</v>
      </c>
      <c r="H24">
        <f>G20/H20</f>
        <v>32.808624427669656</v>
      </c>
      <c r="I24">
        <f>TDIST(I20, 196, 2)</f>
        <v>1.5099599548145318E-81</v>
      </c>
    </row>
    <row r="25" spans="1:14" x14ac:dyDescent="0.3">
      <c r="A25">
        <v>228.3</v>
      </c>
      <c r="B25">
        <v>16.899999999999999</v>
      </c>
      <c r="C25">
        <v>26.2</v>
      </c>
      <c r="D25">
        <v>15.5</v>
      </c>
      <c r="I25" t="s">
        <v>932</v>
      </c>
      <c r="J25" s="4" t="s">
        <v>933</v>
      </c>
    </row>
    <row r="26" spans="1:14" x14ac:dyDescent="0.3">
      <c r="A26">
        <v>62.3</v>
      </c>
      <c r="B26">
        <v>12.6</v>
      </c>
      <c r="C26">
        <v>18.3</v>
      </c>
      <c r="D26">
        <v>9.6999999999999993</v>
      </c>
      <c r="F26" t="s">
        <v>926</v>
      </c>
      <c r="J26" t="s">
        <v>934</v>
      </c>
    </row>
    <row r="27" spans="1:14" ht="15" thickBot="1" x14ac:dyDescent="0.35">
      <c r="A27">
        <v>262.89999999999998</v>
      </c>
      <c r="B27">
        <v>3.5</v>
      </c>
      <c r="C27">
        <v>19.5</v>
      </c>
      <c r="D27">
        <v>12</v>
      </c>
    </row>
    <row r="28" spans="1:14" x14ac:dyDescent="0.3">
      <c r="A28">
        <v>142.9</v>
      </c>
      <c r="B28">
        <v>29.3</v>
      </c>
      <c r="C28">
        <v>12.6</v>
      </c>
      <c r="D28">
        <v>15</v>
      </c>
      <c r="F28" s="2" t="s">
        <v>927</v>
      </c>
      <c r="G28" s="2" t="s">
        <v>928</v>
      </c>
      <c r="H28" s="2" t="s">
        <v>929</v>
      </c>
    </row>
    <row r="29" spans="1:14" x14ac:dyDescent="0.3">
      <c r="A29">
        <v>240.1</v>
      </c>
      <c r="B29">
        <v>16.7</v>
      </c>
      <c r="C29">
        <v>22.9</v>
      </c>
      <c r="D29">
        <v>15.9</v>
      </c>
      <c r="F29">
        <v>1</v>
      </c>
      <c r="G29">
        <v>20.523974409715162</v>
      </c>
      <c r="H29">
        <v>1.5760255902848392</v>
      </c>
    </row>
    <row r="30" spans="1:14" x14ac:dyDescent="0.3">
      <c r="A30">
        <v>248.8</v>
      </c>
      <c r="B30">
        <v>27.1</v>
      </c>
      <c r="C30">
        <v>22.9</v>
      </c>
      <c r="D30">
        <v>18.899999999999999</v>
      </c>
      <c r="F30">
        <v>2</v>
      </c>
      <c r="G30">
        <v>12.337854820894361</v>
      </c>
      <c r="H30">
        <v>-1.9378548208943602</v>
      </c>
    </row>
    <row r="31" spans="1:14" x14ac:dyDescent="0.3">
      <c r="A31">
        <v>70.599999999999994</v>
      </c>
      <c r="B31">
        <v>16</v>
      </c>
      <c r="C31">
        <v>40.799999999999997</v>
      </c>
      <c r="D31">
        <v>10.5</v>
      </c>
      <c r="F31">
        <v>3</v>
      </c>
      <c r="G31">
        <v>12.307670779994229</v>
      </c>
      <c r="H31">
        <v>-3.0076707799942284</v>
      </c>
    </row>
    <row r="32" spans="1:14" x14ac:dyDescent="0.3">
      <c r="A32">
        <v>292.89999999999998</v>
      </c>
      <c r="B32">
        <v>28.3</v>
      </c>
      <c r="C32">
        <v>43.2</v>
      </c>
      <c r="D32">
        <v>21.4</v>
      </c>
      <c r="F32">
        <v>4</v>
      </c>
      <c r="G32">
        <v>17.597829511689124</v>
      </c>
      <c r="H32">
        <v>0.9021704883108761</v>
      </c>
    </row>
    <row r="33" spans="1:11" x14ac:dyDescent="0.3">
      <c r="A33">
        <v>112.9</v>
      </c>
      <c r="B33">
        <v>17.399999999999999</v>
      </c>
      <c r="C33">
        <v>38.6</v>
      </c>
      <c r="D33">
        <v>11.9</v>
      </c>
      <c r="F33">
        <v>5</v>
      </c>
      <c r="G33">
        <v>13.18867185683129</v>
      </c>
      <c r="H33">
        <v>-0.28867185683128938</v>
      </c>
    </row>
    <row r="34" spans="1:11" x14ac:dyDescent="0.3">
      <c r="A34">
        <v>97.2</v>
      </c>
      <c r="B34">
        <v>1.5</v>
      </c>
      <c r="C34">
        <v>30</v>
      </c>
      <c r="D34">
        <v>9.6</v>
      </c>
      <c r="F34">
        <v>6</v>
      </c>
      <c r="G34">
        <v>12.478347634035847</v>
      </c>
      <c r="H34">
        <v>-5.2783476340358471</v>
      </c>
    </row>
    <row r="35" spans="1:11" x14ac:dyDescent="0.3">
      <c r="A35">
        <v>265.60000000000002</v>
      </c>
      <c r="B35">
        <v>20</v>
      </c>
      <c r="C35">
        <v>0.3</v>
      </c>
      <c r="D35">
        <v>17.399999999999999</v>
      </c>
      <c r="F35">
        <v>7</v>
      </c>
      <c r="G35">
        <v>11.729759951563686</v>
      </c>
      <c r="H35">
        <v>7.0240048436314595E-2</v>
      </c>
    </row>
    <row r="36" spans="1:11" x14ac:dyDescent="0.3">
      <c r="A36">
        <v>95.7</v>
      </c>
      <c r="B36">
        <v>1.4</v>
      </c>
      <c r="C36">
        <v>7.4</v>
      </c>
      <c r="D36">
        <v>9.5</v>
      </c>
      <c r="F36">
        <v>8</v>
      </c>
      <c r="G36">
        <v>12.122953165502285</v>
      </c>
      <c r="H36">
        <v>1.0770468344977147</v>
      </c>
    </row>
    <row r="37" spans="1:11" x14ac:dyDescent="0.3">
      <c r="A37">
        <v>290.7</v>
      </c>
      <c r="B37">
        <v>4.0999999999999996</v>
      </c>
      <c r="C37">
        <v>8.5</v>
      </c>
      <c r="D37">
        <v>12.8</v>
      </c>
      <c r="F37">
        <v>9</v>
      </c>
      <c r="G37">
        <v>3.7273408628615892</v>
      </c>
      <c r="H37">
        <v>1.0726591371384107</v>
      </c>
      <c r="K37" s="5" t="s">
        <v>936</v>
      </c>
    </row>
    <row r="38" spans="1:11" x14ac:dyDescent="0.3">
      <c r="A38">
        <v>266.89999999999998</v>
      </c>
      <c r="B38">
        <v>43.8</v>
      </c>
      <c r="C38">
        <v>5</v>
      </c>
      <c r="D38">
        <v>25.4</v>
      </c>
      <c r="F38">
        <v>10</v>
      </c>
      <c r="G38">
        <v>12.550848722934685</v>
      </c>
      <c r="H38">
        <v>-1.9508487229346851</v>
      </c>
      <c r="K38" t="s">
        <v>938</v>
      </c>
    </row>
    <row r="39" spans="1:11" x14ac:dyDescent="0.3">
      <c r="A39">
        <v>74.7</v>
      </c>
      <c r="B39">
        <v>49.4</v>
      </c>
      <c r="C39">
        <v>45.7</v>
      </c>
      <c r="D39">
        <v>14.7</v>
      </c>
      <c r="F39">
        <v>11</v>
      </c>
      <c r="G39">
        <v>7.0322992005588549</v>
      </c>
      <c r="H39">
        <v>1.5677007994411447</v>
      </c>
    </row>
    <row r="40" spans="1:11" x14ac:dyDescent="0.3">
      <c r="A40">
        <v>43.1</v>
      </c>
      <c r="B40">
        <v>26.7</v>
      </c>
      <c r="C40">
        <v>35.1</v>
      </c>
      <c r="D40">
        <v>10.1</v>
      </c>
      <c r="F40">
        <v>12</v>
      </c>
      <c r="G40">
        <v>17.285129182600272</v>
      </c>
      <c r="H40">
        <v>0.11487081739972638</v>
      </c>
    </row>
    <row r="41" spans="1:11" x14ac:dyDescent="0.3">
      <c r="A41">
        <v>228</v>
      </c>
      <c r="B41">
        <v>37.700000000000003</v>
      </c>
      <c r="C41">
        <v>32</v>
      </c>
      <c r="D41">
        <v>21.5</v>
      </c>
      <c r="F41">
        <v>13</v>
      </c>
      <c r="G41">
        <v>10.577120733627664</v>
      </c>
      <c r="H41">
        <v>-1.377120733627665</v>
      </c>
    </row>
    <row r="42" spans="1:11" x14ac:dyDescent="0.3">
      <c r="A42">
        <v>202.5</v>
      </c>
      <c r="B42">
        <v>22.3</v>
      </c>
      <c r="C42">
        <v>31.6</v>
      </c>
      <c r="D42">
        <v>16.600000000000001</v>
      </c>
      <c r="F42">
        <v>14</v>
      </c>
      <c r="G42">
        <v>8.8263004800332023</v>
      </c>
      <c r="H42">
        <v>0.87369951996679696</v>
      </c>
    </row>
    <row r="43" spans="1:11" x14ac:dyDescent="0.3">
      <c r="A43">
        <v>177</v>
      </c>
      <c r="B43">
        <v>33.4</v>
      </c>
      <c r="C43">
        <v>38.700000000000003</v>
      </c>
      <c r="D43">
        <v>17.100000000000001</v>
      </c>
      <c r="F43">
        <v>15</v>
      </c>
      <c r="G43">
        <v>18.43436638356107</v>
      </c>
      <c r="H43">
        <v>0.56563361643893018</v>
      </c>
    </row>
    <row r="44" spans="1:11" x14ac:dyDescent="0.3">
      <c r="A44">
        <v>293.60000000000002</v>
      </c>
      <c r="B44">
        <v>27.7</v>
      </c>
      <c r="C44">
        <v>1.8</v>
      </c>
      <c r="D44">
        <v>20.7</v>
      </c>
      <c r="F44">
        <v>16</v>
      </c>
      <c r="G44">
        <v>20.819299516495455</v>
      </c>
      <c r="H44">
        <v>1.5807004835045433</v>
      </c>
    </row>
    <row r="45" spans="1:11" x14ac:dyDescent="0.3">
      <c r="A45">
        <v>206.9</v>
      </c>
      <c r="B45">
        <v>8.4</v>
      </c>
      <c r="C45">
        <v>26.4</v>
      </c>
      <c r="D45">
        <v>12.9</v>
      </c>
      <c r="F45">
        <v>17</v>
      </c>
      <c r="G45">
        <v>12.823656743699356</v>
      </c>
      <c r="H45">
        <v>-0.32365674369935604</v>
      </c>
    </row>
    <row r="46" spans="1:11" x14ac:dyDescent="0.3">
      <c r="A46">
        <v>25.1</v>
      </c>
      <c r="B46">
        <v>25.7</v>
      </c>
      <c r="C46">
        <v>43.3</v>
      </c>
      <c r="D46">
        <v>8.5</v>
      </c>
      <c r="F46">
        <v>18</v>
      </c>
      <c r="G46">
        <v>23.224957158799004</v>
      </c>
      <c r="H46">
        <v>1.1750428412009946</v>
      </c>
    </row>
    <row r="47" spans="1:11" x14ac:dyDescent="0.3">
      <c r="A47">
        <v>175.1</v>
      </c>
      <c r="B47">
        <v>22.5</v>
      </c>
      <c r="C47">
        <v>31.5</v>
      </c>
      <c r="D47">
        <v>14.9</v>
      </c>
      <c r="F47">
        <v>19</v>
      </c>
      <c r="G47">
        <v>9.9516820591188022</v>
      </c>
      <c r="H47">
        <v>1.3483179408811985</v>
      </c>
    </row>
    <row r="48" spans="1:11" x14ac:dyDescent="0.3">
      <c r="A48">
        <v>89.7</v>
      </c>
      <c r="B48">
        <v>9.9</v>
      </c>
      <c r="C48">
        <v>35.700000000000003</v>
      </c>
      <c r="D48">
        <v>10.6</v>
      </c>
      <c r="F48">
        <v>20</v>
      </c>
      <c r="G48">
        <v>14.166072932273263</v>
      </c>
      <c r="H48">
        <v>0.43392706772673684</v>
      </c>
    </row>
    <row r="49" spans="1:8" x14ac:dyDescent="0.3">
      <c r="A49">
        <v>239.9</v>
      </c>
      <c r="B49">
        <v>41.5</v>
      </c>
      <c r="C49">
        <v>18.5</v>
      </c>
      <c r="D49">
        <v>23.2</v>
      </c>
      <c r="F49">
        <v>21</v>
      </c>
      <c r="G49">
        <v>18.100767277084273</v>
      </c>
      <c r="H49">
        <v>-0.10076727708427313</v>
      </c>
    </row>
    <row r="50" spans="1:8" x14ac:dyDescent="0.3">
      <c r="A50">
        <v>227.2</v>
      </c>
      <c r="B50">
        <v>15.8</v>
      </c>
      <c r="C50">
        <v>49.9</v>
      </c>
      <c r="D50">
        <v>14.8</v>
      </c>
      <c r="F50">
        <v>22</v>
      </c>
      <c r="G50">
        <v>14.740538200355449</v>
      </c>
      <c r="H50">
        <v>-2.2405382003554486</v>
      </c>
    </row>
    <row r="51" spans="1:8" x14ac:dyDescent="0.3">
      <c r="A51">
        <v>66.900000000000006</v>
      </c>
      <c r="B51">
        <v>11.7</v>
      </c>
      <c r="C51">
        <v>36.799999999999997</v>
      </c>
      <c r="D51">
        <v>9.6999999999999993</v>
      </c>
      <c r="F51">
        <v>23</v>
      </c>
      <c r="G51">
        <v>6.4891503035632914</v>
      </c>
      <c r="H51">
        <v>-0.88915030356329172</v>
      </c>
    </row>
    <row r="52" spans="1:8" x14ac:dyDescent="0.3">
      <c r="A52">
        <v>199.8</v>
      </c>
      <c r="B52">
        <v>3.1</v>
      </c>
      <c r="C52">
        <v>34.6</v>
      </c>
      <c r="D52">
        <v>11.4</v>
      </c>
      <c r="F52">
        <v>24</v>
      </c>
      <c r="G52">
        <v>16.545932895131454</v>
      </c>
      <c r="H52">
        <v>-1.0459328951314539</v>
      </c>
    </row>
    <row r="53" spans="1:8" x14ac:dyDescent="0.3">
      <c r="A53">
        <v>100.4</v>
      </c>
      <c r="B53">
        <v>9.6</v>
      </c>
      <c r="C53">
        <v>3.6</v>
      </c>
      <c r="D53">
        <v>10.7</v>
      </c>
      <c r="F53">
        <v>25</v>
      </c>
      <c r="G53">
        <v>8.1465188718227441</v>
      </c>
      <c r="H53">
        <v>1.5534811281772551</v>
      </c>
    </row>
    <row r="54" spans="1:8" x14ac:dyDescent="0.3">
      <c r="A54">
        <v>216.4</v>
      </c>
      <c r="B54">
        <v>41.7</v>
      </c>
      <c r="C54">
        <v>39.6</v>
      </c>
      <c r="D54">
        <v>22.6</v>
      </c>
      <c r="F54">
        <v>26</v>
      </c>
      <c r="G54">
        <v>15.610038604568864</v>
      </c>
      <c r="H54">
        <v>-3.6100386045688637</v>
      </c>
    </row>
    <row r="55" spans="1:8" x14ac:dyDescent="0.3">
      <c r="A55">
        <v>182.6</v>
      </c>
      <c r="B55">
        <v>46.2</v>
      </c>
      <c r="C55">
        <v>58.7</v>
      </c>
      <c r="D55">
        <v>21.2</v>
      </c>
      <c r="F55">
        <v>27</v>
      </c>
      <c r="G55">
        <v>14.989514288403914</v>
      </c>
      <c r="H55">
        <v>1.0485711596086134E-2</v>
      </c>
    </row>
    <row r="56" spans="1:8" x14ac:dyDescent="0.3">
      <c r="A56">
        <v>262.7</v>
      </c>
      <c r="B56">
        <v>28.8</v>
      </c>
      <c r="C56">
        <v>15.9</v>
      </c>
      <c r="D56">
        <v>20.2</v>
      </c>
      <c r="F56">
        <v>28</v>
      </c>
      <c r="G56">
        <v>17.051673435161675</v>
      </c>
      <c r="H56">
        <v>-1.1516734351616744</v>
      </c>
    </row>
    <row r="57" spans="1:8" x14ac:dyDescent="0.3">
      <c r="A57">
        <v>198.9</v>
      </c>
      <c r="B57">
        <v>49.4</v>
      </c>
      <c r="C57">
        <v>60</v>
      </c>
      <c r="D57">
        <v>23.7</v>
      </c>
      <c r="F57">
        <v>29</v>
      </c>
      <c r="G57">
        <v>19.410538026572961</v>
      </c>
      <c r="H57">
        <v>-0.51053802657296288</v>
      </c>
    </row>
    <row r="58" spans="1:8" x14ac:dyDescent="0.3">
      <c r="A58">
        <v>7.3</v>
      </c>
      <c r="B58">
        <v>28.1</v>
      </c>
      <c r="C58">
        <v>41.4</v>
      </c>
      <c r="D58">
        <v>5.5</v>
      </c>
      <c r="F58">
        <v>30</v>
      </c>
      <c r="G58">
        <v>9.1440238931687237</v>
      </c>
      <c r="H58">
        <v>1.3559761068312763</v>
      </c>
    </row>
    <row r="59" spans="1:8" x14ac:dyDescent="0.3">
      <c r="A59">
        <v>136.19999999999999</v>
      </c>
      <c r="B59">
        <v>19.2</v>
      </c>
      <c r="C59">
        <v>16.600000000000001</v>
      </c>
      <c r="D59">
        <v>13.2</v>
      </c>
      <c r="F59">
        <v>31</v>
      </c>
      <c r="G59">
        <v>21.633933802695569</v>
      </c>
      <c r="H59">
        <v>-0.23393380269557085</v>
      </c>
    </row>
    <row r="60" spans="1:8" x14ac:dyDescent="0.3">
      <c r="A60">
        <v>210.8</v>
      </c>
      <c r="B60">
        <v>49.6</v>
      </c>
      <c r="C60">
        <v>37.700000000000003</v>
      </c>
      <c r="D60">
        <v>23.8</v>
      </c>
      <c r="F60">
        <v>32</v>
      </c>
      <c r="G60">
        <v>11.346092904310975</v>
      </c>
      <c r="H60">
        <v>0.5539070956890253</v>
      </c>
    </row>
    <row r="61" spans="1:8" x14ac:dyDescent="0.3">
      <c r="A61">
        <v>210.7</v>
      </c>
      <c r="B61">
        <v>29.5</v>
      </c>
      <c r="C61">
        <v>9.3000000000000007</v>
      </c>
      <c r="D61">
        <v>18.399999999999999</v>
      </c>
      <c r="F61">
        <v>33</v>
      </c>
      <c r="G61">
        <v>7.6388831418270788</v>
      </c>
      <c r="H61">
        <v>1.9611168581729208</v>
      </c>
    </row>
    <row r="62" spans="1:8" x14ac:dyDescent="0.3">
      <c r="A62">
        <v>53.5</v>
      </c>
      <c r="B62">
        <v>2</v>
      </c>
      <c r="C62">
        <v>21.4</v>
      </c>
      <c r="D62">
        <v>8.1</v>
      </c>
      <c r="F62">
        <v>34</v>
      </c>
      <c r="G62">
        <v>18.864268292864352</v>
      </c>
      <c r="H62">
        <v>-1.4642682928643538</v>
      </c>
    </row>
    <row r="63" spans="1:8" x14ac:dyDescent="0.3">
      <c r="A63">
        <v>261.3</v>
      </c>
      <c r="B63">
        <v>42.7</v>
      </c>
      <c r="C63">
        <v>54.7</v>
      </c>
      <c r="D63">
        <v>24.2</v>
      </c>
      <c r="F63">
        <v>35</v>
      </c>
      <c r="G63">
        <v>7.5748305147121249</v>
      </c>
      <c r="H63">
        <v>1.9251694852878751</v>
      </c>
    </row>
    <row r="64" spans="1:8" x14ac:dyDescent="0.3">
      <c r="A64">
        <v>239.3</v>
      </c>
      <c r="B64">
        <v>15.5</v>
      </c>
      <c r="C64">
        <v>27.3</v>
      </c>
      <c r="D64">
        <v>15.7</v>
      </c>
      <c r="F64">
        <v>36</v>
      </c>
      <c r="G64">
        <v>17.006826181847078</v>
      </c>
      <c r="H64">
        <v>-4.2068261818470774</v>
      </c>
    </row>
    <row r="65" spans="1:8" x14ac:dyDescent="0.3">
      <c r="A65">
        <v>102.7</v>
      </c>
      <c r="B65">
        <v>29.6</v>
      </c>
      <c r="C65">
        <v>8.4</v>
      </c>
      <c r="D65">
        <v>14</v>
      </c>
      <c r="F65">
        <v>37</v>
      </c>
      <c r="G65">
        <v>23.405900517309995</v>
      </c>
      <c r="H65">
        <v>1.9940994826900038</v>
      </c>
    </row>
    <row r="66" spans="1:8" x14ac:dyDescent="0.3">
      <c r="A66">
        <v>131.1</v>
      </c>
      <c r="B66">
        <v>42.8</v>
      </c>
      <c r="C66">
        <v>28.9</v>
      </c>
      <c r="D66">
        <v>18</v>
      </c>
      <c r="F66">
        <v>38</v>
      </c>
      <c r="G66">
        <v>15.623477788695743</v>
      </c>
      <c r="H66">
        <v>-0.92347778869574348</v>
      </c>
    </row>
    <row r="67" spans="1:8" x14ac:dyDescent="0.3">
      <c r="A67">
        <v>69</v>
      </c>
      <c r="B67">
        <v>9.3000000000000007</v>
      </c>
      <c r="C67">
        <v>0.9</v>
      </c>
      <c r="D67">
        <v>9.3000000000000007</v>
      </c>
      <c r="F67">
        <v>39</v>
      </c>
      <c r="G67">
        <v>9.9086810345121901</v>
      </c>
      <c r="H67">
        <v>0.19131896548780958</v>
      </c>
    </row>
    <row r="68" spans="1:8" x14ac:dyDescent="0.3">
      <c r="A68">
        <v>31.5</v>
      </c>
      <c r="B68">
        <v>24.6</v>
      </c>
      <c r="C68">
        <v>2.2000000000000002</v>
      </c>
      <c r="D68">
        <v>9.5</v>
      </c>
      <c r="F68">
        <v>40</v>
      </c>
      <c r="G68">
        <v>20.447610393747123</v>
      </c>
      <c r="H68">
        <v>1.052389606252877</v>
      </c>
    </row>
    <row r="69" spans="1:8" x14ac:dyDescent="0.3">
      <c r="A69">
        <v>139.30000000000001</v>
      </c>
      <c r="B69">
        <v>14.5</v>
      </c>
      <c r="C69">
        <v>10.199999999999999</v>
      </c>
      <c r="D69">
        <v>13.4</v>
      </c>
      <c r="F69">
        <v>41</v>
      </c>
      <c r="G69">
        <v>16.37766467131113</v>
      </c>
      <c r="H69">
        <v>0.22233532868887096</v>
      </c>
    </row>
    <row r="70" spans="1:8" x14ac:dyDescent="0.3">
      <c r="A70">
        <v>237.4</v>
      </c>
      <c r="B70">
        <v>27.5</v>
      </c>
      <c r="C70">
        <v>11</v>
      </c>
      <c r="D70">
        <v>18.899999999999999</v>
      </c>
      <c r="F70">
        <v>42</v>
      </c>
      <c r="G70">
        <v>17.295983199388978</v>
      </c>
      <c r="H70">
        <v>-0.19598319938897646</v>
      </c>
    </row>
    <row r="71" spans="1:8" x14ac:dyDescent="0.3">
      <c r="A71">
        <v>216.8</v>
      </c>
      <c r="B71">
        <v>43.9</v>
      </c>
      <c r="C71">
        <v>27.2</v>
      </c>
      <c r="D71">
        <v>22.3</v>
      </c>
      <c r="F71">
        <v>43</v>
      </c>
      <c r="G71">
        <v>21.595803256321947</v>
      </c>
      <c r="H71">
        <v>-0.89580325632194757</v>
      </c>
    </row>
    <row r="72" spans="1:8" x14ac:dyDescent="0.3">
      <c r="A72">
        <v>199.1</v>
      </c>
      <c r="B72">
        <v>30.6</v>
      </c>
      <c r="C72">
        <v>38.700000000000003</v>
      </c>
      <c r="D72">
        <v>18.3</v>
      </c>
      <c r="F72">
        <v>44</v>
      </c>
      <c r="G72">
        <v>13.963856839972715</v>
      </c>
      <c r="H72">
        <v>-1.0638568399727149</v>
      </c>
    </row>
    <row r="73" spans="1:8" x14ac:dyDescent="0.3">
      <c r="A73">
        <v>109.8</v>
      </c>
      <c r="B73">
        <v>14.3</v>
      </c>
      <c r="C73">
        <v>31.7</v>
      </c>
      <c r="D73">
        <v>12.4</v>
      </c>
      <c r="F73">
        <v>45</v>
      </c>
      <c r="G73">
        <v>8.8878799564485256</v>
      </c>
      <c r="H73">
        <v>-0.38787995644852558</v>
      </c>
    </row>
    <row r="74" spans="1:8" x14ac:dyDescent="0.3">
      <c r="A74">
        <v>26.8</v>
      </c>
      <c r="B74">
        <v>33</v>
      </c>
      <c r="C74">
        <v>19.3</v>
      </c>
      <c r="D74">
        <v>8.8000000000000007</v>
      </c>
      <c r="F74">
        <v>46</v>
      </c>
      <c r="G74">
        <v>15.161523138521126</v>
      </c>
      <c r="H74">
        <v>-0.26152313852112563</v>
      </c>
    </row>
    <row r="75" spans="1:8" x14ac:dyDescent="0.3">
      <c r="A75">
        <v>129.4</v>
      </c>
      <c r="B75">
        <v>5.7</v>
      </c>
      <c r="C75">
        <v>31.3</v>
      </c>
      <c r="D75">
        <v>11</v>
      </c>
      <c r="F75">
        <v>47</v>
      </c>
      <c r="G75">
        <v>8.8733867326823983</v>
      </c>
      <c r="H75">
        <v>1.7266132673176013</v>
      </c>
    </row>
    <row r="76" spans="1:8" x14ac:dyDescent="0.3">
      <c r="A76">
        <v>213.4</v>
      </c>
      <c r="B76">
        <v>24.6</v>
      </c>
      <c r="C76">
        <v>13.1</v>
      </c>
      <c r="D76">
        <v>17</v>
      </c>
      <c r="F76">
        <v>48</v>
      </c>
      <c r="G76">
        <v>21.722629895028959</v>
      </c>
      <c r="H76">
        <v>1.4773701049710404</v>
      </c>
    </row>
    <row r="77" spans="1:8" x14ac:dyDescent="0.3">
      <c r="A77">
        <v>16.899999999999999</v>
      </c>
      <c r="B77">
        <v>43.7</v>
      </c>
      <c r="C77">
        <v>89.4</v>
      </c>
      <c r="D77">
        <v>8.6999999999999993</v>
      </c>
      <c r="F77">
        <v>49</v>
      </c>
      <c r="G77">
        <v>16.263620181413803</v>
      </c>
      <c r="H77">
        <v>-1.4636201814138019</v>
      </c>
    </row>
    <row r="78" spans="1:8" x14ac:dyDescent="0.3">
      <c r="A78">
        <v>27.5</v>
      </c>
      <c r="B78">
        <v>1.6</v>
      </c>
      <c r="C78">
        <v>20.7</v>
      </c>
      <c r="D78">
        <v>6.9</v>
      </c>
      <c r="F78">
        <v>50</v>
      </c>
      <c r="G78">
        <v>8.1681656044053774</v>
      </c>
      <c r="H78">
        <v>1.5318343955946219</v>
      </c>
    </row>
    <row r="79" spans="1:8" x14ac:dyDescent="0.3">
      <c r="A79">
        <v>120.5</v>
      </c>
      <c r="B79">
        <v>28.5</v>
      </c>
      <c r="C79">
        <v>14.2</v>
      </c>
      <c r="D79">
        <v>14.2</v>
      </c>
      <c r="F79">
        <v>51</v>
      </c>
      <c r="G79">
        <v>12.631211324624605</v>
      </c>
      <c r="H79">
        <v>-1.2312113246246046</v>
      </c>
    </row>
    <row r="80" spans="1:8" x14ac:dyDescent="0.3">
      <c r="A80">
        <v>5.4</v>
      </c>
      <c r="B80">
        <v>29.9</v>
      </c>
      <c r="C80">
        <v>9.4</v>
      </c>
      <c r="D80">
        <v>5.3</v>
      </c>
      <c r="F80">
        <v>52</v>
      </c>
      <c r="G80">
        <v>9.3398129606431795</v>
      </c>
      <c r="H80">
        <v>1.3601870393568198</v>
      </c>
    </row>
    <row r="81" spans="1:8" x14ac:dyDescent="0.3">
      <c r="A81">
        <v>116</v>
      </c>
      <c r="B81">
        <v>7.7</v>
      </c>
      <c r="C81">
        <v>23.1</v>
      </c>
      <c r="D81">
        <v>11</v>
      </c>
      <c r="F81">
        <v>53</v>
      </c>
      <c r="G81">
        <v>20.662975627014507</v>
      </c>
      <c r="H81">
        <v>1.9370243729854941</v>
      </c>
    </row>
    <row r="82" spans="1:8" x14ac:dyDescent="0.3">
      <c r="A82">
        <v>76.400000000000006</v>
      </c>
      <c r="B82">
        <v>26.7</v>
      </c>
      <c r="C82">
        <v>22.3</v>
      </c>
      <c r="D82">
        <v>11.8</v>
      </c>
      <c r="F82">
        <v>54</v>
      </c>
      <c r="G82">
        <v>19.944699569642697</v>
      </c>
      <c r="H82">
        <v>1.2553004303573019</v>
      </c>
    </row>
    <row r="83" spans="1:8" x14ac:dyDescent="0.3">
      <c r="A83">
        <v>239.8</v>
      </c>
      <c r="B83">
        <v>4.0999999999999996</v>
      </c>
      <c r="C83">
        <v>36.9</v>
      </c>
      <c r="D83">
        <v>12.3</v>
      </c>
      <c r="F83">
        <v>55</v>
      </c>
      <c r="G83">
        <v>20.374430078461266</v>
      </c>
      <c r="H83">
        <v>-0.1744300784612669</v>
      </c>
    </row>
    <row r="84" spans="1:8" x14ac:dyDescent="0.3">
      <c r="A84">
        <v>75.3</v>
      </c>
      <c r="B84">
        <v>20.3</v>
      </c>
      <c r="C84">
        <v>32.5</v>
      </c>
      <c r="D84">
        <v>11.3</v>
      </c>
      <c r="F84">
        <v>56</v>
      </c>
      <c r="G84">
        <v>21.292610603748713</v>
      </c>
      <c r="H84">
        <v>2.4073893962512862</v>
      </c>
    </row>
    <row r="85" spans="1:8" x14ac:dyDescent="0.3">
      <c r="A85">
        <v>68.400000000000006</v>
      </c>
      <c r="B85">
        <v>44.5</v>
      </c>
      <c r="C85">
        <v>35.6</v>
      </c>
      <c r="D85">
        <v>13.6</v>
      </c>
      <c r="F85">
        <v>57</v>
      </c>
      <c r="G85">
        <v>8.5277125447268425</v>
      </c>
      <c r="H85">
        <v>-3.0277125447268425</v>
      </c>
    </row>
    <row r="86" spans="1:8" x14ac:dyDescent="0.3">
      <c r="A86">
        <v>213.5</v>
      </c>
      <c r="B86">
        <v>43</v>
      </c>
      <c r="C86">
        <v>33.799999999999997</v>
      </c>
      <c r="D86">
        <v>21.7</v>
      </c>
      <c r="F86">
        <v>58</v>
      </c>
      <c r="G86">
        <v>12.774588020808983</v>
      </c>
      <c r="H86">
        <v>0.4254119791910167</v>
      </c>
    </row>
    <row r="87" spans="1:8" x14ac:dyDescent="0.3">
      <c r="A87">
        <v>193.2</v>
      </c>
      <c r="B87">
        <v>18.399999999999999</v>
      </c>
      <c r="C87">
        <v>65.7</v>
      </c>
      <c r="D87">
        <v>15.2</v>
      </c>
      <c r="F87">
        <v>59</v>
      </c>
      <c r="G87">
        <v>21.898051982898803</v>
      </c>
      <c r="H87">
        <v>1.9019480171011978</v>
      </c>
    </row>
    <row r="88" spans="1:8" x14ac:dyDescent="0.3">
      <c r="A88">
        <v>76.3</v>
      </c>
      <c r="B88">
        <v>27.5</v>
      </c>
      <c r="C88">
        <v>16</v>
      </c>
      <c r="D88">
        <v>12</v>
      </c>
      <c r="F88">
        <v>60</v>
      </c>
      <c r="G88">
        <v>18.13348698070368</v>
      </c>
      <c r="H88">
        <v>0.26651301929631899</v>
      </c>
    </row>
    <row r="89" spans="1:8" x14ac:dyDescent="0.3">
      <c r="A89">
        <v>110.7</v>
      </c>
      <c r="B89">
        <v>40.6</v>
      </c>
      <c r="C89">
        <v>63.2</v>
      </c>
      <c r="D89">
        <v>16</v>
      </c>
      <c r="F89">
        <v>61</v>
      </c>
      <c r="G89">
        <v>5.7421555840506038</v>
      </c>
      <c r="H89">
        <v>2.3578444159493959</v>
      </c>
    </row>
    <row r="90" spans="1:8" x14ac:dyDescent="0.3">
      <c r="A90">
        <v>88.3</v>
      </c>
      <c r="B90">
        <v>25.5</v>
      </c>
      <c r="C90">
        <v>73.400000000000006</v>
      </c>
      <c r="D90">
        <v>12.9</v>
      </c>
      <c r="F90">
        <v>62</v>
      </c>
      <c r="G90">
        <v>22.890672079938675</v>
      </c>
      <c r="H90">
        <v>1.3093279200613246</v>
      </c>
    </row>
    <row r="91" spans="1:8" x14ac:dyDescent="0.3">
      <c r="A91">
        <v>109.8</v>
      </c>
      <c r="B91">
        <v>47.8</v>
      </c>
      <c r="C91">
        <v>51.4</v>
      </c>
      <c r="D91">
        <v>16.7</v>
      </c>
      <c r="F91">
        <v>63</v>
      </c>
      <c r="G91">
        <v>16.78426072910862</v>
      </c>
      <c r="H91">
        <v>-1.084260729108621</v>
      </c>
    </row>
    <row r="92" spans="1:8" x14ac:dyDescent="0.3">
      <c r="A92">
        <v>134.30000000000001</v>
      </c>
      <c r="B92">
        <v>4.9000000000000004</v>
      </c>
      <c r="C92">
        <v>9.3000000000000007</v>
      </c>
      <c r="D92">
        <v>11.2</v>
      </c>
      <c r="F92">
        <v>64</v>
      </c>
      <c r="G92">
        <v>13.210692016950794</v>
      </c>
      <c r="H92">
        <v>0.78930798304920557</v>
      </c>
    </row>
    <row r="93" spans="1:8" x14ac:dyDescent="0.3">
      <c r="A93">
        <v>28.6</v>
      </c>
      <c r="B93">
        <v>1.5</v>
      </c>
      <c r="C93">
        <v>33</v>
      </c>
      <c r="D93">
        <v>7.3</v>
      </c>
      <c r="F93">
        <v>65</v>
      </c>
      <c r="G93">
        <v>16.977735563833615</v>
      </c>
      <c r="H93">
        <v>1.0222644361663846</v>
      </c>
    </row>
    <row r="94" spans="1:8" x14ac:dyDescent="0.3">
      <c r="A94">
        <v>217.7</v>
      </c>
      <c r="B94">
        <v>33.5</v>
      </c>
      <c r="C94">
        <v>59</v>
      </c>
      <c r="D94">
        <v>19.399999999999999</v>
      </c>
      <c r="F94">
        <v>66</v>
      </c>
      <c r="G94">
        <v>7.8490453194829195</v>
      </c>
      <c r="H94">
        <v>1.4509546805170812</v>
      </c>
    </row>
    <row r="95" spans="1:8" x14ac:dyDescent="0.3">
      <c r="A95">
        <v>250.9</v>
      </c>
      <c r="B95">
        <v>36.5</v>
      </c>
      <c r="C95">
        <v>72.3</v>
      </c>
      <c r="D95">
        <v>22.2</v>
      </c>
      <c r="F95">
        <v>67</v>
      </c>
      <c r="G95">
        <v>9.0160316327988195</v>
      </c>
      <c r="H95">
        <v>0.48396836720118053</v>
      </c>
    </row>
    <row r="96" spans="1:8" x14ac:dyDescent="0.3">
      <c r="A96">
        <v>107.4</v>
      </c>
      <c r="B96">
        <v>14</v>
      </c>
      <c r="C96">
        <v>10.9</v>
      </c>
      <c r="D96">
        <v>11.5</v>
      </c>
      <c r="F96">
        <v>68</v>
      </c>
      <c r="G96">
        <v>12.037007297677002</v>
      </c>
      <c r="H96">
        <v>1.3629927023229982</v>
      </c>
    </row>
    <row r="97" spans="1:8" x14ac:dyDescent="0.3">
      <c r="A97">
        <v>163.30000000000001</v>
      </c>
      <c r="B97">
        <v>31.6</v>
      </c>
      <c r="C97">
        <v>52.9</v>
      </c>
      <c r="D97">
        <v>16.899999999999999</v>
      </c>
      <c r="F97">
        <v>69</v>
      </c>
      <c r="G97">
        <v>18.976579242354177</v>
      </c>
      <c r="H97">
        <v>-7.6579242354178234E-2</v>
      </c>
    </row>
    <row r="98" spans="1:8" x14ac:dyDescent="0.3">
      <c r="A98">
        <v>197.6</v>
      </c>
      <c r="B98">
        <v>3.5</v>
      </c>
      <c r="C98">
        <v>5.9</v>
      </c>
      <c r="D98">
        <v>11.7</v>
      </c>
      <c r="F98">
        <v>70</v>
      </c>
      <c r="G98">
        <v>21.108912436143427</v>
      </c>
      <c r="H98">
        <v>1.1910875638565734</v>
      </c>
    </row>
    <row r="99" spans="1:8" x14ac:dyDescent="0.3">
      <c r="A99">
        <v>184.9</v>
      </c>
      <c r="B99">
        <v>21</v>
      </c>
      <c r="C99">
        <v>22</v>
      </c>
      <c r="D99">
        <v>15.5</v>
      </c>
      <c r="F99">
        <v>71</v>
      </c>
      <c r="G99">
        <v>17.779497816582293</v>
      </c>
      <c r="H99">
        <v>0.52050218341770815</v>
      </c>
    </row>
    <row r="100" spans="1:8" x14ac:dyDescent="0.3">
      <c r="A100">
        <v>289.7</v>
      </c>
      <c r="B100">
        <v>42.3</v>
      </c>
      <c r="C100">
        <v>51.2</v>
      </c>
      <c r="D100">
        <v>25.4</v>
      </c>
      <c r="F100">
        <v>72</v>
      </c>
      <c r="G100">
        <v>10.626938152945893</v>
      </c>
      <c r="H100">
        <v>1.7730618470541071</v>
      </c>
    </row>
    <row r="101" spans="1:8" x14ac:dyDescent="0.3">
      <c r="A101">
        <v>135.19999999999999</v>
      </c>
      <c r="B101">
        <v>41.7</v>
      </c>
      <c r="C101">
        <v>45.9</v>
      </c>
      <c r="D101">
        <v>17.2</v>
      </c>
      <c r="F101">
        <v>73</v>
      </c>
      <c r="G101">
        <v>10.366848810245022</v>
      </c>
      <c r="H101">
        <v>-1.5668488102450215</v>
      </c>
    </row>
    <row r="102" spans="1:8" x14ac:dyDescent="0.3">
      <c r="A102">
        <v>222.4</v>
      </c>
      <c r="B102">
        <v>4.3</v>
      </c>
      <c r="C102">
        <v>49.8</v>
      </c>
      <c r="D102">
        <v>11.7</v>
      </c>
      <c r="F102">
        <v>74</v>
      </c>
      <c r="G102">
        <v>9.9029820555921209</v>
      </c>
      <c r="H102">
        <v>1.0970179444078791</v>
      </c>
    </row>
    <row r="103" spans="1:8" x14ac:dyDescent="0.3">
      <c r="A103">
        <v>296.39999999999998</v>
      </c>
      <c r="B103">
        <v>36.299999999999997</v>
      </c>
      <c r="C103">
        <v>100.9</v>
      </c>
      <c r="D103">
        <v>23.8</v>
      </c>
      <c r="F103">
        <v>75</v>
      </c>
      <c r="G103">
        <v>17.329311966972643</v>
      </c>
      <c r="H103">
        <v>-0.32931196697264298</v>
      </c>
    </row>
    <row r="104" spans="1:8" x14ac:dyDescent="0.3">
      <c r="A104">
        <v>280.2</v>
      </c>
      <c r="B104">
        <v>10.1</v>
      </c>
      <c r="C104">
        <v>21.4</v>
      </c>
      <c r="D104">
        <v>14.8</v>
      </c>
      <c r="F104">
        <v>76</v>
      </c>
      <c r="G104">
        <v>11.858321738983788</v>
      </c>
      <c r="H104">
        <v>-3.1583217389837888</v>
      </c>
    </row>
    <row r="105" spans="1:8" x14ac:dyDescent="0.3">
      <c r="A105">
        <v>187.9</v>
      </c>
      <c r="B105">
        <v>17.2</v>
      </c>
      <c r="C105">
        <v>17.899999999999999</v>
      </c>
      <c r="D105">
        <v>14.7</v>
      </c>
      <c r="F105">
        <v>77</v>
      </c>
      <c r="G105">
        <v>4.4775890405727177</v>
      </c>
      <c r="H105">
        <v>2.4224109594272827</v>
      </c>
    </row>
    <row r="106" spans="1:8" x14ac:dyDescent="0.3">
      <c r="A106">
        <v>238.2</v>
      </c>
      <c r="B106">
        <v>34.299999999999997</v>
      </c>
      <c r="C106">
        <v>5.3</v>
      </c>
      <c r="D106">
        <v>20.7</v>
      </c>
      <c r="F106">
        <v>78</v>
      </c>
      <c r="G106">
        <v>13.811902227800482</v>
      </c>
      <c r="H106">
        <v>0.38809777219951691</v>
      </c>
    </row>
    <row r="107" spans="1:8" x14ac:dyDescent="0.3">
      <c r="A107">
        <v>137.9</v>
      </c>
      <c r="B107">
        <v>46.4</v>
      </c>
      <c r="C107">
        <v>59</v>
      </c>
      <c r="D107">
        <v>19.2</v>
      </c>
      <c r="F107">
        <v>79</v>
      </c>
      <c r="G107">
        <v>8.8133135261735962</v>
      </c>
      <c r="H107">
        <v>-3.5133135261735964</v>
      </c>
    </row>
    <row r="108" spans="1:8" x14ac:dyDescent="0.3">
      <c r="A108">
        <v>25</v>
      </c>
      <c r="B108">
        <v>11</v>
      </c>
      <c r="C108">
        <v>29.7</v>
      </c>
      <c r="D108">
        <v>7.2</v>
      </c>
      <c r="F108">
        <v>80</v>
      </c>
      <c r="G108">
        <v>9.6753032832745074</v>
      </c>
      <c r="H108">
        <v>1.3246967167254926</v>
      </c>
    </row>
    <row r="109" spans="1:8" x14ac:dyDescent="0.3">
      <c r="A109">
        <v>90.4</v>
      </c>
      <c r="B109">
        <v>0.3</v>
      </c>
      <c r="C109">
        <v>23.2</v>
      </c>
      <c r="D109">
        <v>8.6999999999999993</v>
      </c>
      <c r="F109">
        <v>81</v>
      </c>
      <c r="G109">
        <v>11.445923639120625</v>
      </c>
      <c r="H109">
        <v>0.35407636087937533</v>
      </c>
    </row>
    <row r="110" spans="1:8" x14ac:dyDescent="0.3">
      <c r="A110">
        <v>13.1</v>
      </c>
      <c r="B110">
        <v>0.4</v>
      </c>
      <c r="C110">
        <v>25.6</v>
      </c>
      <c r="D110">
        <v>5.3</v>
      </c>
      <c r="F110">
        <v>82</v>
      </c>
      <c r="G110">
        <v>14.647940925761016</v>
      </c>
      <c r="H110">
        <v>-2.3479409257610158</v>
      </c>
    </row>
    <row r="111" spans="1:8" x14ac:dyDescent="0.3">
      <c r="A111">
        <v>255.4</v>
      </c>
      <c r="B111">
        <v>26.9</v>
      </c>
      <c r="C111">
        <v>5.5</v>
      </c>
      <c r="D111">
        <v>19.8</v>
      </c>
      <c r="F111">
        <v>83</v>
      </c>
      <c r="G111">
        <v>10.178407991809921</v>
      </c>
      <c r="H111">
        <v>1.1215920081900794</v>
      </c>
    </row>
    <row r="112" spans="1:8" x14ac:dyDescent="0.3">
      <c r="A112">
        <v>225.8</v>
      </c>
      <c r="B112">
        <v>8.1999999999999993</v>
      </c>
      <c r="C112">
        <v>56.5</v>
      </c>
      <c r="D112">
        <v>13.4</v>
      </c>
      <c r="F112">
        <v>84</v>
      </c>
      <c r="G112">
        <v>14.421842119156549</v>
      </c>
      <c r="H112">
        <v>-0.8218421191565497</v>
      </c>
    </row>
    <row r="113" spans="1:8" x14ac:dyDescent="0.3">
      <c r="A113">
        <v>241.7</v>
      </c>
      <c r="B113">
        <v>38</v>
      </c>
      <c r="C113">
        <v>23.2</v>
      </c>
      <c r="D113">
        <v>21.8</v>
      </c>
      <c r="F113">
        <v>85</v>
      </c>
      <c r="G113">
        <v>20.781364636833885</v>
      </c>
      <c r="H113">
        <v>0.91863536316611416</v>
      </c>
    </row>
    <row r="114" spans="1:8" x14ac:dyDescent="0.3">
      <c r="A114">
        <v>175.7</v>
      </c>
      <c r="B114">
        <v>15.4</v>
      </c>
      <c r="C114">
        <v>2.4</v>
      </c>
      <c r="D114">
        <v>14.1</v>
      </c>
      <c r="F114">
        <v>86</v>
      </c>
      <c r="G114">
        <v>15.181407889846495</v>
      </c>
      <c r="H114">
        <v>1.8592110153504038E-2</v>
      </c>
    </row>
    <row r="115" spans="1:8" x14ac:dyDescent="0.3">
      <c r="A115">
        <v>209.6</v>
      </c>
      <c r="B115">
        <v>20.6</v>
      </c>
      <c r="C115">
        <v>10.7</v>
      </c>
      <c r="D115">
        <v>15.9</v>
      </c>
      <c r="F115">
        <v>87</v>
      </c>
      <c r="G115">
        <v>11.59870739427725</v>
      </c>
      <c r="H115">
        <v>0.40129260572274994</v>
      </c>
    </row>
    <row r="116" spans="1:8" x14ac:dyDescent="0.3">
      <c r="A116">
        <v>78.2</v>
      </c>
      <c r="B116">
        <v>46.8</v>
      </c>
      <c r="C116">
        <v>34.5</v>
      </c>
      <c r="D116">
        <v>14.6</v>
      </c>
      <c r="F116">
        <v>88</v>
      </c>
      <c r="G116">
        <v>15.593784747966524</v>
      </c>
      <c r="H116">
        <v>0.4062152520334763</v>
      </c>
    </row>
    <row r="117" spans="1:8" x14ac:dyDescent="0.3">
      <c r="A117">
        <v>75.099999999999994</v>
      </c>
      <c r="B117">
        <v>35</v>
      </c>
      <c r="C117">
        <v>52.7</v>
      </c>
      <c r="D117">
        <v>12.6</v>
      </c>
      <c r="F117">
        <v>89</v>
      </c>
      <c r="G117">
        <v>11.711271005267474</v>
      </c>
      <c r="H117">
        <v>1.1887289947325268</v>
      </c>
    </row>
    <row r="118" spans="1:8" x14ac:dyDescent="0.3">
      <c r="A118">
        <v>139.19999999999999</v>
      </c>
      <c r="B118">
        <v>14.3</v>
      </c>
      <c r="C118">
        <v>25.6</v>
      </c>
      <c r="D118">
        <v>12.2</v>
      </c>
      <c r="F118">
        <v>90</v>
      </c>
      <c r="G118">
        <v>16.922255106768954</v>
      </c>
      <c r="H118">
        <v>-0.2222551067689551</v>
      </c>
    </row>
    <row r="119" spans="1:8" x14ac:dyDescent="0.3">
      <c r="A119">
        <v>76.400000000000006</v>
      </c>
      <c r="B119">
        <v>0.8</v>
      </c>
      <c r="C119">
        <v>14.8</v>
      </c>
      <c r="D119">
        <v>9.4</v>
      </c>
      <c r="F119">
        <v>91</v>
      </c>
      <c r="G119">
        <v>9.9992296517234802</v>
      </c>
      <c r="H119">
        <v>1.2007703482765191</v>
      </c>
    </row>
    <row r="120" spans="1:8" x14ac:dyDescent="0.3">
      <c r="A120">
        <v>125.7</v>
      </c>
      <c r="B120">
        <v>36.9</v>
      </c>
      <c r="C120">
        <v>79.2</v>
      </c>
      <c r="D120">
        <v>15.9</v>
      </c>
      <c r="F120">
        <v>92</v>
      </c>
      <c r="G120">
        <v>4.4963159844593772</v>
      </c>
      <c r="H120">
        <v>2.8036840155406226</v>
      </c>
    </row>
    <row r="121" spans="1:8" x14ac:dyDescent="0.3">
      <c r="A121">
        <v>19.399999999999999</v>
      </c>
      <c r="B121">
        <v>16</v>
      </c>
      <c r="C121">
        <v>22.3</v>
      </c>
      <c r="D121">
        <v>6.6</v>
      </c>
      <c r="F121">
        <v>93</v>
      </c>
      <c r="G121">
        <v>19.156396162353211</v>
      </c>
      <c r="H121">
        <v>0.24360383764678772</v>
      </c>
    </row>
    <row r="122" spans="1:8" x14ac:dyDescent="0.3">
      <c r="A122">
        <v>141.30000000000001</v>
      </c>
      <c r="B122">
        <v>26.8</v>
      </c>
      <c r="C122">
        <v>46.2</v>
      </c>
      <c r="D122">
        <v>15.5</v>
      </c>
      <c r="F122">
        <v>94</v>
      </c>
      <c r="G122">
        <v>21.22757378476209</v>
      </c>
      <c r="H122">
        <v>0.97242621523790973</v>
      </c>
    </row>
    <row r="123" spans="1:8" x14ac:dyDescent="0.3">
      <c r="A123">
        <v>18.8</v>
      </c>
      <c r="B123">
        <v>21.7</v>
      </c>
      <c r="C123">
        <v>50.4</v>
      </c>
      <c r="D123">
        <v>7</v>
      </c>
      <c r="F123">
        <v>95</v>
      </c>
      <c r="G123">
        <v>10.482123854060985</v>
      </c>
      <c r="H123">
        <v>1.0178761459390149</v>
      </c>
    </row>
    <row r="124" spans="1:8" x14ac:dyDescent="0.3">
      <c r="A124">
        <v>224</v>
      </c>
      <c r="B124">
        <v>2.4</v>
      </c>
      <c r="C124">
        <v>15.6</v>
      </c>
      <c r="D124">
        <v>11.6</v>
      </c>
      <c r="F124">
        <v>96</v>
      </c>
      <c r="G124">
        <v>16.3149211249941</v>
      </c>
      <c r="H124">
        <v>0.58507887500589817</v>
      </c>
    </row>
    <row r="125" spans="1:8" x14ac:dyDescent="0.3">
      <c r="A125">
        <v>123.1</v>
      </c>
      <c r="B125">
        <v>34.6</v>
      </c>
      <c r="C125">
        <v>12.4</v>
      </c>
      <c r="D125">
        <v>15.2</v>
      </c>
      <c r="F125">
        <v>97</v>
      </c>
      <c r="G125">
        <v>12.63571716170908</v>
      </c>
      <c r="H125">
        <v>-0.93571716170908026</v>
      </c>
    </row>
    <row r="126" spans="1:8" x14ac:dyDescent="0.3">
      <c r="A126">
        <v>229.5</v>
      </c>
      <c r="B126">
        <v>32.299999999999997</v>
      </c>
      <c r="C126">
        <v>74.2</v>
      </c>
      <c r="D126">
        <v>19.7</v>
      </c>
      <c r="F126">
        <v>98</v>
      </c>
      <c r="G126">
        <v>15.337077822510238</v>
      </c>
      <c r="H126">
        <v>0.16292217748976157</v>
      </c>
    </row>
    <row r="127" spans="1:8" x14ac:dyDescent="0.3">
      <c r="A127">
        <v>87.2</v>
      </c>
      <c r="B127">
        <v>11.8</v>
      </c>
      <c r="C127">
        <v>25.9</v>
      </c>
      <c r="D127">
        <v>10.6</v>
      </c>
      <c r="F127">
        <v>99</v>
      </c>
      <c r="G127">
        <v>24.118607229753348</v>
      </c>
      <c r="H127">
        <v>1.2813927702466508</v>
      </c>
    </row>
    <row r="128" spans="1:8" x14ac:dyDescent="0.3">
      <c r="A128">
        <v>7.8</v>
      </c>
      <c r="B128">
        <v>38.9</v>
      </c>
      <c r="C128">
        <v>50.6</v>
      </c>
      <c r="D128">
        <v>6.6</v>
      </c>
      <c r="F128">
        <v>100</v>
      </c>
      <c r="G128">
        <v>16.940350209868626</v>
      </c>
      <c r="H128">
        <v>0.25964979013137324</v>
      </c>
    </row>
    <row r="129" spans="1:8" x14ac:dyDescent="0.3">
      <c r="A129">
        <v>80.2</v>
      </c>
      <c r="B129">
        <v>0</v>
      </c>
      <c r="C129">
        <v>9.1999999999999993</v>
      </c>
      <c r="D129">
        <v>8.8000000000000007</v>
      </c>
      <c r="F129">
        <v>101</v>
      </c>
      <c r="G129">
        <v>13.875958437972796</v>
      </c>
      <c r="H129">
        <v>-2.1759584379727972</v>
      </c>
    </row>
    <row r="130" spans="1:8" x14ac:dyDescent="0.3">
      <c r="A130">
        <v>220.3</v>
      </c>
      <c r="B130">
        <v>49</v>
      </c>
      <c r="C130">
        <v>3.2</v>
      </c>
      <c r="D130">
        <v>24.7</v>
      </c>
      <c r="F130">
        <v>102</v>
      </c>
      <c r="G130">
        <v>23.242486848584214</v>
      </c>
      <c r="H130">
        <v>0.55751315141578672</v>
      </c>
    </row>
    <row r="131" spans="1:8" x14ac:dyDescent="0.3">
      <c r="A131">
        <v>59.6</v>
      </c>
      <c r="B131">
        <v>12</v>
      </c>
      <c r="C131">
        <v>43.1</v>
      </c>
      <c r="D131">
        <v>9.6999999999999993</v>
      </c>
      <c r="F131">
        <v>103</v>
      </c>
      <c r="G131">
        <v>17.644093845826685</v>
      </c>
      <c r="H131">
        <v>-2.8440938458266842</v>
      </c>
    </row>
    <row r="132" spans="1:8" x14ac:dyDescent="0.3">
      <c r="A132">
        <v>0.7</v>
      </c>
      <c r="B132">
        <v>39.6</v>
      </c>
      <c r="C132">
        <v>8.6999999999999993</v>
      </c>
      <c r="D132">
        <v>1.6</v>
      </c>
      <c r="F132">
        <v>104</v>
      </c>
      <c r="G132">
        <v>14.762211416061408</v>
      </c>
      <c r="H132">
        <v>-6.2211416061408897E-2</v>
      </c>
    </row>
    <row r="133" spans="1:8" x14ac:dyDescent="0.3">
      <c r="A133">
        <v>265.2</v>
      </c>
      <c r="B133">
        <v>2.9</v>
      </c>
      <c r="C133">
        <v>43</v>
      </c>
      <c r="D133">
        <v>12.7</v>
      </c>
      <c r="F133">
        <v>105</v>
      </c>
      <c r="G133">
        <v>20.301108784104397</v>
      </c>
      <c r="H133">
        <v>0.39889121589560261</v>
      </c>
    </row>
    <row r="134" spans="1:8" x14ac:dyDescent="0.3">
      <c r="A134">
        <v>8.4</v>
      </c>
      <c r="B134">
        <v>27.2</v>
      </c>
      <c r="C134">
        <v>2.1</v>
      </c>
      <c r="D134">
        <v>5.7</v>
      </c>
      <c r="F134">
        <v>106</v>
      </c>
      <c r="G134">
        <v>17.936414673257321</v>
      </c>
      <c r="H134">
        <v>1.2635853267426782</v>
      </c>
    </row>
    <row r="135" spans="1:8" x14ac:dyDescent="0.3">
      <c r="A135">
        <v>219.8</v>
      </c>
      <c r="B135">
        <v>33.5</v>
      </c>
      <c r="C135">
        <v>45.1</v>
      </c>
      <c r="D135">
        <v>19.600000000000001</v>
      </c>
      <c r="F135">
        <v>107</v>
      </c>
      <c r="G135">
        <v>6.1260221485830586</v>
      </c>
      <c r="H135">
        <v>1.0739778514169416</v>
      </c>
    </row>
    <row r="136" spans="1:8" x14ac:dyDescent="0.3">
      <c r="A136">
        <v>36.9</v>
      </c>
      <c r="B136">
        <v>38.6</v>
      </c>
      <c r="C136">
        <v>65.599999999999994</v>
      </c>
      <c r="D136">
        <v>10.8</v>
      </c>
      <c r="F136">
        <v>108</v>
      </c>
      <c r="G136">
        <v>7.108502485117369</v>
      </c>
      <c r="H136">
        <v>1.5914975148826302</v>
      </c>
    </row>
    <row r="137" spans="1:8" x14ac:dyDescent="0.3">
      <c r="A137">
        <v>48.3</v>
      </c>
      <c r="B137">
        <v>47</v>
      </c>
      <c r="C137">
        <v>8.5</v>
      </c>
      <c r="D137">
        <v>11.6</v>
      </c>
      <c r="F137">
        <v>109</v>
      </c>
      <c r="G137">
        <v>3.5872584098050151</v>
      </c>
      <c r="H137">
        <v>1.7127415901949847</v>
      </c>
    </row>
    <row r="138" spans="1:8" x14ac:dyDescent="0.3">
      <c r="A138">
        <v>25.6</v>
      </c>
      <c r="B138">
        <v>39</v>
      </c>
      <c r="C138">
        <v>9.3000000000000007</v>
      </c>
      <c r="D138">
        <v>9.5</v>
      </c>
      <c r="F138">
        <v>110</v>
      </c>
      <c r="G138">
        <v>19.692931062134029</v>
      </c>
      <c r="H138">
        <v>0.10706893786597149</v>
      </c>
    </row>
    <row r="139" spans="1:8" x14ac:dyDescent="0.3">
      <c r="A139">
        <v>273.7</v>
      </c>
      <c r="B139">
        <v>28.9</v>
      </c>
      <c r="C139">
        <v>59.7</v>
      </c>
      <c r="D139">
        <v>20.8</v>
      </c>
      <c r="F139">
        <v>111</v>
      </c>
      <c r="G139">
        <v>14.759874095117553</v>
      </c>
      <c r="H139">
        <v>-1.3598740951175525</v>
      </c>
    </row>
    <row r="140" spans="1:8" x14ac:dyDescent="0.3">
      <c r="A140">
        <v>43</v>
      </c>
      <c r="B140">
        <v>25.9</v>
      </c>
      <c r="C140">
        <v>20.5</v>
      </c>
      <c r="D140">
        <v>9.6</v>
      </c>
      <c r="F140">
        <v>112</v>
      </c>
      <c r="G140">
        <v>21.14027498033532</v>
      </c>
      <c r="H140">
        <v>0.65972501966468045</v>
      </c>
    </row>
    <row r="141" spans="1:8" x14ac:dyDescent="0.3">
      <c r="A141">
        <v>184.9</v>
      </c>
      <c r="B141">
        <v>43.9</v>
      </c>
      <c r="C141">
        <v>1.7</v>
      </c>
      <c r="D141">
        <v>20.7</v>
      </c>
      <c r="F141">
        <v>113</v>
      </c>
      <c r="G141">
        <v>13.880609853211171</v>
      </c>
      <c r="H141">
        <v>0.21939014678882884</v>
      </c>
    </row>
    <row r="142" spans="1:8" x14ac:dyDescent="0.3">
      <c r="A142">
        <v>73.400000000000006</v>
      </c>
      <c r="B142">
        <v>17</v>
      </c>
      <c r="C142">
        <v>12.9</v>
      </c>
      <c r="D142">
        <v>10.9</v>
      </c>
      <c r="F142">
        <v>114</v>
      </c>
      <c r="G142">
        <v>16.403776229871259</v>
      </c>
      <c r="H142">
        <v>-0.50377622987125825</v>
      </c>
    </row>
    <row r="143" spans="1:8" x14ac:dyDescent="0.3">
      <c r="A143">
        <v>193.7</v>
      </c>
      <c r="B143">
        <v>35.4</v>
      </c>
      <c r="C143">
        <v>75.599999999999994</v>
      </c>
      <c r="D143">
        <v>19.2</v>
      </c>
      <c r="F143">
        <v>115</v>
      </c>
      <c r="G143">
        <v>15.305095925878035</v>
      </c>
      <c r="H143">
        <v>-0.7050959258780356</v>
      </c>
    </row>
    <row r="144" spans="1:8" x14ac:dyDescent="0.3">
      <c r="A144">
        <v>220.5</v>
      </c>
      <c r="B144">
        <v>33.200000000000003</v>
      </c>
      <c r="C144">
        <v>37.9</v>
      </c>
      <c r="D144">
        <v>20.100000000000001</v>
      </c>
      <c r="F144">
        <v>116</v>
      </c>
      <c r="G144">
        <v>12.919688951958426</v>
      </c>
      <c r="H144">
        <v>-0.31968895195842606</v>
      </c>
    </row>
    <row r="145" spans="1:8" x14ac:dyDescent="0.3">
      <c r="A145">
        <v>104.6</v>
      </c>
      <c r="B145">
        <v>5.7</v>
      </c>
      <c r="C145">
        <v>34.4</v>
      </c>
      <c r="D145">
        <v>10.4</v>
      </c>
      <c r="F145">
        <v>117</v>
      </c>
      <c r="G145">
        <v>11.978747436893686</v>
      </c>
      <c r="H145">
        <v>0.22125256310631336</v>
      </c>
    </row>
    <row r="146" spans="1:8" x14ac:dyDescent="0.3">
      <c r="A146">
        <v>96.2</v>
      </c>
      <c r="B146">
        <v>14.8</v>
      </c>
      <c r="C146">
        <v>38.9</v>
      </c>
      <c r="D146">
        <v>11.4</v>
      </c>
      <c r="F146">
        <v>118</v>
      </c>
      <c r="G146">
        <v>6.5707773987577056</v>
      </c>
      <c r="H146">
        <v>2.8292226012422947</v>
      </c>
    </row>
    <row r="147" spans="1:8" x14ac:dyDescent="0.3">
      <c r="A147">
        <v>140.30000000000001</v>
      </c>
      <c r="B147">
        <v>1.9</v>
      </c>
      <c r="C147">
        <v>9</v>
      </c>
      <c r="D147">
        <v>10.3</v>
      </c>
      <c r="F147">
        <v>119</v>
      </c>
      <c r="G147">
        <v>15.566093478520511</v>
      </c>
      <c r="H147">
        <v>0.33390652147948963</v>
      </c>
    </row>
    <row r="148" spans="1:8" x14ac:dyDescent="0.3">
      <c r="A148">
        <v>240.1</v>
      </c>
      <c r="B148">
        <v>7.3</v>
      </c>
      <c r="C148">
        <v>8.6999999999999993</v>
      </c>
      <c r="D148">
        <v>13.2</v>
      </c>
      <c r="F148">
        <v>120</v>
      </c>
      <c r="G148">
        <v>6.8200676671381784</v>
      </c>
      <c r="H148">
        <v>-0.22006766713817871</v>
      </c>
    </row>
    <row r="149" spans="1:8" x14ac:dyDescent="0.3">
      <c r="A149">
        <v>243.2</v>
      </c>
      <c r="B149">
        <v>49</v>
      </c>
      <c r="C149">
        <v>44.3</v>
      </c>
      <c r="D149">
        <v>25.4</v>
      </c>
      <c r="F149">
        <v>121</v>
      </c>
      <c r="G149">
        <v>14.410106047152565</v>
      </c>
      <c r="H149">
        <v>1.0898939528474347</v>
      </c>
    </row>
    <row r="150" spans="1:8" x14ac:dyDescent="0.3">
      <c r="A150">
        <v>38</v>
      </c>
      <c r="B150">
        <v>40.299999999999997</v>
      </c>
      <c r="C150">
        <v>11.9</v>
      </c>
      <c r="D150">
        <v>10.9</v>
      </c>
      <c r="F150">
        <v>122</v>
      </c>
      <c r="G150">
        <v>7.8380764218051215</v>
      </c>
      <c r="H150">
        <v>-0.83807642180512154</v>
      </c>
    </row>
    <row r="151" spans="1:8" x14ac:dyDescent="0.3">
      <c r="A151">
        <v>44.7</v>
      </c>
      <c r="B151">
        <v>25.8</v>
      </c>
      <c r="C151">
        <v>20.6</v>
      </c>
      <c r="D151">
        <v>10.1</v>
      </c>
      <c r="F151">
        <v>123</v>
      </c>
      <c r="G151">
        <v>13.626457100609532</v>
      </c>
      <c r="H151">
        <v>-2.026457100609532</v>
      </c>
    </row>
    <row r="152" spans="1:8" x14ac:dyDescent="0.3">
      <c r="A152">
        <v>280.7</v>
      </c>
      <c r="B152">
        <v>13.9</v>
      </c>
      <c r="C152">
        <v>37</v>
      </c>
      <c r="D152">
        <v>16.100000000000001</v>
      </c>
      <c r="F152">
        <v>124</v>
      </c>
      <c r="G152">
        <v>15.08279089666202</v>
      </c>
      <c r="H152">
        <v>0.11720910333797896</v>
      </c>
    </row>
    <row r="153" spans="1:8" x14ac:dyDescent="0.3">
      <c r="A153">
        <v>121</v>
      </c>
      <c r="B153">
        <v>8.4</v>
      </c>
      <c r="C153">
        <v>48.7</v>
      </c>
      <c r="D153">
        <v>11.6</v>
      </c>
      <c r="F153">
        <v>125</v>
      </c>
      <c r="G153">
        <v>19.454413064179416</v>
      </c>
      <c r="H153">
        <v>0.24558693582058311</v>
      </c>
    </row>
    <row r="154" spans="1:8" x14ac:dyDescent="0.3">
      <c r="A154">
        <v>197.6</v>
      </c>
      <c r="B154">
        <v>23.3</v>
      </c>
      <c r="C154">
        <v>14.2</v>
      </c>
      <c r="D154">
        <v>16.600000000000001</v>
      </c>
      <c r="F154">
        <v>126</v>
      </c>
      <c r="G154">
        <v>9.1273495830047597</v>
      </c>
      <c r="H154">
        <v>1.4726504169952399</v>
      </c>
    </row>
    <row r="155" spans="1:8" x14ac:dyDescent="0.3">
      <c r="A155">
        <v>171.3</v>
      </c>
      <c r="B155">
        <v>39.700000000000003</v>
      </c>
      <c r="C155">
        <v>37.700000000000003</v>
      </c>
      <c r="D155">
        <v>19</v>
      </c>
      <c r="F155">
        <v>127</v>
      </c>
      <c r="G155">
        <v>10.577174114180366</v>
      </c>
      <c r="H155">
        <v>-3.9771741141803663</v>
      </c>
    </row>
    <row r="156" spans="1:8" x14ac:dyDescent="0.3">
      <c r="A156">
        <v>187.8</v>
      </c>
      <c r="B156">
        <v>21.1</v>
      </c>
      <c r="C156">
        <v>9.5</v>
      </c>
      <c r="D156">
        <v>15.6</v>
      </c>
      <c r="F156">
        <v>128</v>
      </c>
      <c r="G156">
        <v>6.59966899899152</v>
      </c>
      <c r="H156">
        <v>2.2003310010084807</v>
      </c>
    </row>
    <row r="157" spans="1:8" x14ac:dyDescent="0.3">
      <c r="A157">
        <v>4.0999999999999996</v>
      </c>
      <c r="B157">
        <v>11.6</v>
      </c>
      <c r="C157">
        <v>5.7</v>
      </c>
      <c r="D157">
        <v>3.2</v>
      </c>
      <c r="F157">
        <v>129</v>
      </c>
      <c r="G157">
        <v>22.25549161453959</v>
      </c>
      <c r="H157">
        <v>2.4445083854604093</v>
      </c>
    </row>
    <row r="158" spans="1:8" x14ac:dyDescent="0.3">
      <c r="A158">
        <v>93.9</v>
      </c>
      <c r="B158">
        <v>43.5</v>
      </c>
      <c r="C158">
        <v>50.5</v>
      </c>
      <c r="D158">
        <v>15.3</v>
      </c>
      <c r="F158">
        <v>130</v>
      </c>
      <c r="G158">
        <v>7.8841064914888364</v>
      </c>
      <c r="H158">
        <v>1.8158935085111629</v>
      </c>
    </row>
    <row r="159" spans="1:8" x14ac:dyDescent="0.3">
      <c r="A159">
        <v>149.80000000000001</v>
      </c>
      <c r="B159">
        <v>1.3</v>
      </c>
      <c r="C159">
        <v>24.3</v>
      </c>
      <c r="D159">
        <v>10.1</v>
      </c>
      <c r="F159">
        <v>131</v>
      </c>
      <c r="G159">
        <v>10.427687101769544</v>
      </c>
      <c r="H159">
        <v>-8.8276871017695449</v>
      </c>
    </row>
    <row r="160" spans="1:8" x14ac:dyDescent="0.3">
      <c r="A160">
        <v>11.7</v>
      </c>
      <c r="B160">
        <v>36.9</v>
      </c>
      <c r="C160">
        <v>45.2</v>
      </c>
      <c r="D160">
        <v>7.3</v>
      </c>
      <c r="F160">
        <v>132</v>
      </c>
      <c r="G160">
        <v>15.577798192467164</v>
      </c>
      <c r="H160">
        <v>-2.8777981924671643</v>
      </c>
    </row>
    <row r="161" spans="1:8" x14ac:dyDescent="0.3">
      <c r="A161">
        <v>131.69999999999999</v>
      </c>
      <c r="B161">
        <v>18.399999999999999</v>
      </c>
      <c r="C161">
        <v>34.6</v>
      </c>
      <c r="D161">
        <v>12.9</v>
      </c>
      <c r="F161">
        <v>133</v>
      </c>
      <c r="G161">
        <v>8.4491501160707134</v>
      </c>
      <c r="H161">
        <v>-2.7491501160707132</v>
      </c>
    </row>
    <row r="162" spans="1:8" x14ac:dyDescent="0.3">
      <c r="A162">
        <v>172.5</v>
      </c>
      <c r="B162">
        <v>18.100000000000001</v>
      </c>
      <c r="C162">
        <v>30.7</v>
      </c>
      <c r="D162">
        <v>14.4</v>
      </c>
      <c r="F162">
        <v>134</v>
      </c>
      <c r="G162">
        <v>19.266923071099967</v>
      </c>
      <c r="H162">
        <v>0.33307692890003437</v>
      </c>
    </row>
    <row r="163" spans="1:8" x14ac:dyDescent="0.3">
      <c r="A163">
        <v>85.7</v>
      </c>
      <c r="B163">
        <v>35.799999999999997</v>
      </c>
      <c r="C163">
        <v>49.3</v>
      </c>
      <c r="D163">
        <v>13.3</v>
      </c>
      <c r="F163">
        <v>135</v>
      </c>
      <c r="G163">
        <v>11.836803896219831</v>
      </c>
      <c r="H163">
        <v>-1.0368038962198298</v>
      </c>
    </row>
    <row r="164" spans="1:8" x14ac:dyDescent="0.3">
      <c r="A164">
        <v>188.4</v>
      </c>
      <c r="B164">
        <v>18.100000000000001</v>
      </c>
      <c r="C164">
        <v>25.6</v>
      </c>
      <c r="D164">
        <v>14.9</v>
      </c>
      <c r="F164">
        <v>136</v>
      </c>
      <c r="G164">
        <v>14.001413849249673</v>
      </c>
      <c r="H164">
        <v>-2.401413849249673</v>
      </c>
    </row>
    <row r="165" spans="1:8" x14ac:dyDescent="0.3">
      <c r="A165">
        <v>163.5</v>
      </c>
      <c r="B165">
        <v>36.799999999999997</v>
      </c>
      <c r="C165">
        <v>7.4</v>
      </c>
      <c r="D165">
        <v>18</v>
      </c>
      <c r="F165">
        <v>137</v>
      </c>
      <c r="G165">
        <v>11.453486267632533</v>
      </c>
      <c r="H165">
        <v>-1.9534862676325329</v>
      </c>
    </row>
    <row r="166" spans="1:8" x14ac:dyDescent="0.3">
      <c r="A166">
        <v>117.2</v>
      </c>
      <c r="B166">
        <v>14.7</v>
      </c>
      <c r="C166">
        <v>5.4</v>
      </c>
      <c r="D166">
        <v>11.9</v>
      </c>
      <c r="F166">
        <v>138</v>
      </c>
      <c r="G166">
        <v>20.851251984901999</v>
      </c>
      <c r="H166">
        <v>-5.1251984901998782E-2</v>
      </c>
    </row>
    <row r="167" spans="1:8" x14ac:dyDescent="0.3">
      <c r="A167">
        <v>234.5</v>
      </c>
      <c r="B167">
        <v>3.4</v>
      </c>
      <c r="C167">
        <v>84.8</v>
      </c>
      <c r="D167">
        <v>11.9</v>
      </c>
      <c r="F167">
        <v>139</v>
      </c>
      <c r="G167">
        <v>9.7684279548522408</v>
      </c>
      <c r="H167">
        <v>-0.16842795485224116</v>
      </c>
    </row>
    <row r="168" spans="1:8" x14ac:dyDescent="0.3">
      <c r="A168">
        <v>17.899999999999999</v>
      </c>
      <c r="B168">
        <v>37.6</v>
      </c>
      <c r="C168">
        <v>21.6</v>
      </c>
      <c r="D168">
        <v>8</v>
      </c>
      <c r="F168">
        <v>140</v>
      </c>
      <c r="G168">
        <v>19.675476318699388</v>
      </c>
      <c r="H168">
        <v>1.0245236813006109</v>
      </c>
    </row>
    <row r="169" spans="1:8" x14ac:dyDescent="0.3">
      <c r="A169">
        <v>206.8</v>
      </c>
      <c r="B169">
        <v>5.2</v>
      </c>
      <c r="C169">
        <v>19.399999999999999</v>
      </c>
      <c r="D169">
        <v>12.2</v>
      </c>
      <c r="F169">
        <v>141</v>
      </c>
      <c r="G169">
        <v>9.489640973247127</v>
      </c>
      <c r="H169">
        <v>1.4103590267528734</v>
      </c>
    </row>
    <row r="170" spans="1:8" x14ac:dyDescent="0.3">
      <c r="A170">
        <v>215.4</v>
      </c>
      <c r="B170">
        <v>23.6</v>
      </c>
      <c r="C170">
        <v>57.6</v>
      </c>
      <c r="D170">
        <v>17.100000000000001</v>
      </c>
      <c r="F170">
        <v>142</v>
      </c>
      <c r="G170">
        <v>18.39902931906315</v>
      </c>
      <c r="H170">
        <v>0.80097068093684953</v>
      </c>
    </row>
    <row r="171" spans="1:8" x14ac:dyDescent="0.3">
      <c r="A171">
        <v>284.3</v>
      </c>
      <c r="B171">
        <v>10.6</v>
      </c>
      <c r="C171">
        <v>6.4</v>
      </c>
      <c r="D171">
        <v>15</v>
      </c>
      <c r="F171">
        <v>143</v>
      </c>
      <c r="G171">
        <v>19.249869267749116</v>
      </c>
      <c r="H171">
        <v>0.85013073225088576</v>
      </c>
    </row>
    <row r="172" spans="1:8" x14ac:dyDescent="0.3">
      <c r="A172">
        <v>50</v>
      </c>
      <c r="B172">
        <v>11.6</v>
      </c>
      <c r="C172">
        <v>18.399999999999999</v>
      </c>
      <c r="D172">
        <v>8.4</v>
      </c>
      <c r="F172">
        <v>144</v>
      </c>
      <c r="G172">
        <v>8.7648026198665843</v>
      </c>
      <c r="H172">
        <v>1.6351973801334161</v>
      </c>
    </row>
    <row r="173" spans="1:8" x14ac:dyDescent="0.3">
      <c r="A173">
        <v>164.5</v>
      </c>
      <c r="B173">
        <v>20.9</v>
      </c>
      <c r="C173">
        <v>47.4</v>
      </c>
      <c r="D173">
        <v>14.5</v>
      </c>
      <c r="F173">
        <v>145</v>
      </c>
      <c r="G173">
        <v>10.09133403330576</v>
      </c>
      <c r="H173">
        <v>1.3086659666942406</v>
      </c>
    </row>
    <row r="174" spans="1:8" x14ac:dyDescent="0.3">
      <c r="A174">
        <v>19.600000000000001</v>
      </c>
      <c r="B174">
        <v>20.100000000000001</v>
      </c>
      <c r="C174">
        <v>17</v>
      </c>
      <c r="D174">
        <v>7.6</v>
      </c>
      <c r="F174">
        <v>146</v>
      </c>
      <c r="G174">
        <v>9.708538721613996</v>
      </c>
      <c r="H174">
        <v>0.59146127838600471</v>
      </c>
    </row>
    <row r="175" spans="1:8" x14ac:dyDescent="0.3">
      <c r="A175">
        <v>168.4</v>
      </c>
      <c r="B175">
        <v>7.1</v>
      </c>
      <c r="C175">
        <v>12.8</v>
      </c>
      <c r="D175">
        <v>11.7</v>
      </c>
      <c r="F175">
        <v>147</v>
      </c>
      <c r="G175">
        <v>15.29422367733372</v>
      </c>
      <c r="H175">
        <v>-2.0942236773337211</v>
      </c>
    </row>
    <row r="176" spans="1:8" x14ac:dyDescent="0.3">
      <c r="A176">
        <v>222.4</v>
      </c>
      <c r="B176">
        <v>3.4</v>
      </c>
      <c r="C176">
        <v>13.1</v>
      </c>
      <c r="D176">
        <v>11.5</v>
      </c>
      <c r="F176">
        <v>148</v>
      </c>
      <c r="G176">
        <v>23.260861031422419</v>
      </c>
      <c r="H176">
        <v>2.1391389685775799</v>
      </c>
    </row>
    <row r="177" spans="1:8" x14ac:dyDescent="0.3">
      <c r="A177">
        <v>276.89999999999998</v>
      </c>
      <c r="B177">
        <v>48.9</v>
      </c>
      <c r="C177">
        <v>41.8</v>
      </c>
      <c r="D177">
        <v>27</v>
      </c>
      <c r="F177">
        <v>149</v>
      </c>
      <c r="G177">
        <v>12.263359411362689</v>
      </c>
      <c r="H177">
        <v>-1.3633594113626888</v>
      </c>
    </row>
    <row r="178" spans="1:8" x14ac:dyDescent="0.3">
      <c r="A178">
        <v>248.4</v>
      </c>
      <c r="B178">
        <v>30.2</v>
      </c>
      <c r="C178">
        <v>20.3</v>
      </c>
      <c r="D178">
        <v>20.2</v>
      </c>
      <c r="F178">
        <v>150</v>
      </c>
      <c r="G178">
        <v>9.8272711011303482</v>
      </c>
      <c r="H178">
        <v>0.27272889886965146</v>
      </c>
    </row>
    <row r="179" spans="1:8" x14ac:dyDescent="0.3">
      <c r="A179">
        <v>170.2</v>
      </c>
      <c r="B179">
        <v>7.8</v>
      </c>
      <c r="C179">
        <v>35.200000000000003</v>
      </c>
      <c r="D179">
        <v>11.7</v>
      </c>
      <c r="F179">
        <v>151</v>
      </c>
      <c r="G179">
        <v>18.367205341380927</v>
      </c>
      <c r="H179">
        <v>-2.2672053413809259</v>
      </c>
    </row>
    <row r="180" spans="1:8" x14ac:dyDescent="0.3">
      <c r="A180">
        <v>276.7</v>
      </c>
      <c r="B180">
        <v>2.2999999999999998</v>
      </c>
      <c r="C180">
        <v>23.7</v>
      </c>
      <c r="D180">
        <v>11.8</v>
      </c>
      <c r="F180">
        <v>152</v>
      </c>
      <c r="G180">
        <v>10.009537700506844</v>
      </c>
      <c r="H180">
        <v>1.5904622994931561</v>
      </c>
    </row>
    <row r="181" spans="1:8" x14ac:dyDescent="0.3">
      <c r="A181">
        <v>165.6</v>
      </c>
      <c r="B181">
        <v>10</v>
      </c>
      <c r="C181">
        <v>17.600000000000001</v>
      </c>
      <c r="D181">
        <v>12.6</v>
      </c>
      <c r="F181">
        <v>153</v>
      </c>
      <c r="G181">
        <v>16.360000304436973</v>
      </c>
      <c r="H181">
        <v>0.23999969556302858</v>
      </c>
    </row>
    <row r="182" spans="1:8" x14ac:dyDescent="0.3">
      <c r="A182">
        <v>156.6</v>
      </c>
      <c r="B182">
        <v>2.6</v>
      </c>
      <c r="C182">
        <v>8.3000000000000007</v>
      </c>
      <c r="D182">
        <v>10.5</v>
      </c>
      <c r="F182">
        <v>154</v>
      </c>
      <c r="G182">
        <v>18.223901319920376</v>
      </c>
      <c r="H182">
        <v>0.7760986800796239</v>
      </c>
    </row>
    <row r="183" spans="1:8" x14ac:dyDescent="0.3">
      <c r="A183">
        <v>218.5</v>
      </c>
      <c r="B183">
        <v>5.4</v>
      </c>
      <c r="C183">
        <v>27.4</v>
      </c>
      <c r="D183">
        <v>12.2</v>
      </c>
      <c r="F183">
        <v>155</v>
      </c>
      <c r="G183">
        <v>15.501616959053665</v>
      </c>
      <c r="H183">
        <v>9.8383040946334432E-2</v>
      </c>
    </row>
    <row r="184" spans="1:8" x14ac:dyDescent="0.3">
      <c r="A184">
        <v>56.2</v>
      </c>
      <c r="B184">
        <v>5.7</v>
      </c>
      <c r="C184">
        <v>29.7</v>
      </c>
      <c r="D184">
        <v>8.6999999999999993</v>
      </c>
      <c r="F184">
        <v>156</v>
      </c>
      <c r="G184">
        <v>5.3075589017356029</v>
      </c>
      <c r="H184">
        <v>-2.1075589017356027</v>
      </c>
    </row>
    <row r="185" spans="1:8" x14ac:dyDescent="0.3">
      <c r="A185">
        <v>287.60000000000002</v>
      </c>
      <c r="B185">
        <v>43</v>
      </c>
      <c r="C185">
        <v>71.8</v>
      </c>
      <c r="D185">
        <v>26.2</v>
      </c>
      <c r="F185">
        <v>157</v>
      </c>
      <c r="G185">
        <v>15.384851915018084</v>
      </c>
      <c r="H185">
        <v>-8.4851915018083091E-2</v>
      </c>
    </row>
    <row r="186" spans="1:8" x14ac:dyDescent="0.3">
      <c r="A186">
        <v>253.8</v>
      </c>
      <c r="B186">
        <v>21.3</v>
      </c>
      <c r="C186">
        <v>30</v>
      </c>
      <c r="D186">
        <v>17.600000000000001</v>
      </c>
      <c r="F186">
        <v>158</v>
      </c>
      <c r="G186">
        <v>10.014311199739465</v>
      </c>
      <c r="H186">
        <v>8.5688800260534492E-2</v>
      </c>
    </row>
    <row r="187" spans="1:8" x14ac:dyDescent="0.3">
      <c r="A187">
        <v>205</v>
      </c>
      <c r="B187">
        <v>45.1</v>
      </c>
      <c r="C187">
        <v>19.600000000000001</v>
      </c>
      <c r="D187">
        <v>22.6</v>
      </c>
      <c r="F187">
        <v>159</v>
      </c>
      <c r="G187">
        <v>10.38419866004938</v>
      </c>
      <c r="H187">
        <v>-3.0841986600493803</v>
      </c>
    </row>
    <row r="188" spans="1:8" x14ac:dyDescent="0.3">
      <c r="A188">
        <v>139.5</v>
      </c>
      <c r="B188">
        <v>2.1</v>
      </c>
      <c r="C188">
        <v>26.6</v>
      </c>
      <c r="D188">
        <v>10.3</v>
      </c>
      <c r="F188">
        <v>160</v>
      </c>
      <c r="G188">
        <v>12.399148227960556</v>
      </c>
      <c r="H188">
        <v>0.50085177203944475</v>
      </c>
    </row>
    <row r="189" spans="1:8" x14ac:dyDescent="0.3">
      <c r="A189">
        <v>191.1</v>
      </c>
      <c r="B189">
        <v>28.7</v>
      </c>
      <c r="C189">
        <v>18.2</v>
      </c>
      <c r="D189">
        <v>17.3</v>
      </c>
      <c r="F189">
        <v>161</v>
      </c>
      <c r="G189">
        <v>14.213832980330974</v>
      </c>
      <c r="H189">
        <v>0.1861670196690266</v>
      </c>
    </row>
    <row r="190" spans="1:8" x14ac:dyDescent="0.3">
      <c r="A190">
        <v>286</v>
      </c>
      <c r="B190">
        <v>13.9</v>
      </c>
      <c r="C190">
        <v>3.7</v>
      </c>
      <c r="D190">
        <v>15.9</v>
      </c>
      <c r="F190">
        <v>162</v>
      </c>
      <c r="G190">
        <v>13.559145683664621</v>
      </c>
      <c r="H190">
        <v>-0.25914568366462021</v>
      </c>
    </row>
    <row r="191" spans="1:8" x14ac:dyDescent="0.3">
      <c r="A191">
        <v>18.7</v>
      </c>
      <c r="B191">
        <v>12.1</v>
      </c>
      <c r="C191">
        <v>23.4</v>
      </c>
      <c r="D191">
        <v>6.7</v>
      </c>
      <c r="F191">
        <v>163</v>
      </c>
      <c r="G191">
        <v>14.946782057588425</v>
      </c>
      <c r="H191">
        <v>-4.6782057588425019E-2</v>
      </c>
    </row>
    <row r="192" spans="1:8" x14ac:dyDescent="0.3">
      <c r="A192">
        <v>39.5</v>
      </c>
      <c r="B192">
        <v>41.1</v>
      </c>
      <c r="C192">
        <v>5.8</v>
      </c>
      <c r="D192">
        <v>10.8</v>
      </c>
      <c r="F192">
        <v>164</v>
      </c>
      <c r="G192">
        <v>17.351636075492511</v>
      </c>
      <c r="H192">
        <v>0.64836392450748903</v>
      </c>
    </row>
    <row r="193" spans="1:8" x14ac:dyDescent="0.3">
      <c r="A193">
        <v>75.5</v>
      </c>
      <c r="B193">
        <v>10.8</v>
      </c>
      <c r="C193">
        <v>6</v>
      </c>
      <c r="D193">
        <v>9.9</v>
      </c>
      <c r="F193">
        <v>165</v>
      </c>
      <c r="G193">
        <v>11.068294603100242</v>
      </c>
      <c r="H193">
        <v>0.83170539689975875</v>
      </c>
    </row>
    <row r="194" spans="1:8" x14ac:dyDescent="0.3">
      <c r="A194">
        <v>17.2</v>
      </c>
      <c r="B194">
        <v>4.0999999999999996</v>
      </c>
      <c r="C194">
        <v>31.6</v>
      </c>
      <c r="D194">
        <v>5.9</v>
      </c>
      <c r="F194">
        <v>166</v>
      </c>
      <c r="G194">
        <v>14.223721376270053</v>
      </c>
      <c r="H194">
        <v>-2.3237213762700524</v>
      </c>
    </row>
    <row r="195" spans="1:8" x14ac:dyDescent="0.3">
      <c r="A195">
        <v>166.8</v>
      </c>
      <c r="B195">
        <v>42</v>
      </c>
      <c r="C195">
        <v>3.6</v>
      </c>
      <c r="D195">
        <v>19.600000000000001</v>
      </c>
      <c r="F195">
        <v>167</v>
      </c>
      <c r="G195">
        <v>10.824395309518028</v>
      </c>
      <c r="H195">
        <v>-2.8243953095180281</v>
      </c>
    </row>
    <row r="196" spans="1:8" x14ac:dyDescent="0.3">
      <c r="A196">
        <v>149.69999999999999</v>
      </c>
      <c r="B196">
        <v>35.6</v>
      </c>
      <c r="C196">
        <v>6</v>
      </c>
      <c r="D196">
        <v>17.3</v>
      </c>
      <c r="F196">
        <v>168</v>
      </c>
      <c r="G196">
        <v>13.363246772586256</v>
      </c>
      <c r="H196">
        <v>-1.1632467725862572</v>
      </c>
    </row>
    <row r="197" spans="1:8" x14ac:dyDescent="0.3">
      <c r="A197">
        <v>38.200000000000003</v>
      </c>
      <c r="B197">
        <v>3.7</v>
      </c>
      <c r="C197">
        <v>13.8</v>
      </c>
      <c r="D197">
        <v>7.6</v>
      </c>
      <c r="F197">
        <v>169</v>
      </c>
      <c r="G197">
        <v>17.186142800575041</v>
      </c>
      <c r="H197">
        <v>-8.6142800575039757E-2</v>
      </c>
    </row>
    <row r="198" spans="1:8" x14ac:dyDescent="0.3">
      <c r="A198">
        <v>94.2</v>
      </c>
      <c r="B198">
        <v>4.9000000000000004</v>
      </c>
      <c r="C198">
        <v>8.1</v>
      </c>
      <c r="D198">
        <v>9.6999999999999993</v>
      </c>
      <c r="F198">
        <v>170</v>
      </c>
      <c r="G198">
        <v>17.941556296290063</v>
      </c>
      <c r="H198">
        <v>-2.941556296290063</v>
      </c>
    </row>
    <row r="199" spans="1:8" x14ac:dyDescent="0.3">
      <c r="A199">
        <v>177</v>
      </c>
      <c r="B199">
        <v>9.3000000000000007</v>
      </c>
      <c r="C199">
        <v>6.4</v>
      </c>
      <c r="D199">
        <v>12.8</v>
      </c>
      <c r="F199">
        <v>171</v>
      </c>
      <c r="G199">
        <v>7.3949799664989024</v>
      </c>
      <c r="H199">
        <v>1.0050200335010979</v>
      </c>
    </row>
    <row r="200" spans="1:8" x14ac:dyDescent="0.3">
      <c r="A200">
        <v>283.60000000000002</v>
      </c>
      <c r="B200">
        <v>42</v>
      </c>
      <c r="C200">
        <v>66.2</v>
      </c>
      <c r="D200">
        <v>25.5</v>
      </c>
      <c r="F200">
        <v>172</v>
      </c>
      <c r="G200">
        <v>14.358273730249413</v>
      </c>
      <c r="H200">
        <v>0.14172626975058655</v>
      </c>
    </row>
    <row r="201" spans="1:8" x14ac:dyDescent="0.3">
      <c r="A201">
        <v>232.1</v>
      </c>
      <c r="B201">
        <v>8.6</v>
      </c>
      <c r="C201">
        <v>8.6999999999999993</v>
      </c>
      <c r="D201">
        <v>13.4</v>
      </c>
      <c r="F201">
        <v>173</v>
      </c>
      <c r="G201">
        <v>7.6076923787190207</v>
      </c>
      <c r="H201">
        <v>-7.6923787190210646E-3</v>
      </c>
    </row>
    <row r="202" spans="1:8" x14ac:dyDescent="0.3">
      <c r="A202">
        <f>AVERAGE(A2:A201)</f>
        <v>147.04249999999999</v>
      </c>
      <c r="F202">
        <v>174</v>
      </c>
      <c r="G202">
        <v>11.970938873323922</v>
      </c>
      <c r="H202">
        <v>-0.27093887332392264</v>
      </c>
    </row>
    <row r="203" spans="1:8" x14ac:dyDescent="0.3">
      <c r="F203">
        <v>175</v>
      </c>
      <c r="G203">
        <v>13.744357417405292</v>
      </c>
      <c r="H203">
        <v>-2.2443574174052916</v>
      </c>
    </row>
    <row r="204" spans="1:8" x14ac:dyDescent="0.3">
      <c r="F204">
        <v>176</v>
      </c>
      <c r="G204">
        <v>24.786870314183684</v>
      </c>
      <c r="H204">
        <v>2.2131296858163161</v>
      </c>
    </row>
    <row r="205" spans="1:8" x14ac:dyDescent="0.3">
      <c r="F205">
        <v>177</v>
      </c>
      <c r="G205">
        <v>19.979372702747675</v>
      </c>
      <c r="H205">
        <v>0.22062729725232444</v>
      </c>
    </row>
    <row r="206" spans="1:8" x14ac:dyDescent="0.3">
      <c r="F206">
        <v>178</v>
      </c>
      <c r="G206">
        <v>12.16204640283491</v>
      </c>
      <c r="H206">
        <v>-0.46204640283491116</v>
      </c>
    </row>
    <row r="207" spans="1:8" x14ac:dyDescent="0.3">
      <c r="F207">
        <v>179</v>
      </c>
      <c r="G207">
        <v>16.010997220773103</v>
      </c>
      <c r="H207">
        <v>-4.2109972207731019</v>
      </c>
    </row>
    <row r="208" spans="1:8" x14ac:dyDescent="0.3">
      <c r="F208">
        <v>180</v>
      </c>
      <c r="G208">
        <v>12.384554948507715</v>
      </c>
      <c r="H208">
        <v>0.21544505149228499</v>
      </c>
    </row>
    <row r="209" spans="6:8" x14ac:dyDescent="0.3">
      <c r="F209">
        <v>181</v>
      </c>
      <c r="G209">
        <v>10.587199699509453</v>
      </c>
      <c r="H209">
        <v>-8.7199699509453055E-2</v>
      </c>
    </row>
    <row r="210" spans="6:8" x14ac:dyDescent="0.3">
      <c r="F210">
        <v>182</v>
      </c>
      <c r="G210">
        <v>13.928099183458238</v>
      </c>
      <c r="H210">
        <v>-1.7280991834582391</v>
      </c>
    </row>
    <row r="211" spans="6:8" x14ac:dyDescent="0.3">
      <c r="F211">
        <v>183</v>
      </c>
      <c r="G211">
        <v>6.5546699971249796</v>
      </c>
      <c r="H211">
        <v>2.1453300028750197</v>
      </c>
    </row>
    <row r="212" spans="6:8" x14ac:dyDescent="0.3">
      <c r="F212">
        <v>184</v>
      </c>
      <c r="G212">
        <v>24.133100129464747</v>
      </c>
      <c r="H212">
        <v>2.0668998705352521</v>
      </c>
    </row>
    <row r="213" spans="6:8" x14ac:dyDescent="0.3">
      <c r="F213">
        <v>185</v>
      </c>
      <c r="G213">
        <v>18.538520955122785</v>
      </c>
      <c r="H213">
        <v>-0.93852095512278311</v>
      </c>
    </row>
    <row r="214" spans="6:8" x14ac:dyDescent="0.3">
      <c r="F214">
        <v>186</v>
      </c>
      <c r="G214">
        <v>20.803010587194397</v>
      </c>
      <c r="H214">
        <v>1.7969894128056048</v>
      </c>
    </row>
    <row r="215" spans="6:8" x14ac:dyDescent="0.3">
      <c r="F215">
        <v>187</v>
      </c>
      <c r="G215">
        <v>9.6913731310857365</v>
      </c>
      <c r="H215">
        <v>0.60862686891426421</v>
      </c>
    </row>
    <row r="216" spans="6:8" x14ac:dyDescent="0.3">
      <c r="F216">
        <v>188</v>
      </c>
      <c r="G216">
        <v>17.076442228165288</v>
      </c>
      <c r="H216">
        <v>0.22355777183471304</v>
      </c>
    </row>
    <row r="217" spans="6:8" x14ac:dyDescent="0.3">
      <c r="F217">
        <v>189</v>
      </c>
      <c r="G217">
        <v>18.644306480608996</v>
      </c>
      <c r="H217">
        <v>-2.7443064806089961</v>
      </c>
    </row>
    <row r="218" spans="6:8" x14ac:dyDescent="0.3">
      <c r="F218">
        <v>190</v>
      </c>
      <c r="G218">
        <v>6.051624106991679</v>
      </c>
      <c r="H218">
        <v>0.64837589300832121</v>
      </c>
    </row>
    <row r="219" spans="6:8" x14ac:dyDescent="0.3">
      <c r="F219">
        <v>191</v>
      </c>
      <c r="G219">
        <v>12.489159100639457</v>
      </c>
      <c r="H219">
        <v>-1.689159100639456</v>
      </c>
    </row>
    <row r="220" spans="6:8" x14ac:dyDescent="0.3">
      <c r="F220">
        <v>192</v>
      </c>
      <c r="G220">
        <v>8.4240193258036822</v>
      </c>
      <c r="H220">
        <v>1.4759806741963182</v>
      </c>
    </row>
    <row r="221" spans="6:8" x14ac:dyDescent="0.3">
      <c r="F221">
        <v>193</v>
      </c>
      <c r="G221">
        <v>4.4662295605146429</v>
      </c>
      <c r="H221">
        <v>1.4337704394853574</v>
      </c>
    </row>
    <row r="222" spans="6:8" x14ac:dyDescent="0.3">
      <c r="F222">
        <v>194</v>
      </c>
      <c r="G222">
        <v>18.486957967031397</v>
      </c>
      <c r="H222">
        <v>1.1130420329686039</v>
      </c>
    </row>
    <row r="223" spans="6:8" x14ac:dyDescent="0.3">
      <c r="F223">
        <v>195</v>
      </c>
      <c r="G223">
        <v>16.495300438165646</v>
      </c>
      <c r="H223">
        <v>0.80469956183435443</v>
      </c>
    </row>
    <row r="224" spans="6:8" x14ac:dyDescent="0.3">
      <c r="F224">
        <v>196</v>
      </c>
      <c r="G224">
        <v>5.3703424844667875</v>
      </c>
      <c r="H224">
        <v>2.2296575155332121</v>
      </c>
    </row>
    <row r="225" spans="6:8" x14ac:dyDescent="0.3">
      <c r="F225">
        <v>197</v>
      </c>
      <c r="G225">
        <v>8.1653123606130116</v>
      </c>
      <c r="H225">
        <v>1.5346876393869877</v>
      </c>
    </row>
    <row r="226" spans="6:8" x14ac:dyDescent="0.3">
      <c r="F226">
        <v>198</v>
      </c>
      <c r="G226">
        <v>12.785920816932238</v>
      </c>
      <c r="H226">
        <v>1.4079183067762457E-2</v>
      </c>
    </row>
    <row r="227" spans="6:8" x14ac:dyDescent="0.3">
      <c r="F227">
        <v>199</v>
      </c>
      <c r="G227">
        <v>23.767321491762818</v>
      </c>
      <c r="H227">
        <v>1.7326785082371821</v>
      </c>
    </row>
    <row r="228" spans="6:8" ht="15" thickBot="1" x14ac:dyDescent="0.35">
      <c r="F228" s="1">
        <v>200</v>
      </c>
      <c r="G228" s="1">
        <v>15.173195535684206</v>
      </c>
      <c r="H228" s="1">
        <v>-1.7731955356842057</v>
      </c>
    </row>
  </sheetData>
  <hyperlinks>
    <hyperlink ref="G10" r:id="rId1" xr:uid="{74447DA3-27D9-4078-871D-E99E46DE6EA5}"/>
  </hyperlinks>
  <pageMargins left="0.7" right="0.7" top="0.75" bottom="0.75" header="0.3" footer="0.3"/>
  <pageSetup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BF319-C3BA-405D-977F-E48594088553}">
  <dimension ref="A1:M888"/>
  <sheetViews>
    <sheetView workbookViewId="0">
      <selection activeCell="C1" sqref="C1:C1048576"/>
    </sheetView>
  </sheetViews>
  <sheetFormatPr defaultRowHeight="14.4" x14ac:dyDescent="0.3"/>
  <sheetData>
    <row r="1" spans="1:13" x14ac:dyDescent="0.3">
      <c r="A1" t="s">
        <v>4</v>
      </c>
      <c r="B1" t="s">
        <v>5</v>
      </c>
      <c r="C1" t="s">
        <v>6</v>
      </c>
      <c r="D1" t="s">
        <v>7</v>
      </c>
      <c r="E1" t="s">
        <v>8</v>
      </c>
      <c r="F1" t="s">
        <v>9</v>
      </c>
      <c r="G1" t="s">
        <v>10</v>
      </c>
      <c r="H1" t="s">
        <v>11</v>
      </c>
      <c r="I1" t="s">
        <v>12</v>
      </c>
      <c r="M1" s="7" t="s">
        <v>939</v>
      </c>
    </row>
    <row r="2" spans="1:13" x14ac:dyDescent="0.3">
      <c r="A2">
        <v>1</v>
      </c>
      <c r="B2">
        <v>0</v>
      </c>
      <c r="C2" t="s">
        <v>13</v>
      </c>
      <c r="D2" t="s">
        <v>14</v>
      </c>
      <c r="E2">
        <v>22</v>
      </c>
      <c r="F2">
        <v>1</v>
      </c>
      <c r="G2">
        <v>0</v>
      </c>
      <c r="H2">
        <v>3</v>
      </c>
      <c r="I2">
        <v>7.25</v>
      </c>
      <c r="M2" s="7" t="s">
        <v>954</v>
      </c>
    </row>
    <row r="3" spans="1:13" x14ac:dyDescent="0.3">
      <c r="A3">
        <v>2</v>
      </c>
      <c r="B3">
        <v>1</v>
      </c>
      <c r="C3" t="s">
        <v>15</v>
      </c>
      <c r="D3" t="s">
        <v>16</v>
      </c>
      <c r="E3">
        <v>38</v>
      </c>
      <c r="F3">
        <v>1</v>
      </c>
      <c r="G3">
        <v>0</v>
      </c>
      <c r="H3">
        <v>1</v>
      </c>
      <c r="I3">
        <v>71.283299999999997</v>
      </c>
      <c r="M3" s="7" t="s">
        <v>955</v>
      </c>
    </row>
    <row r="4" spans="1:13" x14ac:dyDescent="0.3">
      <c r="A4">
        <v>3</v>
      </c>
      <c r="B4">
        <v>1</v>
      </c>
      <c r="C4" t="s">
        <v>17</v>
      </c>
      <c r="D4" t="s">
        <v>16</v>
      </c>
      <c r="E4">
        <v>26</v>
      </c>
      <c r="F4">
        <v>0</v>
      </c>
      <c r="G4">
        <v>0</v>
      </c>
      <c r="H4">
        <v>3</v>
      </c>
      <c r="I4">
        <v>7.9249999999999998</v>
      </c>
    </row>
    <row r="5" spans="1:13" x14ac:dyDescent="0.3">
      <c r="A5">
        <v>4</v>
      </c>
      <c r="B5">
        <v>1</v>
      </c>
      <c r="C5" t="s">
        <v>18</v>
      </c>
      <c r="D5" t="s">
        <v>16</v>
      </c>
      <c r="E5">
        <v>35</v>
      </c>
      <c r="F5">
        <v>1</v>
      </c>
      <c r="G5">
        <v>0</v>
      </c>
      <c r="H5">
        <v>1</v>
      </c>
      <c r="I5">
        <v>53.1</v>
      </c>
    </row>
    <row r="6" spans="1:13" x14ac:dyDescent="0.3">
      <c r="A6">
        <v>5</v>
      </c>
      <c r="B6">
        <v>0</v>
      </c>
      <c r="C6" t="s">
        <v>19</v>
      </c>
      <c r="D6" t="s">
        <v>14</v>
      </c>
      <c r="E6">
        <v>35</v>
      </c>
      <c r="F6">
        <v>0</v>
      </c>
      <c r="G6">
        <v>0</v>
      </c>
      <c r="H6">
        <v>3</v>
      </c>
      <c r="I6">
        <v>8.0500000000000007</v>
      </c>
    </row>
    <row r="7" spans="1:13" x14ac:dyDescent="0.3">
      <c r="A7">
        <v>6</v>
      </c>
      <c r="B7">
        <v>0</v>
      </c>
      <c r="C7" t="s">
        <v>20</v>
      </c>
      <c r="D7" t="s">
        <v>14</v>
      </c>
      <c r="E7">
        <v>27</v>
      </c>
      <c r="F7">
        <v>0</v>
      </c>
      <c r="G7">
        <v>0</v>
      </c>
      <c r="H7">
        <v>3</v>
      </c>
      <c r="I7">
        <v>8.4582999999999995</v>
      </c>
    </row>
    <row r="8" spans="1:13" x14ac:dyDescent="0.3">
      <c r="A8">
        <v>7</v>
      </c>
      <c r="B8">
        <v>0</v>
      </c>
      <c r="C8" t="s">
        <v>21</v>
      </c>
      <c r="D8" t="s">
        <v>14</v>
      </c>
      <c r="E8">
        <v>54</v>
      </c>
      <c r="F8">
        <v>0</v>
      </c>
      <c r="G8">
        <v>0</v>
      </c>
      <c r="H8">
        <v>1</v>
      </c>
      <c r="I8">
        <v>51.862499999999997</v>
      </c>
    </row>
    <row r="9" spans="1:13" x14ac:dyDescent="0.3">
      <c r="A9">
        <v>8</v>
      </c>
      <c r="B9">
        <v>0</v>
      </c>
      <c r="C9" t="s">
        <v>22</v>
      </c>
      <c r="D9" t="s">
        <v>14</v>
      </c>
      <c r="E9">
        <v>2</v>
      </c>
      <c r="F9">
        <v>3</v>
      </c>
      <c r="G9">
        <v>1</v>
      </c>
      <c r="H9">
        <v>3</v>
      </c>
      <c r="I9">
        <v>21.074999999999999</v>
      </c>
    </row>
    <row r="10" spans="1:13" x14ac:dyDescent="0.3">
      <c r="A10">
        <v>9</v>
      </c>
      <c r="B10">
        <v>1</v>
      </c>
      <c r="C10" t="s">
        <v>23</v>
      </c>
      <c r="D10" t="s">
        <v>16</v>
      </c>
      <c r="E10">
        <v>27</v>
      </c>
      <c r="F10">
        <v>0</v>
      </c>
      <c r="G10">
        <v>2</v>
      </c>
      <c r="H10">
        <v>3</v>
      </c>
      <c r="I10">
        <v>11.1333</v>
      </c>
    </row>
    <row r="11" spans="1:13" x14ac:dyDescent="0.3">
      <c r="A11">
        <v>10</v>
      </c>
      <c r="B11">
        <v>1</v>
      </c>
      <c r="C11" t="s">
        <v>24</v>
      </c>
      <c r="D11" t="s">
        <v>16</v>
      </c>
      <c r="E11">
        <v>14</v>
      </c>
      <c r="F11">
        <v>1</v>
      </c>
      <c r="G11">
        <v>0</v>
      </c>
      <c r="H11">
        <v>2</v>
      </c>
      <c r="I11">
        <v>30.070799999999998</v>
      </c>
    </row>
    <row r="12" spans="1:13" x14ac:dyDescent="0.3">
      <c r="A12">
        <v>11</v>
      </c>
      <c r="B12">
        <v>1</v>
      </c>
      <c r="C12" t="s">
        <v>25</v>
      </c>
      <c r="D12" t="s">
        <v>16</v>
      </c>
      <c r="E12">
        <v>4</v>
      </c>
      <c r="F12">
        <v>1</v>
      </c>
      <c r="G12">
        <v>1</v>
      </c>
      <c r="H12">
        <v>3</v>
      </c>
      <c r="I12">
        <v>16.7</v>
      </c>
    </row>
    <row r="13" spans="1:13" x14ac:dyDescent="0.3">
      <c r="A13">
        <v>12</v>
      </c>
      <c r="B13">
        <v>1</v>
      </c>
      <c r="C13" t="s">
        <v>26</v>
      </c>
      <c r="D13" t="s">
        <v>16</v>
      </c>
      <c r="E13">
        <v>58</v>
      </c>
      <c r="F13">
        <v>0</v>
      </c>
      <c r="G13">
        <v>0</v>
      </c>
      <c r="H13">
        <v>1</v>
      </c>
      <c r="I13">
        <v>26.55</v>
      </c>
    </row>
    <row r="14" spans="1:13" x14ac:dyDescent="0.3">
      <c r="A14">
        <v>13</v>
      </c>
      <c r="B14">
        <v>0</v>
      </c>
      <c r="C14" t="s">
        <v>27</v>
      </c>
      <c r="D14" t="s">
        <v>14</v>
      </c>
      <c r="E14">
        <v>20</v>
      </c>
      <c r="F14">
        <v>0</v>
      </c>
      <c r="G14">
        <v>0</v>
      </c>
      <c r="H14">
        <v>3</v>
      </c>
      <c r="I14">
        <v>8.0500000000000007</v>
      </c>
    </row>
    <row r="15" spans="1:13" x14ac:dyDescent="0.3">
      <c r="A15">
        <v>14</v>
      </c>
      <c r="B15">
        <v>0</v>
      </c>
      <c r="C15" t="s">
        <v>28</v>
      </c>
      <c r="D15" t="s">
        <v>14</v>
      </c>
      <c r="E15">
        <v>39</v>
      </c>
      <c r="F15">
        <v>1</v>
      </c>
      <c r="G15">
        <v>5</v>
      </c>
      <c r="H15">
        <v>3</v>
      </c>
      <c r="I15">
        <v>31.274999999999999</v>
      </c>
    </row>
    <row r="16" spans="1:13" x14ac:dyDescent="0.3">
      <c r="A16">
        <v>15</v>
      </c>
      <c r="B16">
        <v>0</v>
      </c>
      <c r="C16" t="s">
        <v>29</v>
      </c>
      <c r="D16" t="s">
        <v>16</v>
      </c>
      <c r="E16">
        <v>14</v>
      </c>
      <c r="F16">
        <v>0</v>
      </c>
      <c r="G16">
        <v>0</v>
      </c>
      <c r="H16">
        <v>3</v>
      </c>
      <c r="I16">
        <v>7.8541999999999996</v>
      </c>
    </row>
    <row r="17" spans="1:9" x14ac:dyDescent="0.3">
      <c r="A17">
        <v>16</v>
      </c>
      <c r="B17">
        <v>1</v>
      </c>
      <c r="C17" t="s">
        <v>30</v>
      </c>
      <c r="D17" t="s">
        <v>16</v>
      </c>
      <c r="E17">
        <v>55</v>
      </c>
      <c r="F17">
        <v>0</v>
      </c>
      <c r="G17">
        <v>0</v>
      </c>
      <c r="H17">
        <v>2</v>
      </c>
      <c r="I17">
        <v>16</v>
      </c>
    </row>
    <row r="18" spans="1:9" x14ac:dyDescent="0.3">
      <c r="A18">
        <v>17</v>
      </c>
      <c r="B18">
        <v>0</v>
      </c>
      <c r="C18" t="s">
        <v>31</v>
      </c>
      <c r="D18" t="s">
        <v>14</v>
      </c>
      <c r="E18">
        <v>2</v>
      </c>
      <c r="F18">
        <v>4</v>
      </c>
      <c r="G18">
        <v>1</v>
      </c>
      <c r="H18">
        <v>3</v>
      </c>
      <c r="I18">
        <v>29.125</v>
      </c>
    </row>
    <row r="19" spans="1:9" x14ac:dyDescent="0.3">
      <c r="A19">
        <v>18</v>
      </c>
      <c r="B19">
        <v>1</v>
      </c>
      <c r="C19" t="s">
        <v>32</v>
      </c>
      <c r="D19" t="s">
        <v>14</v>
      </c>
      <c r="E19">
        <v>23</v>
      </c>
      <c r="F19">
        <v>0</v>
      </c>
      <c r="G19">
        <v>0</v>
      </c>
      <c r="H19">
        <v>2</v>
      </c>
      <c r="I19">
        <v>13</v>
      </c>
    </row>
    <row r="20" spans="1:9" x14ac:dyDescent="0.3">
      <c r="A20">
        <v>19</v>
      </c>
      <c r="B20">
        <v>0</v>
      </c>
      <c r="C20" t="s">
        <v>33</v>
      </c>
      <c r="D20" t="s">
        <v>16</v>
      </c>
      <c r="E20">
        <v>31</v>
      </c>
      <c r="F20">
        <v>1</v>
      </c>
      <c r="G20">
        <v>0</v>
      </c>
      <c r="H20">
        <v>3</v>
      </c>
      <c r="I20">
        <v>18</v>
      </c>
    </row>
    <row r="21" spans="1:9" x14ac:dyDescent="0.3">
      <c r="A21">
        <v>20</v>
      </c>
      <c r="B21">
        <v>1</v>
      </c>
      <c r="C21" t="s">
        <v>34</v>
      </c>
      <c r="D21" t="s">
        <v>16</v>
      </c>
      <c r="E21">
        <v>22</v>
      </c>
      <c r="F21">
        <v>0</v>
      </c>
      <c r="G21">
        <v>0</v>
      </c>
      <c r="H21">
        <v>3</v>
      </c>
      <c r="I21">
        <v>7.2249999999999996</v>
      </c>
    </row>
    <row r="22" spans="1:9" x14ac:dyDescent="0.3">
      <c r="A22">
        <v>21</v>
      </c>
      <c r="B22">
        <v>0</v>
      </c>
      <c r="C22" t="s">
        <v>35</v>
      </c>
      <c r="D22" t="s">
        <v>14</v>
      </c>
      <c r="E22">
        <v>35</v>
      </c>
      <c r="F22">
        <v>0</v>
      </c>
      <c r="G22">
        <v>0</v>
      </c>
      <c r="H22">
        <v>2</v>
      </c>
      <c r="I22">
        <v>26</v>
      </c>
    </row>
    <row r="23" spans="1:9" x14ac:dyDescent="0.3">
      <c r="A23">
        <v>22</v>
      </c>
      <c r="B23">
        <v>1</v>
      </c>
      <c r="C23" t="s">
        <v>36</v>
      </c>
      <c r="D23" t="s">
        <v>14</v>
      </c>
      <c r="E23">
        <v>34</v>
      </c>
      <c r="F23">
        <v>0</v>
      </c>
      <c r="G23">
        <v>0</v>
      </c>
      <c r="H23">
        <v>2</v>
      </c>
      <c r="I23">
        <v>13</v>
      </c>
    </row>
    <row r="24" spans="1:9" x14ac:dyDescent="0.3">
      <c r="A24">
        <v>23</v>
      </c>
      <c r="B24">
        <v>1</v>
      </c>
      <c r="C24" t="s">
        <v>37</v>
      </c>
      <c r="D24" t="s">
        <v>16</v>
      </c>
      <c r="E24">
        <v>15</v>
      </c>
      <c r="F24">
        <v>0</v>
      </c>
      <c r="G24">
        <v>0</v>
      </c>
      <c r="H24">
        <v>3</v>
      </c>
      <c r="I24">
        <v>8.0291999999999994</v>
      </c>
    </row>
    <row r="25" spans="1:9" x14ac:dyDescent="0.3">
      <c r="A25">
        <v>24</v>
      </c>
      <c r="B25">
        <v>1</v>
      </c>
      <c r="C25" t="s">
        <v>38</v>
      </c>
      <c r="D25" t="s">
        <v>14</v>
      </c>
      <c r="E25">
        <v>28</v>
      </c>
      <c r="F25">
        <v>0</v>
      </c>
      <c r="G25">
        <v>0</v>
      </c>
      <c r="H25">
        <v>1</v>
      </c>
      <c r="I25">
        <v>35.5</v>
      </c>
    </row>
    <row r="26" spans="1:9" x14ac:dyDescent="0.3">
      <c r="A26">
        <v>25</v>
      </c>
      <c r="B26">
        <v>0</v>
      </c>
      <c r="C26" t="s">
        <v>39</v>
      </c>
      <c r="D26" t="s">
        <v>16</v>
      </c>
      <c r="E26">
        <v>8</v>
      </c>
      <c r="F26">
        <v>3</v>
      </c>
      <c r="G26">
        <v>1</v>
      </c>
      <c r="H26">
        <v>3</v>
      </c>
      <c r="I26">
        <v>21.074999999999999</v>
      </c>
    </row>
    <row r="27" spans="1:9" x14ac:dyDescent="0.3">
      <c r="A27">
        <v>26</v>
      </c>
      <c r="B27">
        <v>1</v>
      </c>
      <c r="C27" t="s">
        <v>40</v>
      </c>
      <c r="D27" t="s">
        <v>16</v>
      </c>
      <c r="E27">
        <v>38</v>
      </c>
      <c r="F27">
        <v>1</v>
      </c>
      <c r="G27">
        <v>5</v>
      </c>
      <c r="H27">
        <v>3</v>
      </c>
      <c r="I27">
        <v>31.387499999999999</v>
      </c>
    </row>
    <row r="28" spans="1:9" x14ac:dyDescent="0.3">
      <c r="A28">
        <v>27</v>
      </c>
      <c r="B28">
        <v>0</v>
      </c>
      <c r="C28" t="s">
        <v>41</v>
      </c>
      <c r="D28" t="s">
        <v>14</v>
      </c>
      <c r="E28">
        <v>26</v>
      </c>
      <c r="F28">
        <v>0</v>
      </c>
      <c r="G28">
        <v>0</v>
      </c>
      <c r="H28">
        <v>3</v>
      </c>
      <c r="I28">
        <v>7.2249999999999996</v>
      </c>
    </row>
    <row r="29" spans="1:9" x14ac:dyDescent="0.3">
      <c r="A29">
        <v>28</v>
      </c>
      <c r="B29">
        <v>0</v>
      </c>
      <c r="C29" t="s">
        <v>42</v>
      </c>
      <c r="D29" t="s">
        <v>14</v>
      </c>
      <c r="E29">
        <v>19</v>
      </c>
      <c r="F29">
        <v>3</v>
      </c>
      <c r="G29">
        <v>2</v>
      </c>
      <c r="H29">
        <v>1</v>
      </c>
      <c r="I29">
        <v>263</v>
      </c>
    </row>
    <row r="30" spans="1:9" x14ac:dyDescent="0.3">
      <c r="A30">
        <v>29</v>
      </c>
      <c r="B30">
        <v>1</v>
      </c>
      <c r="C30" t="s">
        <v>43</v>
      </c>
      <c r="D30" t="s">
        <v>16</v>
      </c>
      <c r="E30">
        <v>24</v>
      </c>
      <c r="F30">
        <v>0</v>
      </c>
      <c r="G30">
        <v>0</v>
      </c>
      <c r="H30">
        <v>3</v>
      </c>
      <c r="I30">
        <v>7.8792</v>
      </c>
    </row>
    <row r="31" spans="1:9" x14ac:dyDescent="0.3">
      <c r="A31">
        <v>30</v>
      </c>
      <c r="B31">
        <v>0</v>
      </c>
      <c r="C31" t="s">
        <v>44</v>
      </c>
      <c r="D31" t="s">
        <v>14</v>
      </c>
      <c r="E31">
        <v>23</v>
      </c>
      <c r="F31">
        <v>0</v>
      </c>
      <c r="G31">
        <v>0</v>
      </c>
      <c r="H31">
        <v>3</v>
      </c>
      <c r="I31">
        <v>7.8958000000000004</v>
      </c>
    </row>
    <row r="32" spans="1:9" x14ac:dyDescent="0.3">
      <c r="A32">
        <v>31</v>
      </c>
      <c r="B32">
        <v>0</v>
      </c>
      <c r="C32" t="s">
        <v>45</v>
      </c>
      <c r="D32" t="s">
        <v>14</v>
      </c>
      <c r="E32">
        <v>40</v>
      </c>
      <c r="F32">
        <v>0</v>
      </c>
      <c r="G32">
        <v>0</v>
      </c>
      <c r="H32">
        <v>1</v>
      </c>
      <c r="I32">
        <v>27.720800000000001</v>
      </c>
    </row>
    <row r="33" spans="1:9" x14ac:dyDescent="0.3">
      <c r="A33">
        <v>32</v>
      </c>
      <c r="B33">
        <v>1</v>
      </c>
      <c r="C33" t="s">
        <v>46</v>
      </c>
      <c r="D33" t="s">
        <v>16</v>
      </c>
      <c r="E33">
        <v>48</v>
      </c>
      <c r="F33">
        <v>1</v>
      </c>
      <c r="G33">
        <v>0</v>
      </c>
      <c r="H33">
        <v>1</v>
      </c>
      <c r="I33">
        <v>146.52080000000001</v>
      </c>
    </row>
    <row r="34" spans="1:9" x14ac:dyDescent="0.3">
      <c r="A34">
        <v>33</v>
      </c>
      <c r="B34">
        <v>1</v>
      </c>
      <c r="C34" t="s">
        <v>47</v>
      </c>
      <c r="D34" t="s">
        <v>16</v>
      </c>
      <c r="E34">
        <v>18</v>
      </c>
      <c r="F34">
        <v>0</v>
      </c>
      <c r="G34">
        <v>0</v>
      </c>
      <c r="H34">
        <v>3</v>
      </c>
      <c r="I34">
        <v>7.75</v>
      </c>
    </row>
    <row r="35" spans="1:9" x14ac:dyDescent="0.3">
      <c r="A35">
        <v>34</v>
      </c>
      <c r="B35">
        <v>0</v>
      </c>
      <c r="C35" t="s">
        <v>48</v>
      </c>
      <c r="D35" t="s">
        <v>14</v>
      </c>
      <c r="E35">
        <v>66</v>
      </c>
      <c r="F35">
        <v>0</v>
      </c>
      <c r="G35">
        <v>0</v>
      </c>
      <c r="H35">
        <v>2</v>
      </c>
      <c r="I35">
        <v>10.5</v>
      </c>
    </row>
    <row r="36" spans="1:9" x14ac:dyDescent="0.3">
      <c r="A36">
        <v>35</v>
      </c>
      <c r="B36">
        <v>0</v>
      </c>
      <c r="C36" t="s">
        <v>49</v>
      </c>
      <c r="D36" t="s">
        <v>14</v>
      </c>
      <c r="E36">
        <v>28</v>
      </c>
      <c r="F36">
        <v>1</v>
      </c>
      <c r="G36">
        <v>0</v>
      </c>
      <c r="H36">
        <v>1</v>
      </c>
      <c r="I36">
        <v>82.1708</v>
      </c>
    </row>
    <row r="37" spans="1:9" x14ac:dyDescent="0.3">
      <c r="A37">
        <v>36</v>
      </c>
      <c r="B37">
        <v>0</v>
      </c>
      <c r="C37" t="s">
        <v>50</v>
      </c>
      <c r="D37" t="s">
        <v>14</v>
      </c>
      <c r="E37">
        <v>42</v>
      </c>
      <c r="F37">
        <v>1</v>
      </c>
      <c r="G37">
        <v>0</v>
      </c>
      <c r="H37">
        <v>1</v>
      </c>
      <c r="I37">
        <v>52</v>
      </c>
    </row>
    <row r="38" spans="1:9" x14ac:dyDescent="0.3">
      <c r="A38">
        <v>37</v>
      </c>
      <c r="B38">
        <v>1</v>
      </c>
      <c r="C38" t="s">
        <v>51</v>
      </c>
      <c r="D38" t="s">
        <v>14</v>
      </c>
      <c r="E38">
        <v>18</v>
      </c>
      <c r="F38">
        <v>0</v>
      </c>
      <c r="G38">
        <v>0</v>
      </c>
      <c r="H38">
        <v>3</v>
      </c>
      <c r="I38">
        <v>7.2291999999999996</v>
      </c>
    </row>
    <row r="39" spans="1:9" x14ac:dyDescent="0.3">
      <c r="A39">
        <v>38</v>
      </c>
      <c r="B39">
        <v>0</v>
      </c>
      <c r="C39" t="s">
        <v>52</v>
      </c>
      <c r="D39" t="s">
        <v>14</v>
      </c>
      <c r="E39">
        <v>21</v>
      </c>
      <c r="F39">
        <v>0</v>
      </c>
      <c r="G39">
        <v>0</v>
      </c>
      <c r="H39">
        <v>3</v>
      </c>
      <c r="I39">
        <v>8.0500000000000007</v>
      </c>
    </row>
    <row r="40" spans="1:9" x14ac:dyDescent="0.3">
      <c r="A40">
        <v>39</v>
      </c>
      <c r="B40">
        <v>0</v>
      </c>
      <c r="C40" t="s">
        <v>53</v>
      </c>
      <c r="D40" t="s">
        <v>16</v>
      </c>
      <c r="E40">
        <v>18</v>
      </c>
      <c r="F40">
        <v>2</v>
      </c>
      <c r="G40">
        <v>0</v>
      </c>
      <c r="H40">
        <v>3</v>
      </c>
      <c r="I40">
        <v>18</v>
      </c>
    </row>
    <row r="41" spans="1:9" x14ac:dyDescent="0.3">
      <c r="A41">
        <v>40</v>
      </c>
      <c r="B41">
        <v>1</v>
      </c>
      <c r="C41" t="s">
        <v>54</v>
      </c>
      <c r="D41" t="s">
        <v>16</v>
      </c>
      <c r="E41">
        <v>14</v>
      </c>
      <c r="F41">
        <v>1</v>
      </c>
      <c r="G41">
        <v>0</v>
      </c>
      <c r="H41">
        <v>3</v>
      </c>
      <c r="I41">
        <v>11.2417</v>
      </c>
    </row>
    <row r="42" spans="1:9" x14ac:dyDescent="0.3">
      <c r="A42">
        <v>41</v>
      </c>
      <c r="B42">
        <v>0</v>
      </c>
      <c r="C42" t="s">
        <v>55</v>
      </c>
      <c r="D42" t="s">
        <v>16</v>
      </c>
      <c r="E42">
        <v>40</v>
      </c>
      <c r="F42">
        <v>1</v>
      </c>
      <c r="G42">
        <v>0</v>
      </c>
      <c r="H42">
        <v>3</v>
      </c>
      <c r="I42">
        <v>9.4749999999999996</v>
      </c>
    </row>
    <row r="43" spans="1:9" x14ac:dyDescent="0.3">
      <c r="A43">
        <v>42</v>
      </c>
      <c r="B43">
        <v>0</v>
      </c>
      <c r="C43" t="s">
        <v>56</v>
      </c>
      <c r="D43" t="s">
        <v>16</v>
      </c>
      <c r="E43">
        <v>27</v>
      </c>
      <c r="F43">
        <v>1</v>
      </c>
      <c r="G43">
        <v>0</v>
      </c>
      <c r="H43">
        <v>2</v>
      </c>
      <c r="I43">
        <v>21</v>
      </c>
    </row>
    <row r="44" spans="1:9" x14ac:dyDescent="0.3">
      <c r="A44">
        <v>43</v>
      </c>
      <c r="B44">
        <v>1</v>
      </c>
      <c r="C44" t="s">
        <v>57</v>
      </c>
      <c r="D44" t="s">
        <v>16</v>
      </c>
      <c r="E44">
        <v>3</v>
      </c>
      <c r="F44">
        <v>1</v>
      </c>
      <c r="G44">
        <v>2</v>
      </c>
      <c r="H44">
        <v>2</v>
      </c>
      <c r="I44">
        <v>41.5792</v>
      </c>
    </row>
    <row r="45" spans="1:9" x14ac:dyDescent="0.3">
      <c r="A45">
        <v>44</v>
      </c>
      <c r="B45">
        <v>1</v>
      </c>
      <c r="C45" t="s">
        <v>58</v>
      </c>
      <c r="D45" t="s">
        <v>16</v>
      </c>
      <c r="E45">
        <v>19</v>
      </c>
      <c r="F45">
        <v>0</v>
      </c>
      <c r="G45">
        <v>0</v>
      </c>
      <c r="H45">
        <v>3</v>
      </c>
      <c r="I45">
        <v>7.8792</v>
      </c>
    </row>
    <row r="46" spans="1:9" x14ac:dyDescent="0.3">
      <c r="A46">
        <v>45</v>
      </c>
      <c r="B46">
        <v>0</v>
      </c>
      <c r="C46" t="s">
        <v>59</v>
      </c>
      <c r="D46" t="s">
        <v>14</v>
      </c>
      <c r="E46">
        <v>30</v>
      </c>
      <c r="F46">
        <v>0</v>
      </c>
      <c r="G46">
        <v>0</v>
      </c>
      <c r="H46">
        <v>3</v>
      </c>
      <c r="I46">
        <v>8.0500000000000007</v>
      </c>
    </row>
    <row r="47" spans="1:9" x14ac:dyDescent="0.3">
      <c r="A47">
        <v>46</v>
      </c>
      <c r="B47">
        <v>0</v>
      </c>
      <c r="C47" t="s">
        <v>60</v>
      </c>
      <c r="D47" t="s">
        <v>14</v>
      </c>
      <c r="E47">
        <v>20</v>
      </c>
      <c r="F47">
        <v>1</v>
      </c>
      <c r="G47">
        <v>0</v>
      </c>
      <c r="H47">
        <v>3</v>
      </c>
      <c r="I47">
        <v>15.5</v>
      </c>
    </row>
    <row r="48" spans="1:9" x14ac:dyDescent="0.3">
      <c r="A48">
        <v>47</v>
      </c>
      <c r="B48">
        <v>1</v>
      </c>
      <c r="C48" t="s">
        <v>61</v>
      </c>
      <c r="D48" t="s">
        <v>16</v>
      </c>
      <c r="E48">
        <v>27</v>
      </c>
      <c r="F48">
        <v>0</v>
      </c>
      <c r="G48">
        <v>0</v>
      </c>
      <c r="H48">
        <v>3</v>
      </c>
      <c r="I48">
        <v>7.75</v>
      </c>
    </row>
    <row r="49" spans="1:9" x14ac:dyDescent="0.3">
      <c r="A49">
        <v>48</v>
      </c>
      <c r="B49">
        <v>0</v>
      </c>
      <c r="C49" t="s">
        <v>62</v>
      </c>
      <c r="D49" t="s">
        <v>14</v>
      </c>
      <c r="E49">
        <v>16</v>
      </c>
      <c r="F49">
        <v>2</v>
      </c>
      <c r="G49">
        <v>0</v>
      </c>
      <c r="H49">
        <v>3</v>
      </c>
      <c r="I49">
        <v>21.679200000000002</v>
      </c>
    </row>
    <row r="50" spans="1:9" x14ac:dyDescent="0.3">
      <c r="A50">
        <v>49</v>
      </c>
      <c r="B50">
        <v>0</v>
      </c>
      <c r="C50" t="s">
        <v>63</v>
      </c>
      <c r="D50" t="s">
        <v>16</v>
      </c>
      <c r="E50">
        <v>18</v>
      </c>
      <c r="F50">
        <v>1</v>
      </c>
      <c r="G50">
        <v>0</v>
      </c>
      <c r="H50">
        <v>3</v>
      </c>
      <c r="I50">
        <v>17.8</v>
      </c>
    </row>
    <row r="51" spans="1:9" x14ac:dyDescent="0.3">
      <c r="A51">
        <v>50</v>
      </c>
      <c r="B51">
        <v>0</v>
      </c>
      <c r="C51" t="s">
        <v>64</v>
      </c>
      <c r="D51" t="s">
        <v>14</v>
      </c>
      <c r="E51">
        <v>7</v>
      </c>
      <c r="F51">
        <v>4</v>
      </c>
      <c r="G51">
        <v>1</v>
      </c>
      <c r="H51">
        <v>3</v>
      </c>
      <c r="I51">
        <v>39.6875</v>
      </c>
    </row>
    <row r="52" spans="1:9" x14ac:dyDescent="0.3">
      <c r="A52">
        <v>51</v>
      </c>
      <c r="B52">
        <v>0</v>
      </c>
      <c r="C52" t="s">
        <v>65</v>
      </c>
      <c r="D52" t="s">
        <v>14</v>
      </c>
      <c r="E52">
        <v>21</v>
      </c>
      <c r="F52">
        <v>0</v>
      </c>
      <c r="G52">
        <v>0</v>
      </c>
      <c r="H52">
        <v>3</v>
      </c>
      <c r="I52">
        <v>7.8</v>
      </c>
    </row>
    <row r="53" spans="1:9" x14ac:dyDescent="0.3">
      <c r="A53">
        <v>52</v>
      </c>
      <c r="B53">
        <v>1</v>
      </c>
      <c r="C53" t="s">
        <v>66</v>
      </c>
      <c r="D53" t="s">
        <v>16</v>
      </c>
      <c r="E53">
        <v>49</v>
      </c>
      <c r="F53">
        <v>1</v>
      </c>
      <c r="G53">
        <v>0</v>
      </c>
      <c r="H53">
        <v>1</v>
      </c>
      <c r="I53">
        <v>76.729200000000006</v>
      </c>
    </row>
    <row r="54" spans="1:9" x14ac:dyDescent="0.3">
      <c r="A54">
        <v>53</v>
      </c>
      <c r="B54">
        <v>1</v>
      </c>
      <c r="C54" t="s">
        <v>67</v>
      </c>
      <c r="D54" t="s">
        <v>16</v>
      </c>
      <c r="E54">
        <v>29</v>
      </c>
      <c r="F54">
        <v>1</v>
      </c>
      <c r="G54">
        <v>0</v>
      </c>
      <c r="H54">
        <v>2</v>
      </c>
      <c r="I54">
        <v>26</v>
      </c>
    </row>
    <row r="55" spans="1:9" x14ac:dyDescent="0.3">
      <c r="A55">
        <v>54</v>
      </c>
      <c r="B55">
        <v>0</v>
      </c>
      <c r="C55" t="s">
        <v>68</v>
      </c>
      <c r="D55" t="s">
        <v>14</v>
      </c>
      <c r="E55">
        <v>65</v>
      </c>
      <c r="F55">
        <v>0</v>
      </c>
      <c r="G55">
        <v>1</v>
      </c>
      <c r="H55">
        <v>1</v>
      </c>
      <c r="I55">
        <v>61.979199999999999</v>
      </c>
    </row>
    <row r="56" spans="1:9" x14ac:dyDescent="0.3">
      <c r="A56">
        <v>55</v>
      </c>
      <c r="B56">
        <v>1</v>
      </c>
      <c r="C56" t="s">
        <v>69</v>
      </c>
      <c r="D56" t="s">
        <v>14</v>
      </c>
      <c r="E56">
        <v>46</v>
      </c>
      <c r="F56">
        <v>0</v>
      </c>
      <c r="G56">
        <v>0</v>
      </c>
      <c r="H56">
        <v>1</v>
      </c>
      <c r="I56">
        <v>35.5</v>
      </c>
    </row>
    <row r="57" spans="1:9" x14ac:dyDescent="0.3">
      <c r="A57">
        <v>56</v>
      </c>
      <c r="B57">
        <v>1</v>
      </c>
      <c r="C57" t="s">
        <v>70</v>
      </c>
      <c r="D57" t="s">
        <v>16</v>
      </c>
      <c r="E57">
        <v>21</v>
      </c>
      <c r="F57">
        <v>0</v>
      </c>
      <c r="G57">
        <v>0</v>
      </c>
      <c r="H57">
        <v>2</v>
      </c>
      <c r="I57">
        <v>10.5</v>
      </c>
    </row>
    <row r="58" spans="1:9" x14ac:dyDescent="0.3">
      <c r="A58">
        <v>57</v>
      </c>
      <c r="B58">
        <v>0</v>
      </c>
      <c r="C58" t="s">
        <v>71</v>
      </c>
      <c r="D58" t="s">
        <v>14</v>
      </c>
      <c r="E58">
        <v>28.5</v>
      </c>
      <c r="F58">
        <v>0</v>
      </c>
      <c r="G58">
        <v>0</v>
      </c>
      <c r="H58">
        <v>3</v>
      </c>
      <c r="I58">
        <v>7.2291999999999996</v>
      </c>
    </row>
    <row r="59" spans="1:9" x14ac:dyDescent="0.3">
      <c r="A59">
        <v>58</v>
      </c>
      <c r="B59">
        <v>1</v>
      </c>
      <c r="C59" t="s">
        <v>72</v>
      </c>
      <c r="D59" t="s">
        <v>16</v>
      </c>
      <c r="E59">
        <v>5</v>
      </c>
      <c r="F59">
        <v>1</v>
      </c>
      <c r="G59">
        <v>2</v>
      </c>
      <c r="H59">
        <v>2</v>
      </c>
      <c r="I59">
        <v>27.75</v>
      </c>
    </row>
    <row r="60" spans="1:9" x14ac:dyDescent="0.3">
      <c r="A60">
        <v>59</v>
      </c>
      <c r="B60">
        <v>0</v>
      </c>
      <c r="C60" t="s">
        <v>73</v>
      </c>
      <c r="D60" t="s">
        <v>14</v>
      </c>
      <c r="E60">
        <v>11</v>
      </c>
      <c r="F60">
        <v>5</v>
      </c>
      <c r="G60">
        <v>2</v>
      </c>
      <c r="H60">
        <v>3</v>
      </c>
      <c r="I60">
        <v>46.9</v>
      </c>
    </row>
    <row r="61" spans="1:9" x14ac:dyDescent="0.3">
      <c r="A61">
        <v>60</v>
      </c>
      <c r="B61">
        <v>0</v>
      </c>
      <c r="C61" t="s">
        <v>74</v>
      </c>
      <c r="D61" t="s">
        <v>14</v>
      </c>
      <c r="E61">
        <v>22</v>
      </c>
      <c r="F61">
        <v>0</v>
      </c>
      <c r="G61">
        <v>0</v>
      </c>
      <c r="H61">
        <v>3</v>
      </c>
      <c r="I61">
        <v>7.2291999999999996</v>
      </c>
    </row>
    <row r="62" spans="1:9" x14ac:dyDescent="0.3">
      <c r="A62">
        <v>61</v>
      </c>
      <c r="B62">
        <v>1</v>
      </c>
      <c r="C62" t="s">
        <v>75</v>
      </c>
      <c r="D62" t="s">
        <v>16</v>
      </c>
      <c r="E62">
        <v>38</v>
      </c>
      <c r="F62">
        <v>0</v>
      </c>
      <c r="G62">
        <v>0</v>
      </c>
      <c r="H62">
        <v>1</v>
      </c>
      <c r="I62">
        <v>80</v>
      </c>
    </row>
    <row r="63" spans="1:9" x14ac:dyDescent="0.3">
      <c r="A63">
        <v>62</v>
      </c>
      <c r="B63">
        <v>0</v>
      </c>
      <c r="C63" t="s">
        <v>76</v>
      </c>
      <c r="D63" t="s">
        <v>14</v>
      </c>
      <c r="E63">
        <v>45</v>
      </c>
      <c r="F63">
        <v>1</v>
      </c>
      <c r="G63">
        <v>0</v>
      </c>
      <c r="H63">
        <v>1</v>
      </c>
      <c r="I63">
        <v>83.474999999999994</v>
      </c>
    </row>
    <row r="64" spans="1:9" x14ac:dyDescent="0.3">
      <c r="A64">
        <v>63</v>
      </c>
      <c r="B64">
        <v>0</v>
      </c>
      <c r="C64" t="s">
        <v>77</v>
      </c>
      <c r="D64" t="s">
        <v>14</v>
      </c>
      <c r="E64">
        <v>4</v>
      </c>
      <c r="F64">
        <v>3</v>
      </c>
      <c r="G64">
        <v>2</v>
      </c>
      <c r="H64">
        <v>3</v>
      </c>
      <c r="I64">
        <v>27.9</v>
      </c>
    </row>
    <row r="65" spans="1:9" x14ac:dyDescent="0.3">
      <c r="A65">
        <v>64</v>
      </c>
      <c r="B65">
        <v>0</v>
      </c>
      <c r="C65" t="s">
        <v>78</v>
      </c>
      <c r="D65" t="s">
        <v>14</v>
      </c>
      <c r="E65">
        <v>64</v>
      </c>
      <c r="F65">
        <v>0</v>
      </c>
      <c r="G65">
        <v>0</v>
      </c>
      <c r="H65">
        <v>1</v>
      </c>
      <c r="I65">
        <v>27.720800000000001</v>
      </c>
    </row>
    <row r="66" spans="1:9" x14ac:dyDescent="0.3">
      <c r="A66">
        <v>65</v>
      </c>
      <c r="B66">
        <v>1</v>
      </c>
      <c r="C66" t="s">
        <v>79</v>
      </c>
      <c r="D66" t="s">
        <v>14</v>
      </c>
      <c r="E66">
        <v>7</v>
      </c>
      <c r="F66">
        <v>1</v>
      </c>
      <c r="G66">
        <v>1</v>
      </c>
      <c r="H66">
        <v>3</v>
      </c>
      <c r="I66">
        <v>15.245799999999999</v>
      </c>
    </row>
    <row r="67" spans="1:9" x14ac:dyDescent="0.3">
      <c r="A67">
        <v>66</v>
      </c>
      <c r="B67">
        <v>1</v>
      </c>
      <c r="C67" t="s">
        <v>80</v>
      </c>
      <c r="D67" t="s">
        <v>16</v>
      </c>
      <c r="E67">
        <v>29</v>
      </c>
      <c r="F67">
        <v>0</v>
      </c>
      <c r="G67">
        <v>0</v>
      </c>
      <c r="H67">
        <v>2</v>
      </c>
      <c r="I67">
        <v>10.5</v>
      </c>
    </row>
    <row r="68" spans="1:9" x14ac:dyDescent="0.3">
      <c r="A68">
        <v>67</v>
      </c>
      <c r="B68">
        <v>0</v>
      </c>
      <c r="C68" t="s">
        <v>81</v>
      </c>
      <c r="D68" t="s">
        <v>14</v>
      </c>
      <c r="E68">
        <v>19</v>
      </c>
      <c r="F68">
        <v>0</v>
      </c>
      <c r="G68">
        <v>0</v>
      </c>
      <c r="H68">
        <v>3</v>
      </c>
      <c r="I68">
        <v>8.1583000000000006</v>
      </c>
    </row>
    <row r="69" spans="1:9" x14ac:dyDescent="0.3">
      <c r="A69">
        <v>68</v>
      </c>
      <c r="B69">
        <v>1</v>
      </c>
      <c r="C69" t="s">
        <v>82</v>
      </c>
      <c r="D69" t="s">
        <v>16</v>
      </c>
      <c r="E69">
        <v>17</v>
      </c>
      <c r="F69">
        <v>4</v>
      </c>
      <c r="G69">
        <v>2</v>
      </c>
      <c r="H69">
        <v>3</v>
      </c>
      <c r="I69">
        <v>7.9249999999999998</v>
      </c>
    </row>
    <row r="70" spans="1:9" x14ac:dyDescent="0.3">
      <c r="A70">
        <v>69</v>
      </c>
      <c r="B70">
        <v>0</v>
      </c>
      <c r="C70" t="s">
        <v>83</v>
      </c>
      <c r="D70" t="s">
        <v>14</v>
      </c>
      <c r="E70">
        <v>26</v>
      </c>
      <c r="F70">
        <v>2</v>
      </c>
      <c r="G70">
        <v>0</v>
      </c>
      <c r="H70">
        <v>3</v>
      </c>
      <c r="I70">
        <v>8.6624999999999996</v>
      </c>
    </row>
    <row r="71" spans="1:9" x14ac:dyDescent="0.3">
      <c r="A71">
        <v>70</v>
      </c>
      <c r="B71">
        <v>0</v>
      </c>
      <c r="C71" t="s">
        <v>84</v>
      </c>
      <c r="D71" t="s">
        <v>14</v>
      </c>
      <c r="E71">
        <v>32</v>
      </c>
      <c r="F71">
        <v>0</v>
      </c>
      <c r="G71">
        <v>0</v>
      </c>
      <c r="H71">
        <v>2</v>
      </c>
      <c r="I71">
        <v>10.5</v>
      </c>
    </row>
    <row r="72" spans="1:9" x14ac:dyDescent="0.3">
      <c r="A72">
        <v>71</v>
      </c>
      <c r="B72">
        <v>0</v>
      </c>
      <c r="C72" t="s">
        <v>85</v>
      </c>
      <c r="D72" t="s">
        <v>16</v>
      </c>
      <c r="E72">
        <v>16</v>
      </c>
      <c r="F72">
        <v>5</v>
      </c>
      <c r="G72">
        <v>2</v>
      </c>
      <c r="H72">
        <v>3</v>
      </c>
      <c r="I72">
        <v>46.9</v>
      </c>
    </row>
    <row r="73" spans="1:9" x14ac:dyDescent="0.3">
      <c r="A73">
        <v>72</v>
      </c>
      <c r="B73">
        <v>0</v>
      </c>
      <c r="C73" t="s">
        <v>86</v>
      </c>
      <c r="D73" t="s">
        <v>14</v>
      </c>
      <c r="E73">
        <v>21</v>
      </c>
      <c r="F73">
        <v>0</v>
      </c>
      <c r="G73">
        <v>0</v>
      </c>
      <c r="H73">
        <v>2</v>
      </c>
      <c r="I73">
        <v>73.5</v>
      </c>
    </row>
    <row r="74" spans="1:9" x14ac:dyDescent="0.3">
      <c r="A74">
        <v>73</v>
      </c>
      <c r="B74">
        <v>0</v>
      </c>
      <c r="C74" t="s">
        <v>87</v>
      </c>
      <c r="D74" t="s">
        <v>14</v>
      </c>
      <c r="E74">
        <v>26</v>
      </c>
      <c r="F74">
        <v>1</v>
      </c>
      <c r="G74">
        <v>0</v>
      </c>
      <c r="H74">
        <v>3</v>
      </c>
      <c r="I74">
        <v>14.4542</v>
      </c>
    </row>
    <row r="75" spans="1:9" x14ac:dyDescent="0.3">
      <c r="A75">
        <v>74</v>
      </c>
      <c r="B75">
        <v>1</v>
      </c>
      <c r="C75" t="s">
        <v>88</v>
      </c>
      <c r="D75" t="s">
        <v>14</v>
      </c>
      <c r="E75">
        <v>32</v>
      </c>
      <c r="F75">
        <v>0</v>
      </c>
      <c r="G75">
        <v>0</v>
      </c>
      <c r="H75">
        <v>3</v>
      </c>
      <c r="I75">
        <v>56.495800000000003</v>
      </c>
    </row>
    <row r="76" spans="1:9" x14ac:dyDescent="0.3">
      <c r="A76">
        <v>75</v>
      </c>
      <c r="B76">
        <v>0</v>
      </c>
      <c r="C76" t="s">
        <v>89</v>
      </c>
      <c r="D76" t="s">
        <v>14</v>
      </c>
      <c r="E76">
        <v>25</v>
      </c>
      <c r="F76">
        <v>0</v>
      </c>
      <c r="G76">
        <v>0</v>
      </c>
      <c r="H76">
        <v>3</v>
      </c>
      <c r="I76">
        <v>7.65</v>
      </c>
    </row>
    <row r="77" spans="1:9" x14ac:dyDescent="0.3">
      <c r="A77">
        <v>76</v>
      </c>
      <c r="B77">
        <v>0</v>
      </c>
      <c r="C77" t="s">
        <v>90</v>
      </c>
      <c r="D77" t="s">
        <v>14</v>
      </c>
      <c r="E77">
        <v>23</v>
      </c>
      <c r="F77">
        <v>0</v>
      </c>
      <c r="G77">
        <v>0</v>
      </c>
      <c r="H77">
        <v>3</v>
      </c>
      <c r="I77">
        <v>7.8958000000000004</v>
      </c>
    </row>
    <row r="78" spans="1:9" x14ac:dyDescent="0.3">
      <c r="A78">
        <v>77</v>
      </c>
      <c r="B78">
        <v>0</v>
      </c>
      <c r="C78" t="s">
        <v>91</v>
      </c>
      <c r="D78" t="s">
        <v>14</v>
      </c>
      <c r="E78">
        <v>28</v>
      </c>
      <c r="F78">
        <v>0</v>
      </c>
      <c r="G78">
        <v>0</v>
      </c>
      <c r="H78">
        <v>3</v>
      </c>
      <c r="I78">
        <v>8.0500000000000007</v>
      </c>
    </row>
    <row r="79" spans="1:9" x14ac:dyDescent="0.3">
      <c r="A79">
        <v>78</v>
      </c>
      <c r="B79">
        <v>1</v>
      </c>
      <c r="C79" t="s">
        <v>92</v>
      </c>
      <c r="D79" t="s">
        <v>14</v>
      </c>
      <c r="E79">
        <v>0.83</v>
      </c>
      <c r="F79">
        <v>0</v>
      </c>
      <c r="G79">
        <v>2</v>
      </c>
      <c r="H79">
        <v>2</v>
      </c>
      <c r="I79">
        <v>29</v>
      </c>
    </row>
    <row r="80" spans="1:9" x14ac:dyDescent="0.3">
      <c r="A80">
        <v>79</v>
      </c>
      <c r="B80">
        <v>1</v>
      </c>
      <c r="C80" t="s">
        <v>93</v>
      </c>
      <c r="D80" t="s">
        <v>16</v>
      </c>
      <c r="E80">
        <v>30</v>
      </c>
      <c r="F80">
        <v>0</v>
      </c>
      <c r="G80">
        <v>0</v>
      </c>
      <c r="H80">
        <v>3</v>
      </c>
      <c r="I80">
        <v>12.475</v>
      </c>
    </row>
    <row r="81" spans="1:9" x14ac:dyDescent="0.3">
      <c r="A81">
        <v>80</v>
      </c>
      <c r="B81">
        <v>0</v>
      </c>
      <c r="C81" t="s">
        <v>94</v>
      </c>
      <c r="D81" t="s">
        <v>14</v>
      </c>
      <c r="E81">
        <v>22</v>
      </c>
      <c r="F81">
        <v>0</v>
      </c>
      <c r="G81">
        <v>0</v>
      </c>
      <c r="H81">
        <v>3</v>
      </c>
      <c r="I81">
        <v>9</v>
      </c>
    </row>
    <row r="82" spans="1:9" x14ac:dyDescent="0.3">
      <c r="A82">
        <v>81</v>
      </c>
      <c r="B82">
        <v>1</v>
      </c>
      <c r="C82" t="s">
        <v>95</v>
      </c>
      <c r="D82" t="s">
        <v>14</v>
      </c>
      <c r="E82">
        <v>29</v>
      </c>
      <c r="F82">
        <v>0</v>
      </c>
      <c r="G82">
        <v>0</v>
      </c>
      <c r="H82">
        <v>3</v>
      </c>
      <c r="I82">
        <v>9.5</v>
      </c>
    </row>
    <row r="83" spans="1:9" x14ac:dyDescent="0.3">
      <c r="A83">
        <v>82</v>
      </c>
      <c r="B83">
        <v>1</v>
      </c>
      <c r="C83" t="s">
        <v>96</v>
      </c>
      <c r="D83" t="s">
        <v>16</v>
      </c>
      <c r="E83">
        <v>31</v>
      </c>
      <c r="F83">
        <v>0</v>
      </c>
      <c r="G83">
        <v>0</v>
      </c>
      <c r="H83">
        <v>3</v>
      </c>
      <c r="I83">
        <v>7.7874999999999996</v>
      </c>
    </row>
    <row r="84" spans="1:9" x14ac:dyDescent="0.3">
      <c r="A84">
        <v>83</v>
      </c>
      <c r="B84">
        <v>0</v>
      </c>
      <c r="C84" t="s">
        <v>97</v>
      </c>
      <c r="D84" t="s">
        <v>14</v>
      </c>
      <c r="E84">
        <v>28</v>
      </c>
      <c r="F84">
        <v>0</v>
      </c>
      <c r="G84">
        <v>0</v>
      </c>
      <c r="H84">
        <v>1</v>
      </c>
      <c r="I84">
        <v>47.1</v>
      </c>
    </row>
    <row r="85" spans="1:9" x14ac:dyDescent="0.3">
      <c r="A85">
        <v>84</v>
      </c>
      <c r="B85">
        <v>1</v>
      </c>
      <c r="C85" t="s">
        <v>98</v>
      </c>
      <c r="D85" t="s">
        <v>16</v>
      </c>
      <c r="E85">
        <v>17</v>
      </c>
      <c r="F85">
        <v>0</v>
      </c>
      <c r="G85">
        <v>0</v>
      </c>
      <c r="H85">
        <v>2</v>
      </c>
      <c r="I85">
        <v>10.5</v>
      </c>
    </row>
    <row r="86" spans="1:9" x14ac:dyDescent="0.3">
      <c r="A86">
        <v>85</v>
      </c>
      <c r="B86">
        <v>1</v>
      </c>
      <c r="C86" t="s">
        <v>99</v>
      </c>
      <c r="D86" t="s">
        <v>16</v>
      </c>
      <c r="E86">
        <v>33</v>
      </c>
      <c r="F86">
        <v>3</v>
      </c>
      <c r="G86">
        <v>0</v>
      </c>
      <c r="H86">
        <v>3</v>
      </c>
      <c r="I86">
        <v>15.85</v>
      </c>
    </row>
    <row r="87" spans="1:9" x14ac:dyDescent="0.3">
      <c r="A87">
        <v>86</v>
      </c>
      <c r="B87">
        <v>0</v>
      </c>
      <c r="C87" t="s">
        <v>100</v>
      </c>
      <c r="D87" t="s">
        <v>14</v>
      </c>
      <c r="E87">
        <v>16</v>
      </c>
      <c r="F87">
        <v>1</v>
      </c>
      <c r="G87">
        <v>3</v>
      </c>
      <c r="H87">
        <v>3</v>
      </c>
      <c r="I87">
        <v>34.375</v>
      </c>
    </row>
    <row r="88" spans="1:9" x14ac:dyDescent="0.3">
      <c r="A88">
        <v>87</v>
      </c>
      <c r="B88">
        <v>0</v>
      </c>
      <c r="C88" t="s">
        <v>101</v>
      </c>
      <c r="D88" t="s">
        <v>14</v>
      </c>
      <c r="E88">
        <v>20</v>
      </c>
      <c r="F88">
        <v>0</v>
      </c>
      <c r="G88">
        <v>0</v>
      </c>
      <c r="H88">
        <v>3</v>
      </c>
      <c r="I88">
        <v>8.0500000000000007</v>
      </c>
    </row>
    <row r="89" spans="1:9" x14ac:dyDescent="0.3">
      <c r="A89">
        <v>88</v>
      </c>
      <c r="B89">
        <v>1</v>
      </c>
      <c r="C89" t="s">
        <v>102</v>
      </c>
      <c r="D89" t="s">
        <v>16</v>
      </c>
      <c r="E89">
        <v>23</v>
      </c>
      <c r="F89">
        <v>3</v>
      </c>
      <c r="G89">
        <v>2</v>
      </c>
      <c r="H89">
        <v>1</v>
      </c>
      <c r="I89">
        <v>263</v>
      </c>
    </row>
    <row r="90" spans="1:9" x14ac:dyDescent="0.3">
      <c r="A90">
        <v>89</v>
      </c>
      <c r="B90">
        <v>0</v>
      </c>
      <c r="C90" t="s">
        <v>103</v>
      </c>
      <c r="D90" t="s">
        <v>14</v>
      </c>
      <c r="E90">
        <v>24</v>
      </c>
      <c r="F90">
        <v>0</v>
      </c>
      <c r="G90">
        <v>0</v>
      </c>
      <c r="H90">
        <v>3</v>
      </c>
      <c r="I90">
        <v>8.0500000000000007</v>
      </c>
    </row>
    <row r="91" spans="1:9" x14ac:dyDescent="0.3">
      <c r="A91">
        <v>90</v>
      </c>
      <c r="B91">
        <v>0</v>
      </c>
      <c r="C91" t="s">
        <v>104</v>
      </c>
      <c r="D91" t="s">
        <v>14</v>
      </c>
      <c r="E91">
        <v>29</v>
      </c>
      <c r="F91">
        <v>0</v>
      </c>
      <c r="G91">
        <v>0</v>
      </c>
      <c r="H91">
        <v>3</v>
      </c>
      <c r="I91">
        <v>8.0500000000000007</v>
      </c>
    </row>
    <row r="92" spans="1:9" x14ac:dyDescent="0.3">
      <c r="A92">
        <v>91</v>
      </c>
      <c r="B92">
        <v>0</v>
      </c>
      <c r="C92" t="s">
        <v>105</v>
      </c>
      <c r="D92" t="s">
        <v>14</v>
      </c>
      <c r="E92">
        <v>20</v>
      </c>
      <c r="F92">
        <v>0</v>
      </c>
      <c r="G92">
        <v>0</v>
      </c>
      <c r="H92">
        <v>3</v>
      </c>
      <c r="I92">
        <v>7.8541999999999996</v>
      </c>
    </row>
    <row r="93" spans="1:9" x14ac:dyDescent="0.3">
      <c r="A93">
        <v>92</v>
      </c>
      <c r="B93">
        <v>0</v>
      </c>
      <c r="C93" t="s">
        <v>106</v>
      </c>
      <c r="D93" t="s">
        <v>14</v>
      </c>
      <c r="E93">
        <v>46</v>
      </c>
      <c r="F93">
        <v>1</v>
      </c>
      <c r="G93">
        <v>0</v>
      </c>
      <c r="H93">
        <v>1</v>
      </c>
      <c r="I93">
        <v>61.174999999999997</v>
      </c>
    </row>
    <row r="94" spans="1:9" x14ac:dyDescent="0.3">
      <c r="A94">
        <v>93</v>
      </c>
      <c r="B94">
        <v>0</v>
      </c>
      <c r="C94" t="s">
        <v>107</v>
      </c>
      <c r="D94" t="s">
        <v>14</v>
      </c>
      <c r="E94">
        <v>26</v>
      </c>
      <c r="F94">
        <v>1</v>
      </c>
      <c r="G94">
        <v>2</v>
      </c>
      <c r="H94">
        <v>3</v>
      </c>
      <c r="I94">
        <v>20.574999999999999</v>
      </c>
    </row>
    <row r="95" spans="1:9" x14ac:dyDescent="0.3">
      <c r="A95">
        <v>94</v>
      </c>
      <c r="B95">
        <v>0</v>
      </c>
      <c r="C95" t="s">
        <v>108</v>
      </c>
      <c r="D95" t="s">
        <v>14</v>
      </c>
      <c r="E95">
        <v>59</v>
      </c>
      <c r="F95">
        <v>0</v>
      </c>
      <c r="G95">
        <v>0</v>
      </c>
      <c r="H95">
        <v>3</v>
      </c>
      <c r="I95">
        <v>7.25</v>
      </c>
    </row>
    <row r="96" spans="1:9" x14ac:dyDescent="0.3">
      <c r="A96">
        <v>95</v>
      </c>
      <c r="B96">
        <v>0</v>
      </c>
      <c r="C96" t="s">
        <v>109</v>
      </c>
      <c r="D96" t="s">
        <v>14</v>
      </c>
      <c r="E96">
        <v>22</v>
      </c>
      <c r="F96">
        <v>0</v>
      </c>
      <c r="G96">
        <v>0</v>
      </c>
      <c r="H96">
        <v>3</v>
      </c>
      <c r="I96">
        <v>8.0500000000000007</v>
      </c>
    </row>
    <row r="97" spans="1:9" x14ac:dyDescent="0.3">
      <c r="A97">
        <v>96</v>
      </c>
      <c r="B97">
        <v>0</v>
      </c>
      <c r="C97" t="s">
        <v>110</v>
      </c>
      <c r="D97" t="s">
        <v>14</v>
      </c>
      <c r="E97">
        <v>71</v>
      </c>
      <c r="F97">
        <v>0</v>
      </c>
      <c r="G97">
        <v>0</v>
      </c>
      <c r="H97">
        <v>1</v>
      </c>
      <c r="I97">
        <v>34.654200000000003</v>
      </c>
    </row>
    <row r="98" spans="1:9" x14ac:dyDescent="0.3">
      <c r="A98">
        <v>97</v>
      </c>
      <c r="B98">
        <v>1</v>
      </c>
      <c r="C98" t="s">
        <v>111</v>
      </c>
      <c r="D98" t="s">
        <v>14</v>
      </c>
      <c r="E98">
        <v>23</v>
      </c>
      <c r="F98">
        <v>0</v>
      </c>
      <c r="G98">
        <v>1</v>
      </c>
      <c r="H98">
        <v>1</v>
      </c>
      <c r="I98">
        <v>63.3583</v>
      </c>
    </row>
    <row r="99" spans="1:9" x14ac:dyDescent="0.3">
      <c r="A99">
        <v>98</v>
      </c>
      <c r="B99">
        <v>1</v>
      </c>
      <c r="C99" t="s">
        <v>112</v>
      </c>
      <c r="D99" t="s">
        <v>16</v>
      </c>
      <c r="E99">
        <v>34</v>
      </c>
      <c r="F99">
        <v>0</v>
      </c>
      <c r="G99">
        <v>1</v>
      </c>
      <c r="H99">
        <v>2</v>
      </c>
      <c r="I99">
        <v>23</v>
      </c>
    </row>
    <row r="100" spans="1:9" x14ac:dyDescent="0.3">
      <c r="A100">
        <v>99</v>
      </c>
      <c r="B100">
        <v>0</v>
      </c>
      <c r="C100" t="s">
        <v>113</v>
      </c>
      <c r="D100" t="s">
        <v>14</v>
      </c>
      <c r="E100">
        <v>34</v>
      </c>
      <c r="F100">
        <v>1</v>
      </c>
      <c r="G100">
        <v>0</v>
      </c>
      <c r="H100">
        <v>2</v>
      </c>
      <c r="I100">
        <v>26</v>
      </c>
    </row>
    <row r="101" spans="1:9" x14ac:dyDescent="0.3">
      <c r="A101">
        <v>100</v>
      </c>
      <c r="B101">
        <v>0</v>
      </c>
      <c r="C101" t="s">
        <v>114</v>
      </c>
      <c r="D101" t="s">
        <v>16</v>
      </c>
      <c r="E101">
        <v>28</v>
      </c>
      <c r="F101">
        <v>0</v>
      </c>
      <c r="G101">
        <v>0</v>
      </c>
      <c r="H101">
        <v>3</v>
      </c>
      <c r="I101">
        <v>7.8958000000000004</v>
      </c>
    </row>
    <row r="102" spans="1:9" x14ac:dyDescent="0.3">
      <c r="A102">
        <v>101</v>
      </c>
      <c r="B102">
        <v>0</v>
      </c>
      <c r="C102" t="s">
        <v>115</v>
      </c>
      <c r="D102" t="s">
        <v>14</v>
      </c>
      <c r="E102">
        <v>29</v>
      </c>
      <c r="F102">
        <v>0</v>
      </c>
      <c r="G102">
        <v>0</v>
      </c>
      <c r="H102">
        <v>3</v>
      </c>
      <c r="I102">
        <v>7.8958000000000004</v>
      </c>
    </row>
    <row r="103" spans="1:9" x14ac:dyDescent="0.3">
      <c r="A103">
        <v>102</v>
      </c>
      <c r="B103">
        <v>0</v>
      </c>
      <c r="C103" t="s">
        <v>116</v>
      </c>
      <c r="D103" t="s">
        <v>14</v>
      </c>
      <c r="E103">
        <v>21</v>
      </c>
      <c r="F103">
        <v>0</v>
      </c>
      <c r="G103">
        <v>1</v>
      </c>
      <c r="H103">
        <v>1</v>
      </c>
      <c r="I103">
        <v>77.287499999999994</v>
      </c>
    </row>
    <row r="104" spans="1:9" x14ac:dyDescent="0.3">
      <c r="A104">
        <v>103</v>
      </c>
      <c r="B104">
        <v>0</v>
      </c>
      <c r="C104" t="s">
        <v>117</v>
      </c>
      <c r="D104" t="s">
        <v>14</v>
      </c>
      <c r="E104">
        <v>33</v>
      </c>
      <c r="F104">
        <v>0</v>
      </c>
      <c r="G104">
        <v>0</v>
      </c>
      <c r="H104">
        <v>3</v>
      </c>
      <c r="I104">
        <v>8.6541999999999994</v>
      </c>
    </row>
    <row r="105" spans="1:9" x14ac:dyDescent="0.3">
      <c r="A105">
        <v>104</v>
      </c>
      <c r="B105">
        <v>0</v>
      </c>
      <c r="C105" t="s">
        <v>118</v>
      </c>
      <c r="D105" t="s">
        <v>14</v>
      </c>
      <c r="E105">
        <v>37</v>
      </c>
      <c r="F105">
        <v>2</v>
      </c>
      <c r="G105">
        <v>0</v>
      </c>
      <c r="H105">
        <v>3</v>
      </c>
      <c r="I105">
        <v>7.9249999999999998</v>
      </c>
    </row>
    <row r="106" spans="1:9" x14ac:dyDescent="0.3">
      <c r="A106">
        <v>105</v>
      </c>
      <c r="B106">
        <v>0</v>
      </c>
      <c r="C106" t="s">
        <v>119</v>
      </c>
      <c r="D106" t="s">
        <v>14</v>
      </c>
      <c r="E106">
        <v>28</v>
      </c>
      <c r="F106">
        <v>0</v>
      </c>
      <c r="G106">
        <v>0</v>
      </c>
      <c r="H106">
        <v>3</v>
      </c>
      <c r="I106">
        <v>7.8958000000000004</v>
      </c>
    </row>
    <row r="107" spans="1:9" x14ac:dyDescent="0.3">
      <c r="A107">
        <v>106</v>
      </c>
      <c r="B107">
        <v>1</v>
      </c>
      <c r="C107" t="s">
        <v>120</v>
      </c>
      <c r="D107" t="s">
        <v>16</v>
      </c>
      <c r="E107">
        <v>21</v>
      </c>
      <c r="F107">
        <v>0</v>
      </c>
      <c r="G107">
        <v>0</v>
      </c>
      <c r="H107">
        <v>3</v>
      </c>
      <c r="I107">
        <v>7.65</v>
      </c>
    </row>
    <row r="108" spans="1:9" x14ac:dyDescent="0.3">
      <c r="A108">
        <v>107</v>
      </c>
      <c r="B108">
        <v>1</v>
      </c>
      <c r="C108" t="s">
        <v>121</v>
      </c>
      <c r="D108" t="s">
        <v>14</v>
      </c>
      <c r="E108">
        <v>29</v>
      </c>
      <c r="F108">
        <v>0</v>
      </c>
      <c r="G108">
        <v>0</v>
      </c>
      <c r="H108">
        <v>3</v>
      </c>
      <c r="I108">
        <v>7.7750000000000004</v>
      </c>
    </row>
    <row r="109" spans="1:9" x14ac:dyDescent="0.3">
      <c r="A109">
        <v>108</v>
      </c>
      <c r="B109">
        <v>0</v>
      </c>
      <c r="C109" t="s">
        <v>122</v>
      </c>
      <c r="D109" t="s">
        <v>14</v>
      </c>
      <c r="E109">
        <v>38</v>
      </c>
      <c r="F109">
        <v>0</v>
      </c>
      <c r="G109">
        <v>0</v>
      </c>
      <c r="H109">
        <v>3</v>
      </c>
      <c r="I109">
        <v>7.8958000000000004</v>
      </c>
    </row>
    <row r="110" spans="1:9" x14ac:dyDescent="0.3">
      <c r="A110">
        <v>109</v>
      </c>
      <c r="B110">
        <v>1</v>
      </c>
      <c r="C110" t="s">
        <v>123</v>
      </c>
      <c r="D110" t="s">
        <v>16</v>
      </c>
      <c r="E110">
        <v>28</v>
      </c>
      <c r="F110">
        <v>1</v>
      </c>
      <c r="G110">
        <v>0</v>
      </c>
      <c r="H110">
        <v>3</v>
      </c>
      <c r="I110">
        <v>24.15</v>
      </c>
    </row>
    <row r="111" spans="1:9" x14ac:dyDescent="0.3">
      <c r="A111">
        <v>110</v>
      </c>
      <c r="B111">
        <v>0</v>
      </c>
      <c r="C111" t="s">
        <v>124</v>
      </c>
      <c r="D111" t="s">
        <v>14</v>
      </c>
      <c r="E111">
        <v>47</v>
      </c>
      <c r="F111">
        <v>0</v>
      </c>
      <c r="G111">
        <v>0</v>
      </c>
      <c r="H111">
        <v>1</v>
      </c>
      <c r="I111">
        <v>52</v>
      </c>
    </row>
    <row r="112" spans="1:9" x14ac:dyDescent="0.3">
      <c r="A112">
        <v>111</v>
      </c>
      <c r="B112">
        <v>0</v>
      </c>
      <c r="C112" t="s">
        <v>125</v>
      </c>
      <c r="D112" t="s">
        <v>16</v>
      </c>
      <c r="E112">
        <v>14.5</v>
      </c>
      <c r="F112">
        <v>1</v>
      </c>
      <c r="G112">
        <v>0</v>
      </c>
      <c r="H112">
        <v>3</v>
      </c>
      <c r="I112">
        <v>14.4542</v>
      </c>
    </row>
    <row r="113" spans="1:9" x14ac:dyDescent="0.3">
      <c r="A113">
        <v>112</v>
      </c>
      <c r="B113">
        <v>0</v>
      </c>
      <c r="C113" t="s">
        <v>126</v>
      </c>
      <c r="D113" t="s">
        <v>14</v>
      </c>
      <c r="E113">
        <v>22</v>
      </c>
      <c r="F113">
        <v>0</v>
      </c>
      <c r="G113">
        <v>0</v>
      </c>
      <c r="H113">
        <v>3</v>
      </c>
      <c r="I113">
        <v>8.0500000000000007</v>
      </c>
    </row>
    <row r="114" spans="1:9" x14ac:dyDescent="0.3">
      <c r="A114">
        <v>113</v>
      </c>
      <c r="B114">
        <v>0</v>
      </c>
      <c r="C114" t="s">
        <v>127</v>
      </c>
      <c r="D114" t="s">
        <v>16</v>
      </c>
      <c r="E114">
        <v>20</v>
      </c>
      <c r="F114">
        <v>1</v>
      </c>
      <c r="G114">
        <v>0</v>
      </c>
      <c r="H114">
        <v>3</v>
      </c>
      <c r="I114">
        <v>9.8249999999999993</v>
      </c>
    </row>
    <row r="115" spans="1:9" x14ac:dyDescent="0.3">
      <c r="A115">
        <v>114</v>
      </c>
      <c r="B115">
        <v>0</v>
      </c>
      <c r="C115" t="s">
        <v>128</v>
      </c>
      <c r="D115" t="s">
        <v>16</v>
      </c>
      <c r="E115">
        <v>17</v>
      </c>
      <c r="F115">
        <v>0</v>
      </c>
      <c r="G115">
        <v>0</v>
      </c>
      <c r="H115">
        <v>3</v>
      </c>
      <c r="I115">
        <v>14.458299999999999</v>
      </c>
    </row>
    <row r="116" spans="1:9" x14ac:dyDescent="0.3">
      <c r="A116">
        <v>115</v>
      </c>
      <c r="B116">
        <v>0</v>
      </c>
      <c r="C116" t="s">
        <v>129</v>
      </c>
      <c r="D116" t="s">
        <v>14</v>
      </c>
      <c r="E116">
        <v>21</v>
      </c>
      <c r="F116">
        <v>0</v>
      </c>
      <c r="G116">
        <v>0</v>
      </c>
      <c r="H116">
        <v>3</v>
      </c>
      <c r="I116">
        <v>7.9249999999999998</v>
      </c>
    </row>
    <row r="117" spans="1:9" x14ac:dyDescent="0.3">
      <c r="A117">
        <v>116</v>
      </c>
      <c r="B117">
        <v>0</v>
      </c>
      <c r="C117" t="s">
        <v>130</v>
      </c>
      <c r="D117" t="s">
        <v>14</v>
      </c>
      <c r="E117">
        <v>70.5</v>
      </c>
      <c r="F117">
        <v>0</v>
      </c>
      <c r="G117">
        <v>0</v>
      </c>
      <c r="H117">
        <v>3</v>
      </c>
      <c r="I117">
        <v>7.75</v>
      </c>
    </row>
    <row r="118" spans="1:9" x14ac:dyDescent="0.3">
      <c r="A118">
        <v>117</v>
      </c>
      <c r="B118">
        <v>0</v>
      </c>
      <c r="C118" t="s">
        <v>131</v>
      </c>
      <c r="D118" t="s">
        <v>14</v>
      </c>
      <c r="E118">
        <v>29</v>
      </c>
      <c r="F118">
        <v>1</v>
      </c>
      <c r="G118">
        <v>0</v>
      </c>
      <c r="H118">
        <v>2</v>
      </c>
      <c r="I118">
        <v>21</v>
      </c>
    </row>
    <row r="119" spans="1:9" x14ac:dyDescent="0.3">
      <c r="A119">
        <v>118</v>
      </c>
      <c r="B119">
        <v>0</v>
      </c>
      <c r="C119" t="s">
        <v>132</v>
      </c>
      <c r="D119" t="s">
        <v>14</v>
      </c>
      <c r="E119">
        <v>24</v>
      </c>
      <c r="F119">
        <v>0</v>
      </c>
      <c r="G119">
        <v>1</v>
      </c>
      <c r="H119">
        <v>1</v>
      </c>
      <c r="I119">
        <v>247.52080000000001</v>
      </c>
    </row>
    <row r="120" spans="1:9" x14ac:dyDescent="0.3">
      <c r="A120">
        <v>119</v>
      </c>
      <c r="B120">
        <v>0</v>
      </c>
      <c r="C120" t="s">
        <v>133</v>
      </c>
      <c r="D120" t="s">
        <v>16</v>
      </c>
      <c r="E120">
        <v>2</v>
      </c>
      <c r="F120">
        <v>4</v>
      </c>
      <c r="G120">
        <v>2</v>
      </c>
      <c r="H120">
        <v>3</v>
      </c>
      <c r="I120">
        <v>31.274999999999999</v>
      </c>
    </row>
    <row r="121" spans="1:9" x14ac:dyDescent="0.3">
      <c r="A121">
        <v>120</v>
      </c>
      <c r="B121">
        <v>0</v>
      </c>
      <c r="C121" t="s">
        <v>134</v>
      </c>
      <c r="D121" t="s">
        <v>14</v>
      </c>
      <c r="E121">
        <v>21</v>
      </c>
      <c r="F121">
        <v>2</v>
      </c>
      <c r="G121">
        <v>0</v>
      </c>
      <c r="H121">
        <v>2</v>
      </c>
      <c r="I121">
        <v>73.5</v>
      </c>
    </row>
    <row r="122" spans="1:9" x14ac:dyDescent="0.3">
      <c r="A122">
        <v>121</v>
      </c>
      <c r="B122">
        <v>0</v>
      </c>
      <c r="C122" t="s">
        <v>135</v>
      </c>
      <c r="D122" t="s">
        <v>14</v>
      </c>
      <c r="E122">
        <v>19</v>
      </c>
      <c r="F122">
        <v>0</v>
      </c>
      <c r="G122">
        <v>0</v>
      </c>
      <c r="H122">
        <v>3</v>
      </c>
      <c r="I122">
        <v>8.0500000000000007</v>
      </c>
    </row>
    <row r="123" spans="1:9" x14ac:dyDescent="0.3">
      <c r="A123">
        <v>122</v>
      </c>
      <c r="B123">
        <v>0</v>
      </c>
      <c r="C123" t="s">
        <v>136</v>
      </c>
      <c r="D123" t="s">
        <v>14</v>
      </c>
      <c r="E123">
        <v>32.5</v>
      </c>
      <c r="F123">
        <v>1</v>
      </c>
      <c r="G123">
        <v>0</v>
      </c>
      <c r="H123">
        <v>2</v>
      </c>
      <c r="I123">
        <v>30.070799999999998</v>
      </c>
    </row>
    <row r="124" spans="1:9" x14ac:dyDescent="0.3">
      <c r="A124">
        <v>123</v>
      </c>
      <c r="B124">
        <v>1</v>
      </c>
      <c r="C124" t="s">
        <v>137</v>
      </c>
      <c r="D124" t="s">
        <v>16</v>
      </c>
      <c r="E124">
        <v>32.5</v>
      </c>
      <c r="F124">
        <v>0</v>
      </c>
      <c r="G124">
        <v>0</v>
      </c>
      <c r="H124">
        <v>2</v>
      </c>
      <c r="I124">
        <v>13</v>
      </c>
    </row>
    <row r="125" spans="1:9" x14ac:dyDescent="0.3">
      <c r="A125">
        <v>124</v>
      </c>
      <c r="B125">
        <v>0</v>
      </c>
      <c r="C125" t="s">
        <v>138</v>
      </c>
      <c r="D125" t="s">
        <v>14</v>
      </c>
      <c r="E125">
        <v>54</v>
      </c>
      <c r="F125">
        <v>0</v>
      </c>
      <c r="G125">
        <v>1</v>
      </c>
      <c r="H125">
        <v>1</v>
      </c>
      <c r="I125">
        <v>77.287499999999994</v>
      </c>
    </row>
    <row r="126" spans="1:9" x14ac:dyDescent="0.3">
      <c r="A126">
        <v>125</v>
      </c>
      <c r="B126">
        <v>1</v>
      </c>
      <c r="C126" t="s">
        <v>139</v>
      </c>
      <c r="D126" t="s">
        <v>14</v>
      </c>
      <c r="E126">
        <v>12</v>
      </c>
      <c r="F126">
        <v>1</v>
      </c>
      <c r="G126">
        <v>0</v>
      </c>
      <c r="H126">
        <v>3</v>
      </c>
      <c r="I126">
        <v>11.2417</v>
      </c>
    </row>
    <row r="127" spans="1:9" x14ac:dyDescent="0.3">
      <c r="A127">
        <v>126</v>
      </c>
      <c r="B127">
        <v>0</v>
      </c>
      <c r="C127" t="s">
        <v>140</v>
      </c>
      <c r="D127" t="s">
        <v>14</v>
      </c>
      <c r="E127">
        <v>19</v>
      </c>
      <c r="F127">
        <v>0</v>
      </c>
      <c r="G127">
        <v>0</v>
      </c>
      <c r="H127">
        <v>3</v>
      </c>
      <c r="I127">
        <v>7.75</v>
      </c>
    </row>
    <row r="128" spans="1:9" x14ac:dyDescent="0.3">
      <c r="A128">
        <v>127</v>
      </c>
      <c r="B128">
        <v>1</v>
      </c>
      <c r="C128" t="s">
        <v>141</v>
      </c>
      <c r="D128" t="s">
        <v>14</v>
      </c>
      <c r="E128">
        <v>24</v>
      </c>
      <c r="F128">
        <v>0</v>
      </c>
      <c r="G128">
        <v>0</v>
      </c>
      <c r="H128">
        <v>3</v>
      </c>
      <c r="I128">
        <v>7.1417000000000002</v>
      </c>
    </row>
    <row r="129" spans="1:9" x14ac:dyDescent="0.3">
      <c r="A129">
        <v>128</v>
      </c>
      <c r="B129">
        <v>1</v>
      </c>
      <c r="C129" t="s">
        <v>142</v>
      </c>
      <c r="D129" t="s">
        <v>16</v>
      </c>
      <c r="E129">
        <v>2</v>
      </c>
      <c r="F129">
        <v>1</v>
      </c>
      <c r="G129">
        <v>1</v>
      </c>
      <c r="H129">
        <v>3</v>
      </c>
      <c r="I129">
        <v>22.3583</v>
      </c>
    </row>
    <row r="130" spans="1:9" x14ac:dyDescent="0.3">
      <c r="A130">
        <v>129</v>
      </c>
      <c r="B130">
        <v>0</v>
      </c>
      <c r="C130" t="s">
        <v>143</v>
      </c>
      <c r="D130" t="s">
        <v>14</v>
      </c>
      <c r="E130">
        <v>45</v>
      </c>
      <c r="F130">
        <v>0</v>
      </c>
      <c r="G130">
        <v>0</v>
      </c>
      <c r="H130">
        <v>3</v>
      </c>
      <c r="I130">
        <v>6.9749999999999996</v>
      </c>
    </row>
    <row r="131" spans="1:9" x14ac:dyDescent="0.3">
      <c r="A131">
        <v>130</v>
      </c>
      <c r="B131">
        <v>0</v>
      </c>
      <c r="C131" t="s">
        <v>144</v>
      </c>
      <c r="D131" t="s">
        <v>14</v>
      </c>
      <c r="E131">
        <v>33</v>
      </c>
      <c r="F131">
        <v>0</v>
      </c>
      <c r="G131">
        <v>0</v>
      </c>
      <c r="H131">
        <v>3</v>
      </c>
      <c r="I131">
        <v>7.8958000000000004</v>
      </c>
    </row>
    <row r="132" spans="1:9" x14ac:dyDescent="0.3">
      <c r="A132">
        <v>131</v>
      </c>
      <c r="B132">
        <v>0</v>
      </c>
      <c r="C132" t="s">
        <v>145</v>
      </c>
      <c r="D132" t="s">
        <v>14</v>
      </c>
      <c r="E132">
        <v>20</v>
      </c>
      <c r="F132">
        <v>0</v>
      </c>
      <c r="G132">
        <v>0</v>
      </c>
      <c r="H132">
        <v>3</v>
      </c>
      <c r="I132">
        <v>7.05</v>
      </c>
    </row>
    <row r="133" spans="1:9" x14ac:dyDescent="0.3">
      <c r="A133">
        <v>132</v>
      </c>
      <c r="B133">
        <v>0</v>
      </c>
      <c r="C133" t="s">
        <v>146</v>
      </c>
      <c r="D133" t="s">
        <v>16</v>
      </c>
      <c r="E133">
        <v>47</v>
      </c>
      <c r="F133">
        <v>1</v>
      </c>
      <c r="G133">
        <v>0</v>
      </c>
      <c r="H133">
        <v>3</v>
      </c>
      <c r="I133">
        <v>14.5</v>
      </c>
    </row>
    <row r="134" spans="1:9" x14ac:dyDescent="0.3">
      <c r="A134">
        <v>133</v>
      </c>
      <c r="B134">
        <v>1</v>
      </c>
      <c r="C134" t="s">
        <v>147</v>
      </c>
      <c r="D134" t="s">
        <v>16</v>
      </c>
      <c r="E134">
        <v>29</v>
      </c>
      <c r="F134">
        <v>1</v>
      </c>
      <c r="G134">
        <v>0</v>
      </c>
      <c r="H134">
        <v>2</v>
      </c>
      <c r="I134">
        <v>26</v>
      </c>
    </row>
    <row r="135" spans="1:9" x14ac:dyDescent="0.3">
      <c r="A135">
        <v>134</v>
      </c>
      <c r="B135">
        <v>0</v>
      </c>
      <c r="C135" t="s">
        <v>148</v>
      </c>
      <c r="D135" t="s">
        <v>14</v>
      </c>
      <c r="E135">
        <v>25</v>
      </c>
      <c r="F135">
        <v>0</v>
      </c>
      <c r="G135">
        <v>0</v>
      </c>
      <c r="H135">
        <v>2</v>
      </c>
      <c r="I135">
        <v>13</v>
      </c>
    </row>
    <row r="136" spans="1:9" x14ac:dyDescent="0.3">
      <c r="A136">
        <v>135</v>
      </c>
      <c r="B136">
        <v>0</v>
      </c>
      <c r="C136" t="s">
        <v>149</v>
      </c>
      <c r="D136" t="s">
        <v>14</v>
      </c>
      <c r="E136">
        <v>23</v>
      </c>
      <c r="F136">
        <v>0</v>
      </c>
      <c r="G136">
        <v>0</v>
      </c>
      <c r="H136">
        <v>2</v>
      </c>
      <c r="I136">
        <v>15.0458</v>
      </c>
    </row>
    <row r="137" spans="1:9" x14ac:dyDescent="0.3">
      <c r="A137">
        <v>136</v>
      </c>
      <c r="B137">
        <v>1</v>
      </c>
      <c r="C137" t="s">
        <v>150</v>
      </c>
      <c r="D137" t="s">
        <v>16</v>
      </c>
      <c r="E137">
        <v>19</v>
      </c>
      <c r="F137">
        <v>0</v>
      </c>
      <c r="G137">
        <v>2</v>
      </c>
      <c r="H137">
        <v>1</v>
      </c>
      <c r="I137">
        <v>26.283300000000001</v>
      </c>
    </row>
    <row r="138" spans="1:9" x14ac:dyDescent="0.3">
      <c r="A138">
        <v>137</v>
      </c>
      <c r="B138">
        <v>0</v>
      </c>
      <c r="C138" t="s">
        <v>151</v>
      </c>
      <c r="D138" t="s">
        <v>14</v>
      </c>
      <c r="E138">
        <v>37</v>
      </c>
      <c r="F138">
        <v>1</v>
      </c>
      <c r="G138">
        <v>0</v>
      </c>
      <c r="H138">
        <v>1</v>
      </c>
      <c r="I138">
        <v>53.1</v>
      </c>
    </row>
    <row r="139" spans="1:9" x14ac:dyDescent="0.3">
      <c r="A139">
        <v>138</v>
      </c>
      <c r="B139">
        <v>0</v>
      </c>
      <c r="C139" t="s">
        <v>152</v>
      </c>
      <c r="D139" t="s">
        <v>14</v>
      </c>
      <c r="E139">
        <v>16</v>
      </c>
      <c r="F139">
        <v>0</v>
      </c>
      <c r="G139">
        <v>0</v>
      </c>
      <c r="H139">
        <v>3</v>
      </c>
      <c r="I139">
        <v>9.2166999999999994</v>
      </c>
    </row>
    <row r="140" spans="1:9" x14ac:dyDescent="0.3">
      <c r="A140">
        <v>139</v>
      </c>
      <c r="B140">
        <v>0</v>
      </c>
      <c r="C140" t="s">
        <v>153</v>
      </c>
      <c r="D140" t="s">
        <v>14</v>
      </c>
      <c r="E140">
        <v>24</v>
      </c>
      <c r="F140">
        <v>0</v>
      </c>
      <c r="G140">
        <v>0</v>
      </c>
      <c r="H140">
        <v>1</v>
      </c>
      <c r="I140">
        <v>79.2</v>
      </c>
    </row>
    <row r="141" spans="1:9" x14ac:dyDescent="0.3">
      <c r="A141">
        <v>140</v>
      </c>
      <c r="B141">
        <v>0</v>
      </c>
      <c r="C141" t="s">
        <v>154</v>
      </c>
      <c r="D141" t="s">
        <v>16</v>
      </c>
      <c r="E141">
        <v>40</v>
      </c>
      <c r="F141">
        <v>0</v>
      </c>
      <c r="G141">
        <v>2</v>
      </c>
      <c r="H141">
        <v>3</v>
      </c>
      <c r="I141">
        <v>15.245799999999999</v>
      </c>
    </row>
    <row r="142" spans="1:9" x14ac:dyDescent="0.3">
      <c r="A142">
        <v>141</v>
      </c>
      <c r="B142">
        <v>1</v>
      </c>
      <c r="C142" t="s">
        <v>155</v>
      </c>
      <c r="D142" t="s">
        <v>16</v>
      </c>
      <c r="E142">
        <v>22</v>
      </c>
      <c r="F142">
        <v>0</v>
      </c>
      <c r="G142">
        <v>0</v>
      </c>
      <c r="H142">
        <v>3</v>
      </c>
      <c r="I142">
        <v>7.75</v>
      </c>
    </row>
    <row r="143" spans="1:9" x14ac:dyDescent="0.3">
      <c r="A143">
        <v>142</v>
      </c>
      <c r="B143">
        <v>1</v>
      </c>
      <c r="C143" t="s">
        <v>156</v>
      </c>
      <c r="D143" t="s">
        <v>16</v>
      </c>
      <c r="E143">
        <v>24</v>
      </c>
      <c r="F143">
        <v>1</v>
      </c>
      <c r="G143">
        <v>0</v>
      </c>
      <c r="H143">
        <v>3</v>
      </c>
      <c r="I143">
        <v>15.85</v>
      </c>
    </row>
    <row r="144" spans="1:9" x14ac:dyDescent="0.3">
      <c r="A144">
        <v>143</v>
      </c>
      <c r="B144">
        <v>0</v>
      </c>
      <c r="C144" t="s">
        <v>157</v>
      </c>
      <c r="D144" t="s">
        <v>14</v>
      </c>
      <c r="E144">
        <v>19</v>
      </c>
      <c r="F144">
        <v>0</v>
      </c>
      <c r="G144">
        <v>0</v>
      </c>
      <c r="H144">
        <v>3</v>
      </c>
      <c r="I144">
        <v>6.75</v>
      </c>
    </row>
    <row r="145" spans="1:9" x14ac:dyDescent="0.3">
      <c r="A145">
        <v>144</v>
      </c>
      <c r="B145">
        <v>0</v>
      </c>
      <c r="C145" t="s">
        <v>158</v>
      </c>
      <c r="D145" t="s">
        <v>14</v>
      </c>
      <c r="E145">
        <v>18</v>
      </c>
      <c r="F145">
        <v>0</v>
      </c>
      <c r="G145">
        <v>0</v>
      </c>
      <c r="H145">
        <v>2</v>
      </c>
      <c r="I145">
        <v>11.5</v>
      </c>
    </row>
    <row r="146" spans="1:9" x14ac:dyDescent="0.3">
      <c r="A146">
        <v>145</v>
      </c>
      <c r="B146">
        <v>0</v>
      </c>
      <c r="C146" t="s">
        <v>159</v>
      </c>
      <c r="D146" t="s">
        <v>14</v>
      </c>
      <c r="E146">
        <v>19</v>
      </c>
      <c r="F146">
        <v>1</v>
      </c>
      <c r="G146">
        <v>1</v>
      </c>
      <c r="H146">
        <v>2</v>
      </c>
      <c r="I146">
        <v>36.75</v>
      </c>
    </row>
    <row r="147" spans="1:9" x14ac:dyDescent="0.3">
      <c r="A147">
        <v>146</v>
      </c>
      <c r="B147">
        <v>1</v>
      </c>
      <c r="C147" t="s">
        <v>160</v>
      </c>
      <c r="D147" t="s">
        <v>14</v>
      </c>
      <c r="E147">
        <v>27</v>
      </c>
      <c r="F147">
        <v>0</v>
      </c>
      <c r="G147">
        <v>0</v>
      </c>
      <c r="H147">
        <v>3</v>
      </c>
      <c r="I147">
        <v>7.7957999999999998</v>
      </c>
    </row>
    <row r="148" spans="1:9" x14ac:dyDescent="0.3">
      <c r="A148">
        <v>147</v>
      </c>
      <c r="B148">
        <v>0</v>
      </c>
      <c r="C148" t="s">
        <v>161</v>
      </c>
      <c r="D148" t="s">
        <v>16</v>
      </c>
      <c r="E148">
        <v>9</v>
      </c>
      <c r="F148">
        <v>2</v>
      </c>
      <c r="G148">
        <v>2</v>
      </c>
      <c r="H148">
        <v>3</v>
      </c>
      <c r="I148">
        <v>34.375</v>
      </c>
    </row>
    <row r="149" spans="1:9" x14ac:dyDescent="0.3">
      <c r="A149">
        <v>148</v>
      </c>
      <c r="B149">
        <v>0</v>
      </c>
      <c r="C149" t="s">
        <v>162</v>
      </c>
      <c r="D149" t="s">
        <v>14</v>
      </c>
      <c r="E149">
        <v>36.5</v>
      </c>
      <c r="F149">
        <v>0</v>
      </c>
      <c r="G149">
        <v>2</v>
      </c>
      <c r="H149">
        <v>2</v>
      </c>
      <c r="I149">
        <v>26</v>
      </c>
    </row>
    <row r="150" spans="1:9" x14ac:dyDescent="0.3">
      <c r="A150">
        <v>149</v>
      </c>
      <c r="B150">
        <v>0</v>
      </c>
      <c r="C150" t="s">
        <v>163</v>
      </c>
      <c r="D150" t="s">
        <v>14</v>
      </c>
      <c r="E150">
        <v>42</v>
      </c>
      <c r="F150">
        <v>0</v>
      </c>
      <c r="G150">
        <v>0</v>
      </c>
      <c r="H150">
        <v>2</v>
      </c>
      <c r="I150">
        <v>13</v>
      </c>
    </row>
    <row r="151" spans="1:9" x14ac:dyDescent="0.3">
      <c r="A151">
        <v>150</v>
      </c>
      <c r="B151">
        <v>0</v>
      </c>
      <c r="C151" t="s">
        <v>164</v>
      </c>
      <c r="D151" t="s">
        <v>14</v>
      </c>
      <c r="E151">
        <v>51</v>
      </c>
      <c r="F151">
        <v>0</v>
      </c>
      <c r="G151">
        <v>0</v>
      </c>
      <c r="H151">
        <v>2</v>
      </c>
      <c r="I151">
        <v>12.525</v>
      </c>
    </row>
    <row r="152" spans="1:9" x14ac:dyDescent="0.3">
      <c r="A152">
        <v>151</v>
      </c>
      <c r="B152">
        <v>1</v>
      </c>
      <c r="C152" t="s">
        <v>165</v>
      </c>
      <c r="D152" t="s">
        <v>16</v>
      </c>
      <c r="E152">
        <v>22</v>
      </c>
      <c r="F152">
        <v>1</v>
      </c>
      <c r="G152">
        <v>0</v>
      </c>
      <c r="H152">
        <v>1</v>
      </c>
      <c r="I152">
        <v>66.599999999999994</v>
      </c>
    </row>
    <row r="153" spans="1:9" x14ac:dyDescent="0.3">
      <c r="A153">
        <v>152</v>
      </c>
      <c r="B153">
        <v>0</v>
      </c>
      <c r="C153" t="s">
        <v>166</v>
      </c>
      <c r="D153" t="s">
        <v>14</v>
      </c>
      <c r="E153">
        <v>55.5</v>
      </c>
      <c r="F153">
        <v>0</v>
      </c>
      <c r="G153">
        <v>0</v>
      </c>
      <c r="H153">
        <v>3</v>
      </c>
      <c r="I153">
        <v>8.0500000000000007</v>
      </c>
    </row>
    <row r="154" spans="1:9" x14ac:dyDescent="0.3">
      <c r="A154">
        <v>153</v>
      </c>
      <c r="B154">
        <v>0</v>
      </c>
      <c r="C154" t="s">
        <v>167</v>
      </c>
      <c r="D154" t="s">
        <v>14</v>
      </c>
      <c r="E154">
        <v>40.5</v>
      </c>
      <c r="F154">
        <v>0</v>
      </c>
      <c r="G154">
        <v>2</v>
      </c>
      <c r="H154">
        <v>3</v>
      </c>
      <c r="I154">
        <v>14.5</v>
      </c>
    </row>
    <row r="155" spans="1:9" x14ac:dyDescent="0.3">
      <c r="A155">
        <v>154</v>
      </c>
      <c r="B155">
        <v>0</v>
      </c>
      <c r="C155" t="s">
        <v>168</v>
      </c>
      <c r="D155" t="s">
        <v>14</v>
      </c>
      <c r="E155">
        <v>27</v>
      </c>
      <c r="F155">
        <v>0</v>
      </c>
      <c r="G155">
        <v>0</v>
      </c>
      <c r="H155">
        <v>3</v>
      </c>
      <c r="I155">
        <v>7.3125</v>
      </c>
    </row>
    <row r="156" spans="1:9" x14ac:dyDescent="0.3">
      <c r="A156">
        <v>155</v>
      </c>
      <c r="B156">
        <v>0</v>
      </c>
      <c r="C156" t="s">
        <v>169</v>
      </c>
      <c r="D156" t="s">
        <v>14</v>
      </c>
      <c r="E156">
        <v>51</v>
      </c>
      <c r="F156">
        <v>0</v>
      </c>
      <c r="G156">
        <v>1</v>
      </c>
      <c r="H156">
        <v>1</v>
      </c>
      <c r="I156">
        <v>61.379199999999997</v>
      </c>
    </row>
    <row r="157" spans="1:9" x14ac:dyDescent="0.3">
      <c r="A157">
        <v>156</v>
      </c>
      <c r="B157">
        <v>1</v>
      </c>
      <c r="C157" t="s">
        <v>170</v>
      </c>
      <c r="D157" t="s">
        <v>16</v>
      </c>
      <c r="E157">
        <v>16</v>
      </c>
      <c r="F157">
        <v>0</v>
      </c>
      <c r="G157">
        <v>0</v>
      </c>
      <c r="H157">
        <v>3</v>
      </c>
      <c r="I157">
        <v>7.7332999999999998</v>
      </c>
    </row>
    <row r="158" spans="1:9" x14ac:dyDescent="0.3">
      <c r="A158">
        <v>157</v>
      </c>
      <c r="B158">
        <v>0</v>
      </c>
      <c r="C158" t="s">
        <v>171</v>
      </c>
      <c r="D158" t="s">
        <v>14</v>
      </c>
      <c r="E158">
        <v>30</v>
      </c>
      <c r="F158">
        <v>0</v>
      </c>
      <c r="G158">
        <v>0</v>
      </c>
      <c r="H158">
        <v>3</v>
      </c>
      <c r="I158">
        <v>8.0500000000000007</v>
      </c>
    </row>
    <row r="159" spans="1:9" x14ac:dyDescent="0.3">
      <c r="A159">
        <v>158</v>
      </c>
      <c r="B159">
        <v>0</v>
      </c>
      <c r="C159" t="s">
        <v>172</v>
      </c>
      <c r="D159" t="s">
        <v>14</v>
      </c>
      <c r="E159">
        <v>37</v>
      </c>
      <c r="F159">
        <v>0</v>
      </c>
      <c r="G159">
        <v>0</v>
      </c>
      <c r="H159">
        <v>3</v>
      </c>
      <c r="I159">
        <v>8.6624999999999996</v>
      </c>
    </row>
    <row r="160" spans="1:9" x14ac:dyDescent="0.3">
      <c r="A160">
        <v>159</v>
      </c>
      <c r="B160">
        <v>0</v>
      </c>
      <c r="C160" t="s">
        <v>173</v>
      </c>
      <c r="D160" t="s">
        <v>14</v>
      </c>
      <c r="E160">
        <v>5</v>
      </c>
      <c r="F160">
        <v>8</v>
      </c>
      <c r="G160">
        <v>2</v>
      </c>
      <c r="H160">
        <v>3</v>
      </c>
      <c r="I160">
        <v>69.55</v>
      </c>
    </row>
    <row r="161" spans="1:9" x14ac:dyDescent="0.3">
      <c r="A161">
        <v>160</v>
      </c>
      <c r="B161">
        <v>0</v>
      </c>
      <c r="C161" t="s">
        <v>174</v>
      </c>
      <c r="D161" t="s">
        <v>14</v>
      </c>
      <c r="E161">
        <v>44</v>
      </c>
      <c r="F161">
        <v>0</v>
      </c>
      <c r="G161">
        <v>1</v>
      </c>
      <c r="H161">
        <v>3</v>
      </c>
      <c r="I161">
        <v>16.100000000000001</v>
      </c>
    </row>
    <row r="162" spans="1:9" x14ac:dyDescent="0.3">
      <c r="A162">
        <v>161</v>
      </c>
      <c r="B162">
        <v>1</v>
      </c>
      <c r="C162" t="s">
        <v>175</v>
      </c>
      <c r="D162" t="s">
        <v>16</v>
      </c>
      <c r="E162">
        <v>40</v>
      </c>
      <c r="F162">
        <v>0</v>
      </c>
      <c r="G162">
        <v>0</v>
      </c>
      <c r="H162">
        <v>2</v>
      </c>
      <c r="I162">
        <v>15.75</v>
      </c>
    </row>
    <row r="163" spans="1:9" x14ac:dyDescent="0.3">
      <c r="A163">
        <v>162</v>
      </c>
      <c r="B163">
        <v>0</v>
      </c>
      <c r="C163" t="s">
        <v>176</v>
      </c>
      <c r="D163" t="s">
        <v>14</v>
      </c>
      <c r="E163">
        <v>26</v>
      </c>
      <c r="F163">
        <v>0</v>
      </c>
      <c r="G163">
        <v>0</v>
      </c>
      <c r="H163">
        <v>3</v>
      </c>
      <c r="I163">
        <v>7.7750000000000004</v>
      </c>
    </row>
    <row r="164" spans="1:9" x14ac:dyDescent="0.3">
      <c r="A164">
        <v>163</v>
      </c>
      <c r="B164">
        <v>0</v>
      </c>
      <c r="C164" t="s">
        <v>177</v>
      </c>
      <c r="D164" t="s">
        <v>14</v>
      </c>
      <c r="E164">
        <v>17</v>
      </c>
      <c r="F164">
        <v>0</v>
      </c>
      <c r="G164">
        <v>0</v>
      </c>
      <c r="H164">
        <v>3</v>
      </c>
      <c r="I164">
        <v>8.6624999999999996</v>
      </c>
    </row>
    <row r="165" spans="1:9" x14ac:dyDescent="0.3">
      <c r="A165">
        <v>164</v>
      </c>
      <c r="B165">
        <v>0</v>
      </c>
      <c r="C165" t="s">
        <v>178</v>
      </c>
      <c r="D165" t="s">
        <v>14</v>
      </c>
      <c r="E165">
        <v>1</v>
      </c>
      <c r="F165">
        <v>4</v>
      </c>
      <c r="G165">
        <v>1</v>
      </c>
      <c r="H165">
        <v>3</v>
      </c>
      <c r="I165">
        <v>39.6875</v>
      </c>
    </row>
    <row r="166" spans="1:9" x14ac:dyDescent="0.3">
      <c r="A166">
        <v>165</v>
      </c>
      <c r="B166">
        <v>1</v>
      </c>
      <c r="C166" t="s">
        <v>179</v>
      </c>
      <c r="D166" t="s">
        <v>14</v>
      </c>
      <c r="E166">
        <v>9</v>
      </c>
      <c r="F166">
        <v>0</v>
      </c>
      <c r="G166">
        <v>2</v>
      </c>
      <c r="H166">
        <v>3</v>
      </c>
      <c r="I166">
        <v>20.524999999999999</v>
      </c>
    </row>
    <row r="167" spans="1:9" x14ac:dyDescent="0.3">
      <c r="A167">
        <v>166</v>
      </c>
      <c r="B167">
        <v>1</v>
      </c>
      <c r="C167" t="s">
        <v>180</v>
      </c>
      <c r="D167" t="s">
        <v>16</v>
      </c>
      <c r="E167">
        <v>48</v>
      </c>
      <c r="F167">
        <v>0</v>
      </c>
      <c r="G167">
        <v>1</v>
      </c>
      <c r="H167">
        <v>1</v>
      </c>
      <c r="I167">
        <v>55</v>
      </c>
    </row>
    <row r="168" spans="1:9" x14ac:dyDescent="0.3">
      <c r="A168">
        <v>167</v>
      </c>
      <c r="B168">
        <v>0</v>
      </c>
      <c r="C168" t="s">
        <v>181</v>
      </c>
      <c r="D168" t="s">
        <v>16</v>
      </c>
      <c r="E168">
        <v>45</v>
      </c>
      <c r="F168">
        <v>1</v>
      </c>
      <c r="G168">
        <v>4</v>
      </c>
      <c r="H168">
        <v>3</v>
      </c>
      <c r="I168">
        <v>27.9</v>
      </c>
    </row>
    <row r="169" spans="1:9" x14ac:dyDescent="0.3">
      <c r="A169">
        <v>168</v>
      </c>
      <c r="B169">
        <v>0</v>
      </c>
      <c r="C169" t="s">
        <v>182</v>
      </c>
      <c r="D169" t="s">
        <v>14</v>
      </c>
      <c r="E169">
        <v>60</v>
      </c>
      <c r="F169">
        <v>0</v>
      </c>
      <c r="G169">
        <v>0</v>
      </c>
      <c r="H169">
        <v>1</v>
      </c>
      <c r="I169">
        <v>25.925000000000001</v>
      </c>
    </row>
    <row r="170" spans="1:9" x14ac:dyDescent="0.3">
      <c r="A170">
        <v>169</v>
      </c>
      <c r="B170">
        <v>0</v>
      </c>
      <c r="C170" t="s">
        <v>183</v>
      </c>
      <c r="D170" t="s">
        <v>14</v>
      </c>
      <c r="E170">
        <v>28</v>
      </c>
      <c r="F170">
        <v>0</v>
      </c>
      <c r="G170">
        <v>0</v>
      </c>
      <c r="H170">
        <v>3</v>
      </c>
      <c r="I170">
        <v>56.495800000000003</v>
      </c>
    </row>
    <row r="171" spans="1:9" x14ac:dyDescent="0.3">
      <c r="A171">
        <v>170</v>
      </c>
      <c r="B171">
        <v>0</v>
      </c>
      <c r="C171" t="s">
        <v>184</v>
      </c>
      <c r="D171" t="s">
        <v>14</v>
      </c>
      <c r="E171">
        <v>61</v>
      </c>
      <c r="F171">
        <v>0</v>
      </c>
      <c r="G171">
        <v>0</v>
      </c>
      <c r="H171">
        <v>1</v>
      </c>
      <c r="I171">
        <v>33.5</v>
      </c>
    </row>
    <row r="172" spans="1:9" x14ac:dyDescent="0.3">
      <c r="A172">
        <v>171</v>
      </c>
      <c r="B172">
        <v>0</v>
      </c>
      <c r="C172" t="s">
        <v>185</v>
      </c>
      <c r="D172" t="s">
        <v>14</v>
      </c>
      <c r="E172">
        <v>4</v>
      </c>
      <c r="F172">
        <v>4</v>
      </c>
      <c r="G172">
        <v>1</v>
      </c>
      <c r="H172">
        <v>3</v>
      </c>
      <c r="I172">
        <v>29.125</v>
      </c>
    </row>
    <row r="173" spans="1:9" x14ac:dyDescent="0.3">
      <c r="A173">
        <v>172</v>
      </c>
      <c r="B173">
        <v>1</v>
      </c>
      <c r="C173" t="s">
        <v>186</v>
      </c>
      <c r="D173" t="s">
        <v>16</v>
      </c>
      <c r="E173">
        <v>1</v>
      </c>
      <c r="F173">
        <v>1</v>
      </c>
      <c r="G173">
        <v>1</v>
      </c>
      <c r="H173">
        <v>3</v>
      </c>
      <c r="I173">
        <v>11.1333</v>
      </c>
    </row>
    <row r="174" spans="1:9" x14ac:dyDescent="0.3">
      <c r="A174">
        <v>173</v>
      </c>
      <c r="B174">
        <v>0</v>
      </c>
      <c r="C174" t="s">
        <v>187</v>
      </c>
      <c r="D174" t="s">
        <v>14</v>
      </c>
      <c r="E174">
        <v>21</v>
      </c>
      <c r="F174">
        <v>0</v>
      </c>
      <c r="G174">
        <v>0</v>
      </c>
      <c r="H174">
        <v>3</v>
      </c>
      <c r="I174">
        <v>7.9249999999999998</v>
      </c>
    </row>
    <row r="175" spans="1:9" x14ac:dyDescent="0.3">
      <c r="A175">
        <v>174</v>
      </c>
      <c r="B175">
        <v>0</v>
      </c>
      <c r="C175" t="s">
        <v>188</v>
      </c>
      <c r="D175" t="s">
        <v>14</v>
      </c>
      <c r="E175">
        <v>56</v>
      </c>
      <c r="F175">
        <v>0</v>
      </c>
      <c r="G175">
        <v>0</v>
      </c>
      <c r="H175">
        <v>1</v>
      </c>
      <c r="I175">
        <v>30.695799999999998</v>
      </c>
    </row>
    <row r="176" spans="1:9" x14ac:dyDescent="0.3">
      <c r="A176">
        <v>175</v>
      </c>
      <c r="B176">
        <v>0</v>
      </c>
      <c r="C176" t="s">
        <v>189</v>
      </c>
      <c r="D176" t="s">
        <v>14</v>
      </c>
      <c r="E176">
        <v>18</v>
      </c>
      <c r="F176">
        <v>1</v>
      </c>
      <c r="G176">
        <v>1</v>
      </c>
      <c r="H176">
        <v>3</v>
      </c>
      <c r="I176">
        <v>7.8541999999999996</v>
      </c>
    </row>
    <row r="177" spans="1:9" x14ac:dyDescent="0.3">
      <c r="A177">
        <v>176</v>
      </c>
      <c r="B177">
        <v>0</v>
      </c>
      <c r="C177" t="s">
        <v>190</v>
      </c>
      <c r="D177" t="s">
        <v>14</v>
      </c>
      <c r="E177">
        <v>5</v>
      </c>
      <c r="F177">
        <v>3</v>
      </c>
      <c r="G177">
        <v>1</v>
      </c>
      <c r="H177">
        <v>3</v>
      </c>
      <c r="I177">
        <v>25.466699999999999</v>
      </c>
    </row>
    <row r="178" spans="1:9" x14ac:dyDescent="0.3">
      <c r="A178">
        <v>177</v>
      </c>
      <c r="B178">
        <v>0</v>
      </c>
      <c r="C178" t="s">
        <v>191</v>
      </c>
      <c r="D178" t="s">
        <v>16</v>
      </c>
      <c r="E178">
        <v>50</v>
      </c>
      <c r="F178">
        <v>0</v>
      </c>
      <c r="G178">
        <v>0</v>
      </c>
      <c r="H178">
        <v>1</v>
      </c>
      <c r="I178">
        <v>28.712499999999999</v>
      </c>
    </row>
    <row r="179" spans="1:9" x14ac:dyDescent="0.3">
      <c r="A179">
        <v>178</v>
      </c>
      <c r="B179">
        <v>0</v>
      </c>
      <c r="C179" t="s">
        <v>192</v>
      </c>
      <c r="D179" t="s">
        <v>14</v>
      </c>
      <c r="E179">
        <v>30</v>
      </c>
      <c r="F179">
        <v>0</v>
      </c>
      <c r="G179">
        <v>0</v>
      </c>
      <c r="H179">
        <v>2</v>
      </c>
      <c r="I179">
        <v>13</v>
      </c>
    </row>
    <row r="180" spans="1:9" x14ac:dyDescent="0.3">
      <c r="A180">
        <v>179</v>
      </c>
      <c r="B180">
        <v>0</v>
      </c>
      <c r="C180" t="s">
        <v>193</v>
      </c>
      <c r="D180" t="s">
        <v>14</v>
      </c>
      <c r="E180">
        <v>36</v>
      </c>
      <c r="F180">
        <v>0</v>
      </c>
      <c r="G180">
        <v>0</v>
      </c>
      <c r="H180">
        <v>3</v>
      </c>
      <c r="I180">
        <v>0</v>
      </c>
    </row>
    <row r="181" spans="1:9" x14ac:dyDescent="0.3">
      <c r="A181">
        <v>180</v>
      </c>
      <c r="B181">
        <v>0</v>
      </c>
      <c r="C181" t="s">
        <v>194</v>
      </c>
      <c r="D181" t="s">
        <v>16</v>
      </c>
      <c r="E181">
        <v>8</v>
      </c>
      <c r="F181">
        <v>8</v>
      </c>
      <c r="G181">
        <v>2</v>
      </c>
      <c r="H181">
        <v>3</v>
      </c>
      <c r="I181">
        <v>69.55</v>
      </c>
    </row>
    <row r="182" spans="1:9" x14ac:dyDescent="0.3">
      <c r="A182">
        <v>181</v>
      </c>
      <c r="B182">
        <v>0</v>
      </c>
      <c r="C182" t="s">
        <v>195</v>
      </c>
      <c r="D182" t="s">
        <v>14</v>
      </c>
      <c r="E182">
        <v>39</v>
      </c>
      <c r="F182">
        <v>0</v>
      </c>
      <c r="G182">
        <v>0</v>
      </c>
      <c r="H182">
        <v>2</v>
      </c>
      <c r="I182">
        <v>15.05</v>
      </c>
    </row>
    <row r="183" spans="1:9" x14ac:dyDescent="0.3">
      <c r="A183">
        <v>182</v>
      </c>
      <c r="B183">
        <v>0</v>
      </c>
      <c r="C183" t="s">
        <v>196</v>
      </c>
      <c r="D183" t="s">
        <v>14</v>
      </c>
      <c r="E183">
        <v>9</v>
      </c>
      <c r="F183">
        <v>4</v>
      </c>
      <c r="G183">
        <v>2</v>
      </c>
      <c r="H183">
        <v>3</v>
      </c>
      <c r="I183">
        <v>31.387499999999999</v>
      </c>
    </row>
    <row r="184" spans="1:9" x14ac:dyDescent="0.3">
      <c r="A184">
        <v>183</v>
      </c>
      <c r="B184">
        <v>1</v>
      </c>
      <c r="C184" t="s">
        <v>197</v>
      </c>
      <c r="D184" t="s">
        <v>14</v>
      </c>
      <c r="E184">
        <v>1</v>
      </c>
      <c r="F184">
        <v>2</v>
      </c>
      <c r="G184">
        <v>1</v>
      </c>
      <c r="H184">
        <v>2</v>
      </c>
      <c r="I184">
        <v>39</v>
      </c>
    </row>
    <row r="185" spans="1:9" x14ac:dyDescent="0.3">
      <c r="A185">
        <v>184</v>
      </c>
      <c r="B185">
        <v>1</v>
      </c>
      <c r="C185" t="s">
        <v>198</v>
      </c>
      <c r="D185" t="s">
        <v>16</v>
      </c>
      <c r="E185">
        <v>4</v>
      </c>
      <c r="F185">
        <v>0</v>
      </c>
      <c r="G185">
        <v>2</v>
      </c>
      <c r="H185">
        <v>3</v>
      </c>
      <c r="I185">
        <v>22.024999999999999</v>
      </c>
    </row>
    <row r="186" spans="1:9" x14ac:dyDescent="0.3">
      <c r="A186">
        <v>185</v>
      </c>
      <c r="B186">
        <v>0</v>
      </c>
      <c r="C186" t="s">
        <v>199</v>
      </c>
      <c r="D186" t="s">
        <v>14</v>
      </c>
      <c r="E186">
        <v>39</v>
      </c>
      <c r="F186">
        <v>0</v>
      </c>
      <c r="G186">
        <v>0</v>
      </c>
      <c r="H186">
        <v>1</v>
      </c>
      <c r="I186">
        <v>50</v>
      </c>
    </row>
    <row r="187" spans="1:9" x14ac:dyDescent="0.3">
      <c r="A187">
        <v>186</v>
      </c>
      <c r="B187">
        <v>1</v>
      </c>
      <c r="C187" t="s">
        <v>200</v>
      </c>
      <c r="D187" t="s">
        <v>16</v>
      </c>
      <c r="E187">
        <v>26</v>
      </c>
      <c r="F187">
        <v>1</v>
      </c>
      <c r="G187">
        <v>0</v>
      </c>
      <c r="H187">
        <v>3</v>
      </c>
      <c r="I187">
        <v>15.5</v>
      </c>
    </row>
    <row r="188" spans="1:9" x14ac:dyDescent="0.3">
      <c r="A188">
        <v>187</v>
      </c>
      <c r="B188">
        <v>1</v>
      </c>
      <c r="C188" t="s">
        <v>201</v>
      </c>
      <c r="D188" t="s">
        <v>14</v>
      </c>
      <c r="E188">
        <v>45</v>
      </c>
      <c r="F188">
        <v>0</v>
      </c>
      <c r="G188">
        <v>0</v>
      </c>
      <c r="H188">
        <v>1</v>
      </c>
      <c r="I188">
        <v>26.55</v>
      </c>
    </row>
    <row r="189" spans="1:9" x14ac:dyDescent="0.3">
      <c r="A189">
        <v>188</v>
      </c>
      <c r="B189">
        <v>0</v>
      </c>
      <c r="C189" t="s">
        <v>202</v>
      </c>
      <c r="D189" t="s">
        <v>14</v>
      </c>
      <c r="E189">
        <v>40</v>
      </c>
      <c r="F189">
        <v>1</v>
      </c>
      <c r="G189">
        <v>1</v>
      </c>
      <c r="H189">
        <v>3</v>
      </c>
      <c r="I189">
        <v>15.5</v>
      </c>
    </row>
    <row r="190" spans="1:9" x14ac:dyDescent="0.3">
      <c r="A190">
        <v>189</v>
      </c>
      <c r="B190">
        <v>0</v>
      </c>
      <c r="C190" t="s">
        <v>203</v>
      </c>
      <c r="D190" t="s">
        <v>14</v>
      </c>
      <c r="E190">
        <v>36</v>
      </c>
      <c r="F190">
        <v>0</v>
      </c>
      <c r="G190">
        <v>0</v>
      </c>
      <c r="H190">
        <v>3</v>
      </c>
      <c r="I190">
        <v>7.8958000000000004</v>
      </c>
    </row>
    <row r="191" spans="1:9" x14ac:dyDescent="0.3">
      <c r="A191">
        <v>190</v>
      </c>
      <c r="B191">
        <v>1</v>
      </c>
      <c r="C191" t="s">
        <v>204</v>
      </c>
      <c r="D191" t="s">
        <v>16</v>
      </c>
      <c r="E191">
        <v>32</v>
      </c>
      <c r="F191">
        <v>0</v>
      </c>
      <c r="G191">
        <v>0</v>
      </c>
      <c r="H191">
        <v>2</v>
      </c>
      <c r="I191">
        <v>13</v>
      </c>
    </row>
    <row r="192" spans="1:9" x14ac:dyDescent="0.3">
      <c r="A192">
        <v>191</v>
      </c>
      <c r="B192">
        <v>0</v>
      </c>
      <c r="C192" t="s">
        <v>205</v>
      </c>
      <c r="D192" t="s">
        <v>14</v>
      </c>
      <c r="E192">
        <v>19</v>
      </c>
      <c r="F192">
        <v>0</v>
      </c>
      <c r="G192">
        <v>0</v>
      </c>
      <c r="H192">
        <v>2</v>
      </c>
      <c r="I192">
        <v>13</v>
      </c>
    </row>
    <row r="193" spans="1:9" x14ac:dyDescent="0.3">
      <c r="A193">
        <v>192</v>
      </c>
      <c r="B193">
        <v>1</v>
      </c>
      <c r="C193" t="s">
        <v>206</v>
      </c>
      <c r="D193" t="s">
        <v>16</v>
      </c>
      <c r="E193">
        <v>19</v>
      </c>
      <c r="F193">
        <v>1</v>
      </c>
      <c r="G193">
        <v>0</v>
      </c>
      <c r="H193">
        <v>3</v>
      </c>
      <c r="I193">
        <v>7.8541999999999996</v>
      </c>
    </row>
    <row r="194" spans="1:9" x14ac:dyDescent="0.3">
      <c r="A194">
        <v>193</v>
      </c>
      <c r="B194">
        <v>1</v>
      </c>
      <c r="C194" t="s">
        <v>207</v>
      </c>
      <c r="D194" t="s">
        <v>14</v>
      </c>
      <c r="E194">
        <v>3</v>
      </c>
      <c r="F194">
        <v>1</v>
      </c>
      <c r="G194">
        <v>1</v>
      </c>
      <c r="H194">
        <v>2</v>
      </c>
      <c r="I194">
        <v>26</v>
      </c>
    </row>
    <row r="195" spans="1:9" x14ac:dyDescent="0.3">
      <c r="A195">
        <v>194</v>
      </c>
      <c r="B195">
        <v>1</v>
      </c>
      <c r="C195" t="s">
        <v>208</v>
      </c>
      <c r="D195" t="s">
        <v>16</v>
      </c>
      <c r="E195">
        <v>44</v>
      </c>
      <c r="F195">
        <v>0</v>
      </c>
      <c r="G195">
        <v>0</v>
      </c>
      <c r="H195">
        <v>1</v>
      </c>
      <c r="I195">
        <v>27.720800000000001</v>
      </c>
    </row>
    <row r="196" spans="1:9" x14ac:dyDescent="0.3">
      <c r="A196">
        <v>195</v>
      </c>
      <c r="B196">
        <v>1</v>
      </c>
      <c r="C196" t="s">
        <v>209</v>
      </c>
      <c r="D196" t="s">
        <v>16</v>
      </c>
      <c r="E196">
        <v>58</v>
      </c>
      <c r="F196">
        <v>0</v>
      </c>
      <c r="G196">
        <v>0</v>
      </c>
      <c r="H196">
        <v>1</v>
      </c>
      <c r="I196">
        <v>146.52080000000001</v>
      </c>
    </row>
    <row r="197" spans="1:9" x14ac:dyDescent="0.3">
      <c r="A197">
        <v>196</v>
      </c>
      <c r="B197">
        <v>0</v>
      </c>
      <c r="C197" t="s">
        <v>210</v>
      </c>
      <c r="D197" t="s">
        <v>14</v>
      </c>
      <c r="E197">
        <v>28</v>
      </c>
      <c r="F197">
        <v>0</v>
      </c>
      <c r="G197">
        <v>0</v>
      </c>
      <c r="H197">
        <v>3</v>
      </c>
      <c r="I197">
        <v>7.75</v>
      </c>
    </row>
    <row r="198" spans="1:9" x14ac:dyDescent="0.3">
      <c r="A198">
        <v>197</v>
      </c>
      <c r="B198">
        <v>0</v>
      </c>
      <c r="C198" t="s">
        <v>211</v>
      </c>
      <c r="D198" t="s">
        <v>14</v>
      </c>
      <c r="E198">
        <v>42</v>
      </c>
      <c r="F198">
        <v>0</v>
      </c>
      <c r="G198">
        <v>1</v>
      </c>
      <c r="H198">
        <v>3</v>
      </c>
      <c r="I198">
        <v>8.4041999999999994</v>
      </c>
    </row>
    <row r="199" spans="1:9" x14ac:dyDescent="0.3">
      <c r="A199">
        <v>198</v>
      </c>
      <c r="B199">
        <v>1</v>
      </c>
      <c r="C199" t="s">
        <v>212</v>
      </c>
      <c r="D199" t="s">
        <v>16</v>
      </c>
      <c r="E199">
        <v>21</v>
      </c>
      <c r="F199">
        <v>0</v>
      </c>
      <c r="G199">
        <v>0</v>
      </c>
      <c r="H199">
        <v>3</v>
      </c>
      <c r="I199">
        <v>7.75</v>
      </c>
    </row>
    <row r="200" spans="1:9" x14ac:dyDescent="0.3">
      <c r="A200">
        <v>199</v>
      </c>
      <c r="B200">
        <v>0</v>
      </c>
      <c r="C200" t="s">
        <v>213</v>
      </c>
      <c r="D200" t="s">
        <v>16</v>
      </c>
      <c r="E200">
        <v>24</v>
      </c>
      <c r="F200">
        <v>0</v>
      </c>
      <c r="G200">
        <v>0</v>
      </c>
      <c r="H200">
        <v>2</v>
      </c>
      <c r="I200">
        <v>13</v>
      </c>
    </row>
    <row r="201" spans="1:9" x14ac:dyDescent="0.3">
      <c r="A201">
        <v>200</v>
      </c>
      <c r="B201">
        <v>0</v>
      </c>
      <c r="C201" t="s">
        <v>214</v>
      </c>
      <c r="D201" t="s">
        <v>14</v>
      </c>
      <c r="E201">
        <v>28</v>
      </c>
      <c r="F201">
        <v>0</v>
      </c>
      <c r="G201">
        <v>0</v>
      </c>
      <c r="H201">
        <v>3</v>
      </c>
      <c r="I201">
        <v>9.5</v>
      </c>
    </row>
    <row r="202" spans="1:9" x14ac:dyDescent="0.3">
      <c r="A202">
        <v>201</v>
      </c>
      <c r="B202">
        <v>0</v>
      </c>
      <c r="C202" t="s">
        <v>215</v>
      </c>
      <c r="D202" t="s">
        <v>14</v>
      </c>
      <c r="E202">
        <v>17</v>
      </c>
      <c r="F202">
        <v>8</v>
      </c>
      <c r="G202">
        <v>2</v>
      </c>
      <c r="H202">
        <v>3</v>
      </c>
      <c r="I202">
        <v>69.55</v>
      </c>
    </row>
    <row r="203" spans="1:9" x14ac:dyDescent="0.3">
      <c r="A203">
        <v>202</v>
      </c>
      <c r="B203">
        <v>0</v>
      </c>
      <c r="C203" t="s">
        <v>216</v>
      </c>
      <c r="D203" t="s">
        <v>14</v>
      </c>
      <c r="E203">
        <v>34</v>
      </c>
      <c r="F203">
        <v>0</v>
      </c>
      <c r="G203">
        <v>0</v>
      </c>
      <c r="H203">
        <v>3</v>
      </c>
      <c r="I203">
        <v>6.4958</v>
      </c>
    </row>
    <row r="204" spans="1:9" x14ac:dyDescent="0.3">
      <c r="A204">
        <v>203</v>
      </c>
      <c r="B204">
        <v>0</v>
      </c>
      <c r="C204" t="s">
        <v>217</v>
      </c>
      <c r="D204" t="s">
        <v>14</v>
      </c>
      <c r="E204">
        <v>45.5</v>
      </c>
      <c r="F204">
        <v>0</v>
      </c>
      <c r="G204">
        <v>0</v>
      </c>
      <c r="H204">
        <v>3</v>
      </c>
      <c r="I204">
        <v>7.2249999999999996</v>
      </c>
    </row>
    <row r="205" spans="1:9" x14ac:dyDescent="0.3">
      <c r="A205">
        <v>204</v>
      </c>
      <c r="B205">
        <v>1</v>
      </c>
      <c r="C205" t="s">
        <v>218</v>
      </c>
      <c r="D205" t="s">
        <v>14</v>
      </c>
      <c r="E205">
        <v>18</v>
      </c>
      <c r="F205">
        <v>0</v>
      </c>
      <c r="G205">
        <v>0</v>
      </c>
      <c r="H205">
        <v>3</v>
      </c>
      <c r="I205">
        <v>8.0500000000000007</v>
      </c>
    </row>
    <row r="206" spans="1:9" x14ac:dyDescent="0.3">
      <c r="A206">
        <v>205</v>
      </c>
      <c r="B206">
        <v>0</v>
      </c>
      <c r="C206" t="s">
        <v>219</v>
      </c>
      <c r="D206" t="s">
        <v>16</v>
      </c>
      <c r="E206">
        <v>2</v>
      </c>
      <c r="F206">
        <v>0</v>
      </c>
      <c r="G206">
        <v>1</v>
      </c>
      <c r="H206">
        <v>3</v>
      </c>
      <c r="I206">
        <v>10.4625</v>
      </c>
    </row>
    <row r="207" spans="1:9" x14ac:dyDescent="0.3">
      <c r="A207">
        <v>206</v>
      </c>
      <c r="B207">
        <v>0</v>
      </c>
      <c r="C207" t="s">
        <v>220</v>
      </c>
      <c r="D207" t="s">
        <v>14</v>
      </c>
      <c r="E207">
        <v>32</v>
      </c>
      <c r="F207">
        <v>1</v>
      </c>
      <c r="G207">
        <v>0</v>
      </c>
      <c r="H207">
        <v>3</v>
      </c>
      <c r="I207">
        <v>15.85</v>
      </c>
    </row>
    <row r="208" spans="1:9" x14ac:dyDescent="0.3">
      <c r="A208">
        <v>207</v>
      </c>
      <c r="B208">
        <v>1</v>
      </c>
      <c r="C208" t="s">
        <v>221</v>
      </c>
      <c r="D208" t="s">
        <v>14</v>
      </c>
      <c r="E208">
        <v>26</v>
      </c>
      <c r="F208">
        <v>0</v>
      </c>
      <c r="G208">
        <v>0</v>
      </c>
      <c r="H208">
        <v>3</v>
      </c>
      <c r="I208">
        <v>18.787500000000001</v>
      </c>
    </row>
    <row r="209" spans="1:9" x14ac:dyDescent="0.3">
      <c r="A209">
        <v>208</v>
      </c>
      <c r="B209">
        <v>1</v>
      </c>
      <c r="C209" t="s">
        <v>222</v>
      </c>
      <c r="D209" t="s">
        <v>16</v>
      </c>
      <c r="E209">
        <v>16</v>
      </c>
      <c r="F209">
        <v>0</v>
      </c>
      <c r="G209">
        <v>0</v>
      </c>
      <c r="H209">
        <v>3</v>
      </c>
      <c r="I209">
        <v>7.75</v>
      </c>
    </row>
    <row r="210" spans="1:9" x14ac:dyDescent="0.3">
      <c r="A210">
        <v>209</v>
      </c>
      <c r="B210">
        <v>1</v>
      </c>
      <c r="C210" t="s">
        <v>223</v>
      </c>
      <c r="D210" t="s">
        <v>14</v>
      </c>
      <c r="E210">
        <v>40</v>
      </c>
      <c r="F210">
        <v>0</v>
      </c>
      <c r="G210">
        <v>0</v>
      </c>
      <c r="H210">
        <v>1</v>
      </c>
      <c r="I210">
        <v>31</v>
      </c>
    </row>
    <row r="211" spans="1:9" x14ac:dyDescent="0.3">
      <c r="A211">
        <v>210</v>
      </c>
      <c r="B211">
        <v>0</v>
      </c>
      <c r="C211" t="s">
        <v>224</v>
      </c>
      <c r="D211" t="s">
        <v>14</v>
      </c>
      <c r="E211">
        <v>24</v>
      </c>
      <c r="F211">
        <v>0</v>
      </c>
      <c r="G211">
        <v>0</v>
      </c>
      <c r="H211">
        <v>3</v>
      </c>
      <c r="I211">
        <v>7.05</v>
      </c>
    </row>
    <row r="212" spans="1:9" x14ac:dyDescent="0.3">
      <c r="A212">
        <v>211</v>
      </c>
      <c r="B212">
        <v>1</v>
      </c>
      <c r="C212" t="s">
        <v>225</v>
      </c>
      <c r="D212" t="s">
        <v>16</v>
      </c>
      <c r="E212">
        <v>35</v>
      </c>
      <c r="F212">
        <v>0</v>
      </c>
      <c r="G212">
        <v>0</v>
      </c>
      <c r="H212">
        <v>2</v>
      </c>
      <c r="I212">
        <v>21</v>
      </c>
    </row>
    <row r="213" spans="1:9" x14ac:dyDescent="0.3">
      <c r="A213">
        <v>212</v>
      </c>
      <c r="B213">
        <v>0</v>
      </c>
      <c r="C213" t="s">
        <v>226</v>
      </c>
      <c r="D213" t="s">
        <v>14</v>
      </c>
      <c r="E213">
        <v>22</v>
      </c>
      <c r="F213">
        <v>0</v>
      </c>
      <c r="G213">
        <v>0</v>
      </c>
      <c r="H213">
        <v>3</v>
      </c>
      <c r="I213">
        <v>7.25</v>
      </c>
    </row>
    <row r="214" spans="1:9" x14ac:dyDescent="0.3">
      <c r="A214">
        <v>213</v>
      </c>
      <c r="B214">
        <v>0</v>
      </c>
      <c r="C214" t="s">
        <v>227</v>
      </c>
      <c r="D214" t="s">
        <v>14</v>
      </c>
      <c r="E214">
        <v>30</v>
      </c>
      <c r="F214">
        <v>0</v>
      </c>
      <c r="G214">
        <v>0</v>
      </c>
      <c r="H214">
        <v>2</v>
      </c>
      <c r="I214">
        <v>13</v>
      </c>
    </row>
    <row r="215" spans="1:9" x14ac:dyDescent="0.3">
      <c r="A215">
        <v>214</v>
      </c>
      <c r="B215">
        <v>0</v>
      </c>
      <c r="C215" t="s">
        <v>228</v>
      </c>
      <c r="D215" t="s">
        <v>14</v>
      </c>
      <c r="E215">
        <v>22</v>
      </c>
      <c r="F215">
        <v>1</v>
      </c>
      <c r="G215">
        <v>0</v>
      </c>
      <c r="H215">
        <v>3</v>
      </c>
      <c r="I215">
        <v>7.75</v>
      </c>
    </row>
    <row r="216" spans="1:9" x14ac:dyDescent="0.3">
      <c r="A216">
        <v>215</v>
      </c>
      <c r="B216">
        <v>1</v>
      </c>
      <c r="C216" t="s">
        <v>229</v>
      </c>
      <c r="D216" t="s">
        <v>16</v>
      </c>
      <c r="E216">
        <v>31</v>
      </c>
      <c r="F216">
        <v>1</v>
      </c>
      <c r="G216">
        <v>0</v>
      </c>
      <c r="H216">
        <v>1</v>
      </c>
      <c r="I216">
        <v>113.27500000000001</v>
      </c>
    </row>
    <row r="217" spans="1:9" x14ac:dyDescent="0.3">
      <c r="A217">
        <v>216</v>
      </c>
      <c r="B217">
        <v>1</v>
      </c>
      <c r="C217" t="s">
        <v>230</v>
      </c>
      <c r="D217" t="s">
        <v>16</v>
      </c>
      <c r="E217">
        <v>27</v>
      </c>
      <c r="F217">
        <v>0</v>
      </c>
      <c r="G217">
        <v>0</v>
      </c>
      <c r="H217">
        <v>3</v>
      </c>
      <c r="I217">
        <v>7.9249999999999998</v>
      </c>
    </row>
    <row r="218" spans="1:9" x14ac:dyDescent="0.3">
      <c r="A218">
        <v>217</v>
      </c>
      <c r="B218">
        <v>0</v>
      </c>
      <c r="C218" t="s">
        <v>231</v>
      </c>
      <c r="D218" t="s">
        <v>14</v>
      </c>
      <c r="E218">
        <v>42</v>
      </c>
      <c r="F218">
        <v>1</v>
      </c>
      <c r="G218">
        <v>0</v>
      </c>
      <c r="H218">
        <v>2</v>
      </c>
      <c r="I218">
        <v>27</v>
      </c>
    </row>
    <row r="219" spans="1:9" x14ac:dyDescent="0.3">
      <c r="A219">
        <v>218</v>
      </c>
      <c r="B219">
        <v>1</v>
      </c>
      <c r="C219" t="s">
        <v>232</v>
      </c>
      <c r="D219" t="s">
        <v>16</v>
      </c>
      <c r="E219">
        <v>32</v>
      </c>
      <c r="F219">
        <v>0</v>
      </c>
      <c r="G219">
        <v>0</v>
      </c>
      <c r="H219">
        <v>1</v>
      </c>
      <c r="I219">
        <v>76.291700000000006</v>
      </c>
    </row>
    <row r="220" spans="1:9" x14ac:dyDescent="0.3">
      <c r="A220">
        <v>219</v>
      </c>
      <c r="B220">
        <v>0</v>
      </c>
      <c r="C220" t="s">
        <v>233</v>
      </c>
      <c r="D220" t="s">
        <v>14</v>
      </c>
      <c r="E220">
        <v>30</v>
      </c>
      <c r="F220">
        <v>0</v>
      </c>
      <c r="G220">
        <v>0</v>
      </c>
      <c r="H220">
        <v>2</v>
      </c>
      <c r="I220">
        <v>10.5</v>
      </c>
    </row>
    <row r="221" spans="1:9" x14ac:dyDescent="0.3">
      <c r="A221">
        <v>220</v>
      </c>
      <c r="B221">
        <v>1</v>
      </c>
      <c r="C221" t="s">
        <v>234</v>
      </c>
      <c r="D221" t="s">
        <v>14</v>
      </c>
      <c r="E221">
        <v>16</v>
      </c>
      <c r="F221">
        <v>0</v>
      </c>
      <c r="G221">
        <v>0</v>
      </c>
      <c r="H221">
        <v>3</v>
      </c>
      <c r="I221">
        <v>8.0500000000000007</v>
      </c>
    </row>
    <row r="222" spans="1:9" x14ac:dyDescent="0.3">
      <c r="A222">
        <v>221</v>
      </c>
      <c r="B222">
        <v>0</v>
      </c>
      <c r="C222" t="s">
        <v>235</v>
      </c>
      <c r="D222" t="s">
        <v>14</v>
      </c>
      <c r="E222">
        <v>27</v>
      </c>
      <c r="F222">
        <v>0</v>
      </c>
      <c r="G222">
        <v>0</v>
      </c>
      <c r="H222">
        <v>2</v>
      </c>
      <c r="I222">
        <v>13</v>
      </c>
    </row>
    <row r="223" spans="1:9" x14ac:dyDescent="0.3">
      <c r="A223">
        <v>222</v>
      </c>
      <c r="B223">
        <v>0</v>
      </c>
      <c r="C223" t="s">
        <v>236</v>
      </c>
      <c r="D223" t="s">
        <v>14</v>
      </c>
      <c r="E223">
        <v>51</v>
      </c>
      <c r="F223">
        <v>0</v>
      </c>
      <c r="G223">
        <v>0</v>
      </c>
      <c r="H223">
        <v>3</v>
      </c>
      <c r="I223">
        <v>8.0500000000000007</v>
      </c>
    </row>
    <row r="224" spans="1:9" x14ac:dyDescent="0.3">
      <c r="A224">
        <v>223</v>
      </c>
      <c r="B224">
        <v>0</v>
      </c>
      <c r="C224" t="s">
        <v>237</v>
      </c>
      <c r="D224" t="s">
        <v>14</v>
      </c>
      <c r="E224">
        <v>22</v>
      </c>
      <c r="F224">
        <v>0</v>
      </c>
      <c r="G224">
        <v>0</v>
      </c>
      <c r="H224">
        <v>3</v>
      </c>
      <c r="I224">
        <v>7.8958000000000004</v>
      </c>
    </row>
    <row r="225" spans="1:9" x14ac:dyDescent="0.3">
      <c r="A225">
        <v>224</v>
      </c>
      <c r="B225">
        <v>1</v>
      </c>
      <c r="C225" t="s">
        <v>238</v>
      </c>
      <c r="D225" t="s">
        <v>14</v>
      </c>
      <c r="E225">
        <v>38</v>
      </c>
      <c r="F225">
        <v>1</v>
      </c>
      <c r="G225">
        <v>0</v>
      </c>
      <c r="H225">
        <v>1</v>
      </c>
      <c r="I225">
        <v>90</v>
      </c>
    </row>
    <row r="226" spans="1:9" x14ac:dyDescent="0.3">
      <c r="A226">
        <v>225</v>
      </c>
      <c r="B226">
        <v>0</v>
      </c>
      <c r="C226" t="s">
        <v>239</v>
      </c>
      <c r="D226" t="s">
        <v>14</v>
      </c>
      <c r="E226">
        <v>22</v>
      </c>
      <c r="F226">
        <v>0</v>
      </c>
      <c r="G226">
        <v>0</v>
      </c>
      <c r="H226">
        <v>3</v>
      </c>
      <c r="I226">
        <v>9.35</v>
      </c>
    </row>
    <row r="227" spans="1:9" x14ac:dyDescent="0.3">
      <c r="A227">
        <v>226</v>
      </c>
      <c r="B227">
        <v>1</v>
      </c>
      <c r="C227" t="s">
        <v>240</v>
      </c>
      <c r="D227" t="s">
        <v>14</v>
      </c>
      <c r="E227">
        <v>19</v>
      </c>
      <c r="F227">
        <v>0</v>
      </c>
      <c r="G227">
        <v>0</v>
      </c>
      <c r="H227">
        <v>2</v>
      </c>
      <c r="I227">
        <v>10.5</v>
      </c>
    </row>
    <row r="228" spans="1:9" x14ac:dyDescent="0.3">
      <c r="A228">
        <v>227</v>
      </c>
      <c r="B228">
        <v>0</v>
      </c>
      <c r="C228" t="s">
        <v>241</v>
      </c>
      <c r="D228" t="s">
        <v>14</v>
      </c>
      <c r="E228">
        <v>20.5</v>
      </c>
      <c r="F228">
        <v>0</v>
      </c>
      <c r="G228">
        <v>0</v>
      </c>
      <c r="H228">
        <v>3</v>
      </c>
      <c r="I228">
        <v>7.25</v>
      </c>
    </row>
    <row r="229" spans="1:9" x14ac:dyDescent="0.3">
      <c r="A229">
        <v>228</v>
      </c>
      <c r="B229">
        <v>0</v>
      </c>
      <c r="C229" t="s">
        <v>242</v>
      </c>
      <c r="D229" t="s">
        <v>14</v>
      </c>
      <c r="E229">
        <v>18</v>
      </c>
      <c r="F229">
        <v>0</v>
      </c>
      <c r="G229">
        <v>0</v>
      </c>
      <c r="H229">
        <v>2</v>
      </c>
      <c r="I229">
        <v>13</v>
      </c>
    </row>
    <row r="230" spans="1:9" x14ac:dyDescent="0.3">
      <c r="A230">
        <v>229</v>
      </c>
      <c r="B230">
        <v>0</v>
      </c>
      <c r="C230" t="s">
        <v>243</v>
      </c>
      <c r="D230" t="s">
        <v>16</v>
      </c>
      <c r="E230">
        <v>12</v>
      </c>
      <c r="F230">
        <v>3</v>
      </c>
      <c r="G230">
        <v>1</v>
      </c>
      <c r="H230">
        <v>3</v>
      </c>
      <c r="I230">
        <v>25.466699999999999</v>
      </c>
    </row>
    <row r="231" spans="1:9" x14ac:dyDescent="0.3">
      <c r="A231">
        <v>230</v>
      </c>
      <c r="B231">
        <v>1</v>
      </c>
      <c r="C231" t="s">
        <v>244</v>
      </c>
      <c r="D231" t="s">
        <v>16</v>
      </c>
      <c r="E231">
        <v>35</v>
      </c>
      <c r="F231">
        <v>1</v>
      </c>
      <c r="G231">
        <v>0</v>
      </c>
      <c r="H231">
        <v>1</v>
      </c>
      <c r="I231">
        <v>83.474999999999994</v>
      </c>
    </row>
    <row r="232" spans="1:9" x14ac:dyDescent="0.3">
      <c r="A232">
        <v>231</v>
      </c>
      <c r="B232">
        <v>0</v>
      </c>
      <c r="C232" t="s">
        <v>245</v>
      </c>
      <c r="D232" t="s">
        <v>14</v>
      </c>
      <c r="E232">
        <v>29</v>
      </c>
      <c r="F232">
        <v>0</v>
      </c>
      <c r="G232">
        <v>0</v>
      </c>
      <c r="H232">
        <v>3</v>
      </c>
      <c r="I232">
        <v>7.7750000000000004</v>
      </c>
    </row>
    <row r="233" spans="1:9" x14ac:dyDescent="0.3">
      <c r="A233">
        <v>232</v>
      </c>
      <c r="B233">
        <v>0</v>
      </c>
      <c r="C233" t="s">
        <v>246</v>
      </c>
      <c r="D233" t="s">
        <v>14</v>
      </c>
      <c r="E233">
        <v>59</v>
      </c>
      <c r="F233">
        <v>0</v>
      </c>
      <c r="G233">
        <v>0</v>
      </c>
      <c r="H233">
        <v>2</v>
      </c>
      <c r="I233">
        <v>13.5</v>
      </c>
    </row>
    <row r="234" spans="1:9" x14ac:dyDescent="0.3">
      <c r="A234">
        <v>233</v>
      </c>
      <c r="B234">
        <v>1</v>
      </c>
      <c r="C234" t="s">
        <v>247</v>
      </c>
      <c r="D234" t="s">
        <v>16</v>
      </c>
      <c r="E234">
        <v>5</v>
      </c>
      <c r="F234">
        <v>4</v>
      </c>
      <c r="G234">
        <v>2</v>
      </c>
      <c r="H234">
        <v>3</v>
      </c>
      <c r="I234">
        <v>31.387499999999999</v>
      </c>
    </row>
    <row r="235" spans="1:9" x14ac:dyDescent="0.3">
      <c r="A235">
        <v>234</v>
      </c>
      <c r="B235">
        <v>0</v>
      </c>
      <c r="C235" t="s">
        <v>248</v>
      </c>
      <c r="D235" t="s">
        <v>14</v>
      </c>
      <c r="E235">
        <v>24</v>
      </c>
      <c r="F235">
        <v>0</v>
      </c>
      <c r="G235">
        <v>0</v>
      </c>
      <c r="H235">
        <v>2</v>
      </c>
      <c r="I235">
        <v>10.5</v>
      </c>
    </row>
    <row r="236" spans="1:9" x14ac:dyDescent="0.3">
      <c r="A236">
        <v>235</v>
      </c>
      <c r="B236">
        <v>0</v>
      </c>
      <c r="C236" t="s">
        <v>249</v>
      </c>
      <c r="D236" t="s">
        <v>16</v>
      </c>
      <c r="E236">
        <v>21</v>
      </c>
      <c r="F236">
        <v>0</v>
      </c>
      <c r="G236">
        <v>0</v>
      </c>
      <c r="H236">
        <v>3</v>
      </c>
      <c r="I236">
        <v>7.55</v>
      </c>
    </row>
    <row r="237" spans="1:9" x14ac:dyDescent="0.3">
      <c r="A237">
        <v>236</v>
      </c>
      <c r="B237">
        <v>0</v>
      </c>
      <c r="C237" t="s">
        <v>250</v>
      </c>
      <c r="D237" t="s">
        <v>14</v>
      </c>
      <c r="E237">
        <v>44</v>
      </c>
      <c r="F237">
        <v>1</v>
      </c>
      <c r="G237">
        <v>0</v>
      </c>
      <c r="H237">
        <v>2</v>
      </c>
      <c r="I237">
        <v>26</v>
      </c>
    </row>
    <row r="238" spans="1:9" x14ac:dyDescent="0.3">
      <c r="A238">
        <v>237</v>
      </c>
      <c r="B238">
        <v>1</v>
      </c>
      <c r="C238" t="s">
        <v>251</v>
      </c>
      <c r="D238" t="s">
        <v>16</v>
      </c>
      <c r="E238">
        <v>8</v>
      </c>
      <c r="F238">
        <v>0</v>
      </c>
      <c r="G238">
        <v>2</v>
      </c>
      <c r="H238">
        <v>2</v>
      </c>
      <c r="I238">
        <v>26.25</v>
      </c>
    </row>
    <row r="239" spans="1:9" x14ac:dyDescent="0.3">
      <c r="A239">
        <v>238</v>
      </c>
      <c r="B239">
        <v>0</v>
      </c>
      <c r="C239" t="s">
        <v>252</v>
      </c>
      <c r="D239" t="s">
        <v>14</v>
      </c>
      <c r="E239">
        <v>19</v>
      </c>
      <c r="F239">
        <v>0</v>
      </c>
      <c r="G239">
        <v>0</v>
      </c>
      <c r="H239">
        <v>2</v>
      </c>
      <c r="I239">
        <v>10.5</v>
      </c>
    </row>
    <row r="240" spans="1:9" x14ac:dyDescent="0.3">
      <c r="A240">
        <v>239</v>
      </c>
      <c r="B240">
        <v>0</v>
      </c>
      <c r="C240" t="s">
        <v>253</v>
      </c>
      <c r="D240" t="s">
        <v>14</v>
      </c>
      <c r="E240">
        <v>33</v>
      </c>
      <c r="F240">
        <v>0</v>
      </c>
      <c r="G240">
        <v>0</v>
      </c>
      <c r="H240">
        <v>2</v>
      </c>
      <c r="I240">
        <v>12.275</v>
      </c>
    </row>
    <row r="241" spans="1:9" x14ac:dyDescent="0.3">
      <c r="A241">
        <v>240</v>
      </c>
      <c r="B241">
        <v>0</v>
      </c>
      <c r="C241" t="s">
        <v>254</v>
      </c>
      <c r="D241" t="s">
        <v>16</v>
      </c>
      <c r="E241">
        <v>19</v>
      </c>
      <c r="F241">
        <v>1</v>
      </c>
      <c r="G241">
        <v>0</v>
      </c>
      <c r="H241">
        <v>3</v>
      </c>
      <c r="I241">
        <v>14.4542</v>
      </c>
    </row>
    <row r="242" spans="1:9" x14ac:dyDescent="0.3">
      <c r="A242">
        <v>241</v>
      </c>
      <c r="B242">
        <v>1</v>
      </c>
      <c r="C242" t="s">
        <v>255</v>
      </c>
      <c r="D242" t="s">
        <v>16</v>
      </c>
      <c r="E242">
        <v>18</v>
      </c>
      <c r="F242">
        <v>1</v>
      </c>
      <c r="G242">
        <v>0</v>
      </c>
      <c r="H242">
        <v>3</v>
      </c>
      <c r="I242">
        <v>15.5</v>
      </c>
    </row>
    <row r="243" spans="1:9" x14ac:dyDescent="0.3">
      <c r="A243">
        <v>242</v>
      </c>
      <c r="B243">
        <v>0</v>
      </c>
      <c r="C243" t="s">
        <v>256</v>
      </c>
      <c r="D243" t="s">
        <v>14</v>
      </c>
      <c r="E243">
        <v>29</v>
      </c>
      <c r="F243">
        <v>0</v>
      </c>
      <c r="G243">
        <v>0</v>
      </c>
      <c r="H243">
        <v>2</v>
      </c>
      <c r="I243">
        <v>10.5</v>
      </c>
    </row>
    <row r="244" spans="1:9" x14ac:dyDescent="0.3">
      <c r="A244">
        <v>243</v>
      </c>
      <c r="B244">
        <v>0</v>
      </c>
      <c r="C244" t="s">
        <v>257</v>
      </c>
      <c r="D244" t="s">
        <v>14</v>
      </c>
      <c r="E244">
        <v>22</v>
      </c>
      <c r="F244">
        <v>0</v>
      </c>
      <c r="G244">
        <v>0</v>
      </c>
      <c r="H244">
        <v>3</v>
      </c>
      <c r="I244">
        <v>7.125</v>
      </c>
    </row>
    <row r="245" spans="1:9" x14ac:dyDescent="0.3">
      <c r="A245">
        <v>244</v>
      </c>
      <c r="B245">
        <v>0</v>
      </c>
      <c r="C245" t="s">
        <v>258</v>
      </c>
      <c r="D245" t="s">
        <v>14</v>
      </c>
      <c r="E245">
        <v>30</v>
      </c>
      <c r="F245">
        <v>0</v>
      </c>
      <c r="G245">
        <v>0</v>
      </c>
      <c r="H245">
        <v>3</v>
      </c>
      <c r="I245">
        <v>7.2249999999999996</v>
      </c>
    </row>
    <row r="246" spans="1:9" x14ac:dyDescent="0.3">
      <c r="A246">
        <v>245</v>
      </c>
      <c r="B246">
        <v>0</v>
      </c>
      <c r="C246" t="s">
        <v>259</v>
      </c>
      <c r="D246" t="s">
        <v>14</v>
      </c>
      <c r="E246">
        <v>44</v>
      </c>
      <c r="F246">
        <v>2</v>
      </c>
      <c r="G246">
        <v>0</v>
      </c>
      <c r="H246">
        <v>1</v>
      </c>
      <c r="I246">
        <v>90</v>
      </c>
    </row>
    <row r="247" spans="1:9" x14ac:dyDescent="0.3">
      <c r="A247">
        <v>246</v>
      </c>
      <c r="B247">
        <v>0</v>
      </c>
      <c r="C247" t="s">
        <v>260</v>
      </c>
      <c r="D247" t="s">
        <v>16</v>
      </c>
      <c r="E247">
        <v>25</v>
      </c>
      <c r="F247">
        <v>0</v>
      </c>
      <c r="G247">
        <v>0</v>
      </c>
      <c r="H247">
        <v>3</v>
      </c>
      <c r="I247">
        <v>7.7750000000000004</v>
      </c>
    </row>
    <row r="248" spans="1:9" x14ac:dyDescent="0.3">
      <c r="A248">
        <v>247</v>
      </c>
      <c r="B248">
        <v>1</v>
      </c>
      <c r="C248" t="s">
        <v>261</v>
      </c>
      <c r="D248" t="s">
        <v>16</v>
      </c>
      <c r="E248">
        <v>24</v>
      </c>
      <c r="F248">
        <v>0</v>
      </c>
      <c r="G248">
        <v>2</v>
      </c>
      <c r="H248">
        <v>2</v>
      </c>
      <c r="I248">
        <v>14.5</v>
      </c>
    </row>
    <row r="249" spans="1:9" x14ac:dyDescent="0.3">
      <c r="A249">
        <v>248</v>
      </c>
      <c r="B249">
        <v>1</v>
      </c>
      <c r="C249" t="s">
        <v>262</v>
      </c>
      <c r="D249" t="s">
        <v>14</v>
      </c>
      <c r="E249">
        <v>37</v>
      </c>
      <c r="F249">
        <v>1</v>
      </c>
      <c r="G249">
        <v>1</v>
      </c>
      <c r="H249">
        <v>1</v>
      </c>
      <c r="I249">
        <v>52.554200000000002</v>
      </c>
    </row>
    <row r="250" spans="1:9" x14ac:dyDescent="0.3">
      <c r="A250">
        <v>249</v>
      </c>
      <c r="B250">
        <v>0</v>
      </c>
      <c r="C250" t="s">
        <v>263</v>
      </c>
      <c r="D250" t="s">
        <v>14</v>
      </c>
      <c r="E250">
        <v>54</v>
      </c>
      <c r="F250">
        <v>1</v>
      </c>
      <c r="G250">
        <v>0</v>
      </c>
      <c r="H250">
        <v>2</v>
      </c>
      <c r="I250">
        <v>26</v>
      </c>
    </row>
    <row r="251" spans="1:9" x14ac:dyDescent="0.3">
      <c r="A251">
        <v>250</v>
      </c>
      <c r="B251">
        <v>0</v>
      </c>
      <c r="C251" t="s">
        <v>264</v>
      </c>
      <c r="D251" t="s">
        <v>14</v>
      </c>
      <c r="E251">
        <v>18</v>
      </c>
      <c r="F251">
        <v>0</v>
      </c>
      <c r="G251">
        <v>0</v>
      </c>
      <c r="H251">
        <v>3</v>
      </c>
      <c r="I251">
        <v>7.25</v>
      </c>
    </row>
    <row r="252" spans="1:9" x14ac:dyDescent="0.3">
      <c r="A252">
        <v>251</v>
      </c>
      <c r="B252">
        <v>0</v>
      </c>
      <c r="C252" t="s">
        <v>265</v>
      </c>
      <c r="D252" t="s">
        <v>16</v>
      </c>
      <c r="E252">
        <v>29</v>
      </c>
      <c r="F252">
        <v>1</v>
      </c>
      <c r="G252">
        <v>1</v>
      </c>
      <c r="H252">
        <v>3</v>
      </c>
      <c r="I252">
        <v>10.4625</v>
      </c>
    </row>
    <row r="253" spans="1:9" x14ac:dyDescent="0.3">
      <c r="A253">
        <v>252</v>
      </c>
      <c r="B253">
        <v>0</v>
      </c>
      <c r="C253" t="s">
        <v>266</v>
      </c>
      <c r="D253" t="s">
        <v>14</v>
      </c>
      <c r="E253">
        <v>62</v>
      </c>
      <c r="F253">
        <v>0</v>
      </c>
      <c r="G253">
        <v>0</v>
      </c>
      <c r="H253">
        <v>1</v>
      </c>
      <c r="I253">
        <v>26.55</v>
      </c>
    </row>
    <row r="254" spans="1:9" x14ac:dyDescent="0.3">
      <c r="A254">
        <v>253</v>
      </c>
      <c r="B254">
        <v>0</v>
      </c>
      <c r="C254" t="s">
        <v>267</v>
      </c>
      <c r="D254" t="s">
        <v>14</v>
      </c>
      <c r="E254">
        <v>30</v>
      </c>
      <c r="F254">
        <v>1</v>
      </c>
      <c r="G254">
        <v>0</v>
      </c>
      <c r="H254">
        <v>3</v>
      </c>
      <c r="I254">
        <v>16.100000000000001</v>
      </c>
    </row>
    <row r="255" spans="1:9" x14ac:dyDescent="0.3">
      <c r="A255">
        <v>254</v>
      </c>
      <c r="B255">
        <v>0</v>
      </c>
      <c r="C255" t="s">
        <v>268</v>
      </c>
      <c r="D255" t="s">
        <v>16</v>
      </c>
      <c r="E255">
        <v>41</v>
      </c>
      <c r="F255">
        <v>0</v>
      </c>
      <c r="G255">
        <v>2</v>
      </c>
      <c r="H255">
        <v>3</v>
      </c>
      <c r="I255">
        <v>20.212499999999999</v>
      </c>
    </row>
    <row r="256" spans="1:9" x14ac:dyDescent="0.3">
      <c r="A256">
        <v>255</v>
      </c>
      <c r="B256">
        <v>1</v>
      </c>
      <c r="C256" t="s">
        <v>269</v>
      </c>
      <c r="D256" t="s">
        <v>16</v>
      </c>
      <c r="E256">
        <v>29</v>
      </c>
      <c r="F256">
        <v>0</v>
      </c>
      <c r="G256">
        <v>2</v>
      </c>
      <c r="H256">
        <v>3</v>
      </c>
      <c r="I256">
        <v>15.245799999999999</v>
      </c>
    </row>
    <row r="257" spans="1:9" x14ac:dyDescent="0.3">
      <c r="A257">
        <v>256</v>
      </c>
      <c r="B257">
        <v>1</v>
      </c>
      <c r="C257" t="s">
        <v>270</v>
      </c>
      <c r="D257" t="s">
        <v>16</v>
      </c>
      <c r="E257">
        <v>38</v>
      </c>
      <c r="F257">
        <v>0</v>
      </c>
      <c r="G257">
        <v>0</v>
      </c>
      <c r="H257">
        <v>1</v>
      </c>
      <c r="I257">
        <v>79.2</v>
      </c>
    </row>
    <row r="258" spans="1:9" x14ac:dyDescent="0.3">
      <c r="A258">
        <v>257</v>
      </c>
      <c r="B258">
        <v>1</v>
      </c>
      <c r="C258" t="s">
        <v>271</v>
      </c>
      <c r="D258" t="s">
        <v>16</v>
      </c>
      <c r="E258">
        <v>30</v>
      </c>
      <c r="F258">
        <v>0</v>
      </c>
      <c r="G258">
        <v>0</v>
      </c>
      <c r="H258">
        <v>1</v>
      </c>
      <c r="I258">
        <v>86.5</v>
      </c>
    </row>
    <row r="259" spans="1:9" x14ac:dyDescent="0.3">
      <c r="A259">
        <v>258</v>
      </c>
      <c r="B259">
        <v>1</v>
      </c>
      <c r="C259" t="s">
        <v>272</v>
      </c>
      <c r="D259" t="s">
        <v>16</v>
      </c>
      <c r="E259">
        <v>35</v>
      </c>
      <c r="F259">
        <v>0</v>
      </c>
      <c r="G259">
        <v>0</v>
      </c>
      <c r="H259">
        <v>1</v>
      </c>
      <c r="I259">
        <v>512.32920000000001</v>
      </c>
    </row>
    <row r="260" spans="1:9" x14ac:dyDescent="0.3">
      <c r="A260">
        <v>259</v>
      </c>
      <c r="B260">
        <v>1</v>
      </c>
      <c r="C260" t="s">
        <v>273</v>
      </c>
      <c r="D260" t="s">
        <v>16</v>
      </c>
      <c r="E260">
        <v>50</v>
      </c>
      <c r="F260">
        <v>0</v>
      </c>
      <c r="G260">
        <v>1</v>
      </c>
      <c r="H260">
        <v>2</v>
      </c>
      <c r="I260">
        <v>26</v>
      </c>
    </row>
    <row r="261" spans="1:9" x14ac:dyDescent="0.3">
      <c r="A261">
        <v>260</v>
      </c>
      <c r="B261">
        <v>1</v>
      </c>
      <c r="C261" t="s">
        <v>274</v>
      </c>
      <c r="D261" t="s">
        <v>14</v>
      </c>
      <c r="E261">
        <v>3</v>
      </c>
      <c r="F261">
        <v>4</v>
      </c>
      <c r="G261">
        <v>2</v>
      </c>
      <c r="H261">
        <v>3</v>
      </c>
      <c r="I261">
        <v>31.387499999999999</v>
      </c>
    </row>
    <row r="262" spans="1:9" x14ac:dyDescent="0.3">
      <c r="A262">
        <v>261</v>
      </c>
      <c r="B262">
        <v>0</v>
      </c>
      <c r="C262" t="s">
        <v>275</v>
      </c>
      <c r="D262" t="s">
        <v>14</v>
      </c>
      <c r="E262">
        <v>52</v>
      </c>
      <c r="F262">
        <v>1</v>
      </c>
      <c r="G262">
        <v>1</v>
      </c>
      <c r="H262">
        <v>1</v>
      </c>
      <c r="I262">
        <v>79.650000000000006</v>
      </c>
    </row>
    <row r="263" spans="1:9" x14ac:dyDescent="0.3">
      <c r="A263">
        <v>262</v>
      </c>
      <c r="B263">
        <v>0</v>
      </c>
      <c r="C263" t="s">
        <v>276</v>
      </c>
      <c r="D263" t="s">
        <v>14</v>
      </c>
      <c r="E263">
        <v>40</v>
      </c>
      <c r="F263">
        <v>0</v>
      </c>
      <c r="G263">
        <v>0</v>
      </c>
      <c r="H263">
        <v>1</v>
      </c>
      <c r="I263">
        <v>0</v>
      </c>
    </row>
    <row r="264" spans="1:9" x14ac:dyDescent="0.3">
      <c r="A264">
        <v>263</v>
      </c>
      <c r="B264">
        <v>0</v>
      </c>
      <c r="C264" t="s">
        <v>277</v>
      </c>
      <c r="D264" t="s">
        <v>16</v>
      </c>
      <c r="E264">
        <v>21</v>
      </c>
      <c r="F264">
        <v>0</v>
      </c>
      <c r="G264">
        <v>0</v>
      </c>
      <c r="H264">
        <v>3</v>
      </c>
      <c r="I264">
        <v>7.75</v>
      </c>
    </row>
    <row r="265" spans="1:9" x14ac:dyDescent="0.3">
      <c r="A265">
        <v>264</v>
      </c>
      <c r="B265">
        <v>0</v>
      </c>
      <c r="C265" t="s">
        <v>278</v>
      </c>
      <c r="D265" t="s">
        <v>14</v>
      </c>
      <c r="E265">
        <v>36</v>
      </c>
      <c r="F265">
        <v>0</v>
      </c>
      <c r="G265">
        <v>0</v>
      </c>
      <c r="H265">
        <v>2</v>
      </c>
      <c r="I265">
        <v>10.5</v>
      </c>
    </row>
    <row r="266" spans="1:9" x14ac:dyDescent="0.3">
      <c r="A266">
        <v>265</v>
      </c>
      <c r="B266">
        <v>0</v>
      </c>
      <c r="C266" t="s">
        <v>279</v>
      </c>
      <c r="D266" t="s">
        <v>14</v>
      </c>
      <c r="E266">
        <v>16</v>
      </c>
      <c r="F266">
        <v>4</v>
      </c>
      <c r="G266">
        <v>1</v>
      </c>
      <c r="H266">
        <v>3</v>
      </c>
      <c r="I266">
        <v>39.6875</v>
      </c>
    </row>
    <row r="267" spans="1:9" x14ac:dyDescent="0.3">
      <c r="A267">
        <v>266</v>
      </c>
      <c r="B267">
        <v>1</v>
      </c>
      <c r="C267" t="s">
        <v>280</v>
      </c>
      <c r="D267" t="s">
        <v>14</v>
      </c>
      <c r="E267">
        <v>25</v>
      </c>
      <c r="F267">
        <v>1</v>
      </c>
      <c r="G267">
        <v>0</v>
      </c>
      <c r="H267">
        <v>3</v>
      </c>
      <c r="I267">
        <v>7.7750000000000004</v>
      </c>
    </row>
    <row r="268" spans="1:9" x14ac:dyDescent="0.3">
      <c r="A268">
        <v>267</v>
      </c>
      <c r="B268">
        <v>1</v>
      </c>
      <c r="C268" t="s">
        <v>281</v>
      </c>
      <c r="D268" t="s">
        <v>16</v>
      </c>
      <c r="E268">
        <v>58</v>
      </c>
      <c r="F268">
        <v>0</v>
      </c>
      <c r="G268">
        <v>1</v>
      </c>
      <c r="H268">
        <v>1</v>
      </c>
      <c r="I268">
        <v>153.46250000000001</v>
      </c>
    </row>
    <row r="269" spans="1:9" x14ac:dyDescent="0.3">
      <c r="A269">
        <v>268</v>
      </c>
      <c r="B269">
        <v>1</v>
      </c>
      <c r="C269" t="s">
        <v>282</v>
      </c>
      <c r="D269" t="s">
        <v>16</v>
      </c>
      <c r="E269">
        <v>35</v>
      </c>
      <c r="F269">
        <v>0</v>
      </c>
      <c r="G269">
        <v>0</v>
      </c>
      <c r="H269">
        <v>1</v>
      </c>
      <c r="I269">
        <v>135.63329999999999</v>
      </c>
    </row>
    <row r="270" spans="1:9" x14ac:dyDescent="0.3">
      <c r="A270">
        <v>269</v>
      </c>
      <c r="B270">
        <v>0</v>
      </c>
      <c r="C270" t="s">
        <v>283</v>
      </c>
      <c r="D270" t="s">
        <v>14</v>
      </c>
      <c r="E270">
        <v>28</v>
      </c>
      <c r="F270">
        <v>0</v>
      </c>
      <c r="G270">
        <v>0</v>
      </c>
      <c r="H270">
        <v>1</v>
      </c>
      <c r="I270">
        <v>31</v>
      </c>
    </row>
    <row r="271" spans="1:9" x14ac:dyDescent="0.3">
      <c r="A271">
        <v>270</v>
      </c>
      <c r="B271">
        <v>1</v>
      </c>
      <c r="C271" t="s">
        <v>284</v>
      </c>
      <c r="D271" t="s">
        <v>14</v>
      </c>
      <c r="E271">
        <v>25</v>
      </c>
      <c r="F271">
        <v>0</v>
      </c>
      <c r="G271">
        <v>0</v>
      </c>
      <c r="H271">
        <v>3</v>
      </c>
      <c r="I271">
        <v>0</v>
      </c>
    </row>
    <row r="272" spans="1:9" x14ac:dyDescent="0.3">
      <c r="A272">
        <v>271</v>
      </c>
      <c r="B272">
        <v>1</v>
      </c>
      <c r="C272" t="s">
        <v>285</v>
      </c>
      <c r="D272" t="s">
        <v>16</v>
      </c>
      <c r="E272">
        <v>41</v>
      </c>
      <c r="F272">
        <v>0</v>
      </c>
      <c r="G272">
        <v>1</v>
      </c>
      <c r="H272">
        <v>2</v>
      </c>
      <c r="I272">
        <v>19.5</v>
      </c>
    </row>
    <row r="273" spans="1:9" x14ac:dyDescent="0.3">
      <c r="A273">
        <v>272</v>
      </c>
      <c r="B273">
        <v>0</v>
      </c>
      <c r="C273" t="s">
        <v>286</v>
      </c>
      <c r="D273" t="s">
        <v>14</v>
      </c>
      <c r="E273">
        <v>37</v>
      </c>
      <c r="F273">
        <v>0</v>
      </c>
      <c r="G273">
        <v>1</v>
      </c>
      <c r="H273">
        <v>1</v>
      </c>
      <c r="I273">
        <v>29.7</v>
      </c>
    </row>
    <row r="274" spans="1:9" x14ac:dyDescent="0.3">
      <c r="A274">
        <v>273</v>
      </c>
      <c r="B274">
        <v>1</v>
      </c>
      <c r="C274" t="s">
        <v>287</v>
      </c>
      <c r="D274" t="s">
        <v>16</v>
      </c>
      <c r="E274">
        <v>33</v>
      </c>
      <c r="F274">
        <v>0</v>
      </c>
      <c r="G274">
        <v>0</v>
      </c>
      <c r="H274">
        <v>3</v>
      </c>
      <c r="I274">
        <v>7.75</v>
      </c>
    </row>
    <row r="275" spans="1:9" x14ac:dyDescent="0.3">
      <c r="A275">
        <v>274</v>
      </c>
      <c r="B275">
        <v>1</v>
      </c>
      <c r="C275" t="s">
        <v>288</v>
      </c>
      <c r="D275" t="s">
        <v>16</v>
      </c>
      <c r="E275">
        <v>63</v>
      </c>
      <c r="F275">
        <v>1</v>
      </c>
      <c r="G275">
        <v>0</v>
      </c>
      <c r="H275">
        <v>1</v>
      </c>
      <c r="I275">
        <v>77.958299999999994</v>
      </c>
    </row>
    <row r="276" spans="1:9" x14ac:dyDescent="0.3">
      <c r="A276">
        <v>275</v>
      </c>
      <c r="B276">
        <v>0</v>
      </c>
      <c r="C276" t="s">
        <v>289</v>
      </c>
      <c r="D276" t="s">
        <v>16</v>
      </c>
      <c r="E276">
        <v>45</v>
      </c>
      <c r="F276">
        <v>0</v>
      </c>
      <c r="G276">
        <v>0</v>
      </c>
      <c r="H276">
        <v>3</v>
      </c>
      <c r="I276">
        <v>7.75</v>
      </c>
    </row>
    <row r="277" spans="1:9" x14ac:dyDescent="0.3">
      <c r="A277">
        <v>276</v>
      </c>
      <c r="B277">
        <v>0</v>
      </c>
      <c r="C277" t="s">
        <v>290</v>
      </c>
      <c r="D277" t="s">
        <v>14</v>
      </c>
      <c r="E277">
        <v>21</v>
      </c>
      <c r="F277">
        <v>0</v>
      </c>
      <c r="G277">
        <v>0</v>
      </c>
      <c r="H277">
        <v>2</v>
      </c>
      <c r="I277">
        <v>0</v>
      </c>
    </row>
    <row r="278" spans="1:9" x14ac:dyDescent="0.3">
      <c r="A278">
        <v>277</v>
      </c>
      <c r="B278">
        <v>0</v>
      </c>
      <c r="C278" t="s">
        <v>291</v>
      </c>
      <c r="D278" t="s">
        <v>14</v>
      </c>
      <c r="E278">
        <v>7</v>
      </c>
      <c r="F278">
        <v>4</v>
      </c>
      <c r="G278">
        <v>1</v>
      </c>
      <c r="H278">
        <v>3</v>
      </c>
      <c r="I278">
        <v>29.125</v>
      </c>
    </row>
    <row r="279" spans="1:9" x14ac:dyDescent="0.3">
      <c r="A279">
        <v>278</v>
      </c>
      <c r="B279">
        <v>1</v>
      </c>
      <c r="C279" t="s">
        <v>292</v>
      </c>
      <c r="D279" t="s">
        <v>16</v>
      </c>
      <c r="E279">
        <v>35</v>
      </c>
      <c r="F279">
        <v>1</v>
      </c>
      <c r="G279">
        <v>1</v>
      </c>
      <c r="H279">
        <v>3</v>
      </c>
      <c r="I279">
        <v>20.25</v>
      </c>
    </row>
    <row r="280" spans="1:9" x14ac:dyDescent="0.3">
      <c r="A280">
        <v>279</v>
      </c>
      <c r="B280">
        <v>0</v>
      </c>
      <c r="C280" t="s">
        <v>293</v>
      </c>
      <c r="D280" t="s">
        <v>14</v>
      </c>
      <c r="E280">
        <v>65</v>
      </c>
      <c r="F280">
        <v>0</v>
      </c>
      <c r="G280">
        <v>0</v>
      </c>
      <c r="H280">
        <v>3</v>
      </c>
      <c r="I280">
        <v>7.75</v>
      </c>
    </row>
    <row r="281" spans="1:9" x14ac:dyDescent="0.3">
      <c r="A281">
        <v>280</v>
      </c>
      <c r="B281">
        <v>0</v>
      </c>
      <c r="C281" t="s">
        <v>294</v>
      </c>
      <c r="D281" t="s">
        <v>14</v>
      </c>
      <c r="E281">
        <v>28</v>
      </c>
      <c r="F281">
        <v>0</v>
      </c>
      <c r="G281">
        <v>0</v>
      </c>
      <c r="H281">
        <v>3</v>
      </c>
      <c r="I281">
        <v>7.8541999999999996</v>
      </c>
    </row>
    <row r="282" spans="1:9" x14ac:dyDescent="0.3">
      <c r="A282">
        <v>281</v>
      </c>
      <c r="B282">
        <v>0</v>
      </c>
      <c r="C282" t="s">
        <v>295</v>
      </c>
      <c r="D282" t="s">
        <v>14</v>
      </c>
      <c r="E282">
        <v>16</v>
      </c>
      <c r="F282">
        <v>0</v>
      </c>
      <c r="G282">
        <v>0</v>
      </c>
      <c r="H282">
        <v>3</v>
      </c>
      <c r="I282">
        <v>9.5</v>
      </c>
    </row>
    <row r="283" spans="1:9" x14ac:dyDescent="0.3">
      <c r="A283">
        <v>282</v>
      </c>
      <c r="B283">
        <v>1</v>
      </c>
      <c r="C283" t="s">
        <v>296</v>
      </c>
      <c r="D283" t="s">
        <v>14</v>
      </c>
      <c r="E283">
        <v>19</v>
      </c>
      <c r="F283">
        <v>0</v>
      </c>
      <c r="G283">
        <v>0</v>
      </c>
      <c r="H283">
        <v>3</v>
      </c>
      <c r="I283">
        <v>8.0500000000000007</v>
      </c>
    </row>
    <row r="284" spans="1:9" x14ac:dyDescent="0.3">
      <c r="A284">
        <v>283</v>
      </c>
      <c r="B284">
        <v>0</v>
      </c>
      <c r="C284" t="s">
        <v>297</v>
      </c>
      <c r="D284" t="s">
        <v>14</v>
      </c>
      <c r="E284">
        <v>57</v>
      </c>
      <c r="F284">
        <v>0</v>
      </c>
      <c r="G284">
        <v>0</v>
      </c>
      <c r="H284">
        <v>1</v>
      </c>
      <c r="I284">
        <v>26</v>
      </c>
    </row>
    <row r="285" spans="1:9" x14ac:dyDescent="0.3">
      <c r="A285">
        <v>284</v>
      </c>
      <c r="B285">
        <v>0</v>
      </c>
      <c r="C285" t="s">
        <v>298</v>
      </c>
      <c r="D285" t="s">
        <v>14</v>
      </c>
      <c r="E285">
        <v>33</v>
      </c>
      <c r="F285">
        <v>0</v>
      </c>
      <c r="G285">
        <v>0</v>
      </c>
      <c r="H285">
        <v>3</v>
      </c>
      <c r="I285">
        <v>8.6624999999999996</v>
      </c>
    </row>
    <row r="286" spans="1:9" x14ac:dyDescent="0.3">
      <c r="A286">
        <v>285</v>
      </c>
      <c r="B286">
        <v>1</v>
      </c>
      <c r="C286" t="s">
        <v>299</v>
      </c>
      <c r="D286" t="s">
        <v>14</v>
      </c>
      <c r="E286">
        <v>30</v>
      </c>
      <c r="F286">
        <v>0</v>
      </c>
      <c r="G286">
        <v>0</v>
      </c>
      <c r="H286">
        <v>3</v>
      </c>
      <c r="I286">
        <v>9.5</v>
      </c>
    </row>
    <row r="287" spans="1:9" x14ac:dyDescent="0.3">
      <c r="A287">
        <v>286</v>
      </c>
      <c r="B287">
        <v>0</v>
      </c>
      <c r="C287" t="s">
        <v>300</v>
      </c>
      <c r="D287" t="s">
        <v>14</v>
      </c>
      <c r="E287">
        <v>22</v>
      </c>
      <c r="F287">
        <v>0</v>
      </c>
      <c r="G287">
        <v>0</v>
      </c>
      <c r="H287">
        <v>3</v>
      </c>
      <c r="I287">
        <v>7.8958000000000004</v>
      </c>
    </row>
    <row r="288" spans="1:9" x14ac:dyDescent="0.3">
      <c r="A288">
        <v>287</v>
      </c>
      <c r="B288">
        <v>1</v>
      </c>
      <c r="C288" t="s">
        <v>301</v>
      </c>
      <c r="D288" t="s">
        <v>14</v>
      </c>
      <c r="E288">
        <v>42</v>
      </c>
      <c r="F288">
        <v>0</v>
      </c>
      <c r="G288">
        <v>0</v>
      </c>
      <c r="H288">
        <v>2</v>
      </c>
      <c r="I288">
        <v>13</v>
      </c>
    </row>
    <row r="289" spans="1:9" x14ac:dyDescent="0.3">
      <c r="A289">
        <v>288</v>
      </c>
      <c r="B289">
        <v>1</v>
      </c>
      <c r="C289" t="s">
        <v>302</v>
      </c>
      <c r="D289" t="s">
        <v>16</v>
      </c>
      <c r="E289">
        <v>22</v>
      </c>
      <c r="F289">
        <v>0</v>
      </c>
      <c r="G289">
        <v>0</v>
      </c>
      <c r="H289">
        <v>3</v>
      </c>
      <c r="I289">
        <v>7.75</v>
      </c>
    </row>
    <row r="290" spans="1:9" x14ac:dyDescent="0.3">
      <c r="A290">
        <v>289</v>
      </c>
      <c r="B290">
        <v>1</v>
      </c>
      <c r="C290" t="s">
        <v>303</v>
      </c>
      <c r="D290" t="s">
        <v>16</v>
      </c>
      <c r="E290">
        <v>26</v>
      </c>
      <c r="F290">
        <v>0</v>
      </c>
      <c r="G290">
        <v>0</v>
      </c>
      <c r="H290">
        <v>1</v>
      </c>
      <c r="I290">
        <v>78.849999999999994</v>
      </c>
    </row>
    <row r="291" spans="1:9" x14ac:dyDescent="0.3">
      <c r="A291">
        <v>290</v>
      </c>
      <c r="B291">
        <v>1</v>
      </c>
      <c r="C291" t="s">
        <v>304</v>
      </c>
      <c r="D291" t="s">
        <v>16</v>
      </c>
      <c r="E291">
        <v>19</v>
      </c>
      <c r="F291">
        <v>1</v>
      </c>
      <c r="G291">
        <v>0</v>
      </c>
      <c r="H291">
        <v>1</v>
      </c>
      <c r="I291">
        <v>91.0792</v>
      </c>
    </row>
    <row r="292" spans="1:9" x14ac:dyDescent="0.3">
      <c r="A292">
        <v>291</v>
      </c>
      <c r="B292">
        <v>0</v>
      </c>
      <c r="C292" t="s">
        <v>305</v>
      </c>
      <c r="D292" t="s">
        <v>14</v>
      </c>
      <c r="E292">
        <v>36</v>
      </c>
      <c r="F292">
        <v>0</v>
      </c>
      <c r="G292">
        <v>0</v>
      </c>
      <c r="H292">
        <v>2</v>
      </c>
      <c r="I292">
        <v>12.875</v>
      </c>
    </row>
    <row r="293" spans="1:9" x14ac:dyDescent="0.3">
      <c r="A293">
        <v>292</v>
      </c>
      <c r="B293">
        <v>0</v>
      </c>
      <c r="C293" t="s">
        <v>306</v>
      </c>
      <c r="D293" t="s">
        <v>16</v>
      </c>
      <c r="E293">
        <v>24</v>
      </c>
      <c r="F293">
        <v>0</v>
      </c>
      <c r="G293">
        <v>0</v>
      </c>
      <c r="H293">
        <v>3</v>
      </c>
      <c r="I293">
        <v>8.85</v>
      </c>
    </row>
    <row r="294" spans="1:9" x14ac:dyDescent="0.3">
      <c r="A294">
        <v>293</v>
      </c>
      <c r="B294">
        <v>0</v>
      </c>
      <c r="C294" t="s">
        <v>307</v>
      </c>
      <c r="D294" t="s">
        <v>14</v>
      </c>
      <c r="E294">
        <v>24</v>
      </c>
      <c r="F294">
        <v>0</v>
      </c>
      <c r="G294">
        <v>0</v>
      </c>
      <c r="H294">
        <v>3</v>
      </c>
      <c r="I294">
        <v>7.8958000000000004</v>
      </c>
    </row>
    <row r="295" spans="1:9" x14ac:dyDescent="0.3">
      <c r="A295">
        <v>294</v>
      </c>
      <c r="B295">
        <v>0</v>
      </c>
      <c r="C295" t="s">
        <v>308</v>
      </c>
      <c r="D295" t="s">
        <v>14</v>
      </c>
      <c r="E295">
        <v>30</v>
      </c>
      <c r="F295">
        <v>0</v>
      </c>
      <c r="G295">
        <v>0</v>
      </c>
      <c r="H295">
        <v>1</v>
      </c>
      <c r="I295">
        <v>27.720800000000001</v>
      </c>
    </row>
    <row r="296" spans="1:9" x14ac:dyDescent="0.3">
      <c r="A296">
        <v>295</v>
      </c>
      <c r="B296">
        <v>0</v>
      </c>
      <c r="C296" t="s">
        <v>309</v>
      </c>
      <c r="D296" t="s">
        <v>14</v>
      </c>
      <c r="E296">
        <v>23.5</v>
      </c>
      <c r="F296">
        <v>0</v>
      </c>
      <c r="G296">
        <v>0</v>
      </c>
      <c r="H296">
        <v>3</v>
      </c>
      <c r="I296">
        <v>7.2291999999999996</v>
      </c>
    </row>
    <row r="297" spans="1:9" x14ac:dyDescent="0.3">
      <c r="A297">
        <v>296</v>
      </c>
      <c r="B297">
        <v>0</v>
      </c>
      <c r="C297" t="s">
        <v>310</v>
      </c>
      <c r="D297" t="s">
        <v>16</v>
      </c>
      <c r="E297">
        <v>2</v>
      </c>
      <c r="F297">
        <v>1</v>
      </c>
      <c r="G297">
        <v>2</v>
      </c>
      <c r="H297">
        <v>1</v>
      </c>
      <c r="I297">
        <v>151.55000000000001</v>
      </c>
    </row>
    <row r="298" spans="1:9" x14ac:dyDescent="0.3">
      <c r="A298">
        <v>297</v>
      </c>
      <c r="B298">
        <v>1</v>
      </c>
      <c r="C298" t="s">
        <v>311</v>
      </c>
      <c r="D298" t="s">
        <v>14</v>
      </c>
      <c r="E298">
        <v>47</v>
      </c>
      <c r="F298">
        <v>0</v>
      </c>
      <c r="G298">
        <v>0</v>
      </c>
      <c r="H298">
        <v>1</v>
      </c>
      <c r="I298">
        <v>30.5</v>
      </c>
    </row>
    <row r="299" spans="1:9" x14ac:dyDescent="0.3">
      <c r="A299">
        <v>298</v>
      </c>
      <c r="B299">
        <v>1</v>
      </c>
      <c r="C299" t="s">
        <v>312</v>
      </c>
      <c r="D299" t="s">
        <v>16</v>
      </c>
      <c r="E299">
        <v>50</v>
      </c>
      <c r="F299">
        <v>0</v>
      </c>
      <c r="G299">
        <v>1</v>
      </c>
      <c r="H299">
        <v>1</v>
      </c>
      <c r="I299">
        <v>247.52080000000001</v>
      </c>
    </row>
    <row r="300" spans="1:9" x14ac:dyDescent="0.3">
      <c r="A300">
        <v>299</v>
      </c>
      <c r="B300">
        <v>1</v>
      </c>
      <c r="C300" t="s">
        <v>313</v>
      </c>
      <c r="D300" t="s">
        <v>16</v>
      </c>
      <c r="E300">
        <v>20</v>
      </c>
      <c r="F300">
        <v>0</v>
      </c>
      <c r="G300">
        <v>0</v>
      </c>
      <c r="H300">
        <v>3</v>
      </c>
      <c r="I300">
        <v>7.75</v>
      </c>
    </row>
    <row r="301" spans="1:9" x14ac:dyDescent="0.3">
      <c r="A301">
        <v>300</v>
      </c>
      <c r="B301">
        <v>1</v>
      </c>
      <c r="C301" t="s">
        <v>314</v>
      </c>
      <c r="D301" t="s">
        <v>14</v>
      </c>
      <c r="E301">
        <v>24</v>
      </c>
      <c r="F301">
        <v>2</v>
      </c>
      <c r="G301">
        <v>0</v>
      </c>
      <c r="H301">
        <v>3</v>
      </c>
      <c r="I301">
        <v>23.25</v>
      </c>
    </row>
    <row r="302" spans="1:9" x14ac:dyDescent="0.3">
      <c r="A302">
        <v>301</v>
      </c>
      <c r="B302">
        <v>0</v>
      </c>
      <c r="C302" t="s">
        <v>315</v>
      </c>
      <c r="D302" t="s">
        <v>14</v>
      </c>
      <c r="E302">
        <v>19</v>
      </c>
      <c r="F302">
        <v>0</v>
      </c>
      <c r="G302">
        <v>0</v>
      </c>
      <c r="H302">
        <v>3</v>
      </c>
      <c r="I302">
        <v>0</v>
      </c>
    </row>
    <row r="303" spans="1:9" x14ac:dyDescent="0.3">
      <c r="A303">
        <v>302</v>
      </c>
      <c r="B303">
        <v>1</v>
      </c>
      <c r="C303" t="s">
        <v>316</v>
      </c>
      <c r="D303" t="s">
        <v>16</v>
      </c>
      <c r="E303">
        <v>46</v>
      </c>
      <c r="F303">
        <v>0</v>
      </c>
      <c r="G303">
        <v>0</v>
      </c>
      <c r="H303">
        <v>2</v>
      </c>
      <c r="I303">
        <v>12.35</v>
      </c>
    </row>
    <row r="304" spans="1:9" x14ac:dyDescent="0.3">
      <c r="A304">
        <v>303</v>
      </c>
      <c r="B304">
        <v>0</v>
      </c>
      <c r="C304" t="s">
        <v>317</v>
      </c>
      <c r="D304" t="s">
        <v>14</v>
      </c>
      <c r="E304">
        <v>28</v>
      </c>
      <c r="F304">
        <v>0</v>
      </c>
      <c r="G304">
        <v>0</v>
      </c>
      <c r="H304">
        <v>3</v>
      </c>
      <c r="I304">
        <v>8.0500000000000007</v>
      </c>
    </row>
    <row r="305" spans="1:9" x14ac:dyDescent="0.3">
      <c r="A305">
        <v>304</v>
      </c>
      <c r="B305">
        <v>1</v>
      </c>
      <c r="C305" t="s">
        <v>318</v>
      </c>
      <c r="D305" t="s">
        <v>14</v>
      </c>
      <c r="E305">
        <v>0.92</v>
      </c>
      <c r="F305">
        <v>1</v>
      </c>
      <c r="G305">
        <v>2</v>
      </c>
      <c r="H305">
        <v>1</v>
      </c>
      <c r="I305">
        <v>151.55000000000001</v>
      </c>
    </row>
    <row r="306" spans="1:9" x14ac:dyDescent="0.3">
      <c r="A306">
        <v>305</v>
      </c>
      <c r="B306">
        <v>1</v>
      </c>
      <c r="C306" t="s">
        <v>319</v>
      </c>
      <c r="D306" t="s">
        <v>16</v>
      </c>
      <c r="E306">
        <v>42</v>
      </c>
      <c r="F306">
        <v>0</v>
      </c>
      <c r="G306">
        <v>0</v>
      </c>
      <c r="H306">
        <v>1</v>
      </c>
      <c r="I306">
        <v>110.88330000000001</v>
      </c>
    </row>
    <row r="307" spans="1:9" x14ac:dyDescent="0.3">
      <c r="A307">
        <v>306</v>
      </c>
      <c r="B307">
        <v>1</v>
      </c>
      <c r="C307" t="s">
        <v>320</v>
      </c>
      <c r="D307" t="s">
        <v>16</v>
      </c>
      <c r="E307">
        <v>17</v>
      </c>
      <c r="F307">
        <v>1</v>
      </c>
      <c r="G307">
        <v>0</v>
      </c>
      <c r="H307">
        <v>1</v>
      </c>
      <c r="I307">
        <v>108.9</v>
      </c>
    </row>
    <row r="308" spans="1:9" x14ac:dyDescent="0.3">
      <c r="A308">
        <v>307</v>
      </c>
      <c r="B308">
        <v>0</v>
      </c>
      <c r="C308" t="s">
        <v>321</v>
      </c>
      <c r="D308" t="s">
        <v>14</v>
      </c>
      <c r="E308">
        <v>30</v>
      </c>
      <c r="F308">
        <v>1</v>
      </c>
      <c r="G308">
        <v>0</v>
      </c>
      <c r="H308">
        <v>2</v>
      </c>
      <c r="I308">
        <v>24</v>
      </c>
    </row>
    <row r="309" spans="1:9" x14ac:dyDescent="0.3">
      <c r="A309">
        <v>308</v>
      </c>
      <c r="B309">
        <v>1</v>
      </c>
      <c r="C309" t="s">
        <v>322</v>
      </c>
      <c r="D309" t="s">
        <v>16</v>
      </c>
      <c r="E309">
        <v>30</v>
      </c>
      <c r="F309">
        <v>0</v>
      </c>
      <c r="G309">
        <v>0</v>
      </c>
      <c r="H309">
        <v>1</v>
      </c>
      <c r="I309">
        <v>56.929200000000002</v>
      </c>
    </row>
    <row r="310" spans="1:9" x14ac:dyDescent="0.3">
      <c r="A310">
        <v>309</v>
      </c>
      <c r="B310">
        <v>1</v>
      </c>
      <c r="C310" t="s">
        <v>323</v>
      </c>
      <c r="D310" t="s">
        <v>16</v>
      </c>
      <c r="E310">
        <v>24</v>
      </c>
      <c r="F310">
        <v>0</v>
      </c>
      <c r="G310">
        <v>0</v>
      </c>
      <c r="H310">
        <v>1</v>
      </c>
      <c r="I310">
        <v>83.158299999999997</v>
      </c>
    </row>
    <row r="311" spans="1:9" x14ac:dyDescent="0.3">
      <c r="A311">
        <v>310</v>
      </c>
      <c r="B311">
        <v>1</v>
      </c>
      <c r="C311" t="s">
        <v>324</v>
      </c>
      <c r="D311" t="s">
        <v>16</v>
      </c>
      <c r="E311">
        <v>18</v>
      </c>
      <c r="F311">
        <v>2</v>
      </c>
      <c r="G311">
        <v>2</v>
      </c>
      <c r="H311">
        <v>1</v>
      </c>
      <c r="I311">
        <v>262.375</v>
      </c>
    </row>
    <row r="312" spans="1:9" x14ac:dyDescent="0.3">
      <c r="A312">
        <v>311</v>
      </c>
      <c r="B312">
        <v>0</v>
      </c>
      <c r="C312" t="s">
        <v>325</v>
      </c>
      <c r="D312" t="s">
        <v>16</v>
      </c>
      <c r="E312">
        <v>26</v>
      </c>
      <c r="F312">
        <v>1</v>
      </c>
      <c r="G312">
        <v>1</v>
      </c>
      <c r="H312">
        <v>2</v>
      </c>
      <c r="I312">
        <v>26</v>
      </c>
    </row>
    <row r="313" spans="1:9" x14ac:dyDescent="0.3">
      <c r="A313">
        <v>312</v>
      </c>
      <c r="B313">
        <v>0</v>
      </c>
      <c r="C313" t="s">
        <v>326</v>
      </c>
      <c r="D313" t="s">
        <v>14</v>
      </c>
      <c r="E313">
        <v>28</v>
      </c>
      <c r="F313">
        <v>0</v>
      </c>
      <c r="G313">
        <v>0</v>
      </c>
      <c r="H313">
        <v>3</v>
      </c>
      <c r="I313">
        <v>7.8958000000000004</v>
      </c>
    </row>
    <row r="314" spans="1:9" x14ac:dyDescent="0.3">
      <c r="A314">
        <v>313</v>
      </c>
      <c r="B314">
        <v>0</v>
      </c>
      <c r="C314" t="s">
        <v>327</v>
      </c>
      <c r="D314" t="s">
        <v>14</v>
      </c>
      <c r="E314">
        <v>43</v>
      </c>
      <c r="F314">
        <v>1</v>
      </c>
      <c r="G314">
        <v>1</v>
      </c>
      <c r="H314">
        <v>2</v>
      </c>
      <c r="I314">
        <v>26.25</v>
      </c>
    </row>
    <row r="315" spans="1:9" x14ac:dyDescent="0.3">
      <c r="A315">
        <v>314</v>
      </c>
      <c r="B315">
        <v>1</v>
      </c>
      <c r="C315" t="s">
        <v>328</v>
      </c>
      <c r="D315" t="s">
        <v>16</v>
      </c>
      <c r="E315">
        <v>26</v>
      </c>
      <c r="F315">
        <v>0</v>
      </c>
      <c r="G315">
        <v>0</v>
      </c>
      <c r="H315">
        <v>3</v>
      </c>
      <c r="I315">
        <v>7.8541999999999996</v>
      </c>
    </row>
    <row r="316" spans="1:9" x14ac:dyDescent="0.3">
      <c r="A316">
        <v>315</v>
      </c>
      <c r="B316">
        <v>1</v>
      </c>
      <c r="C316" t="s">
        <v>329</v>
      </c>
      <c r="D316" t="s">
        <v>16</v>
      </c>
      <c r="E316">
        <v>24</v>
      </c>
      <c r="F316">
        <v>1</v>
      </c>
      <c r="G316">
        <v>0</v>
      </c>
      <c r="H316">
        <v>2</v>
      </c>
      <c r="I316">
        <v>26</v>
      </c>
    </row>
    <row r="317" spans="1:9" x14ac:dyDescent="0.3">
      <c r="A317">
        <v>316</v>
      </c>
      <c r="B317">
        <v>0</v>
      </c>
      <c r="C317" t="s">
        <v>330</v>
      </c>
      <c r="D317" t="s">
        <v>14</v>
      </c>
      <c r="E317">
        <v>54</v>
      </c>
      <c r="F317">
        <v>0</v>
      </c>
      <c r="G317">
        <v>0</v>
      </c>
      <c r="H317">
        <v>2</v>
      </c>
      <c r="I317">
        <v>14</v>
      </c>
    </row>
    <row r="318" spans="1:9" x14ac:dyDescent="0.3">
      <c r="A318">
        <v>317</v>
      </c>
      <c r="B318">
        <v>1</v>
      </c>
      <c r="C318" t="s">
        <v>331</v>
      </c>
      <c r="D318" t="s">
        <v>16</v>
      </c>
      <c r="E318">
        <v>31</v>
      </c>
      <c r="F318">
        <v>0</v>
      </c>
      <c r="G318">
        <v>2</v>
      </c>
      <c r="H318">
        <v>1</v>
      </c>
      <c r="I318">
        <v>164.86670000000001</v>
      </c>
    </row>
    <row r="319" spans="1:9" x14ac:dyDescent="0.3">
      <c r="A319">
        <v>318</v>
      </c>
      <c r="B319">
        <v>1</v>
      </c>
      <c r="C319" t="s">
        <v>332</v>
      </c>
      <c r="D319" t="s">
        <v>16</v>
      </c>
      <c r="E319">
        <v>40</v>
      </c>
      <c r="F319">
        <v>1</v>
      </c>
      <c r="G319">
        <v>1</v>
      </c>
      <c r="H319">
        <v>1</v>
      </c>
      <c r="I319">
        <v>134.5</v>
      </c>
    </row>
    <row r="320" spans="1:9" x14ac:dyDescent="0.3">
      <c r="A320">
        <v>319</v>
      </c>
      <c r="B320">
        <v>0</v>
      </c>
      <c r="C320" t="s">
        <v>333</v>
      </c>
      <c r="D320" t="s">
        <v>14</v>
      </c>
      <c r="E320">
        <v>22</v>
      </c>
      <c r="F320">
        <v>0</v>
      </c>
      <c r="G320">
        <v>0</v>
      </c>
      <c r="H320">
        <v>3</v>
      </c>
      <c r="I320">
        <v>7.25</v>
      </c>
    </row>
    <row r="321" spans="1:9" x14ac:dyDescent="0.3">
      <c r="A321">
        <v>320</v>
      </c>
      <c r="B321">
        <v>0</v>
      </c>
      <c r="C321" t="s">
        <v>334</v>
      </c>
      <c r="D321" t="s">
        <v>14</v>
      </c>
      <c r="E321">
        <v>27</v>
      </c>
      <c r="F321">
        <v>0</v>
      </c>
      <c r="G321">
        <v>0</v>
      </c>
      <c r="H321">
        <v>3</v>
      </c>
      <c r="I321">
        <v>7.8958000000000004</v>
      </c>
    </row>
    <row r="322" spans="1:9" x14ac:dyDescent="0.3">
      <c r="A322">
        <v>321</v>
      </c>
      <c r="B322">
        <v>1</v>
      </c>
      <c r="C322" t="s">
        <v>335</v>
      </c>
      <c r="D322" t="s">
        <v>16</v>
      </c>
      <c r="E322">
        <v>30</v>
      </c>
      <c r="F322">
        <v>0</v>
      </c>
      <c r="G322">
        <v>0</v>
      </c>
      <c r="H322">
        <v>2</v>
      </c>
      <c r="I322">
        <v>12.35</v>
      </c>
    </row>
    <row r="323" spans="1:9" x14ac:dyDescent="0.3">
      <c r="A323">
        <v>322</v>
      </c>
      <c r="B323">
        <v>1</v>
      </c>
      <c r="C323" t="s">
        <v>336</v>
      </c>
      <c r="D323" t="s">
        <v>16</v>
      </c>
      <c r="E323">
        <v>22</v>
      </c>
      <c r="F323">
        <v>1</v>
      </c>
      <c r="G323">
        <v>1</v>
      </c>
      <c r="H323">
        <v>2</v>
      </c>
      <c r="I323">
        <v>29</v>
      </c>
    </row>
    <row r="324" spans="1:9" x14ac:dyDescent="0.3">
      <c r="A324">
        <v>323</v>
      </c>
      <c r="B324">
        <v>0</v>
      </c>
      <c r="C324" t="s">
        <v>337</v>
      </c>
      <c r="D324" t="s">
        <v>14</v>
      </c>
      <c r="E324">
        <v>20</v>
      </c>
      <c r="F324">
        <v>8</v>
      </c>
      <c r="G324">
        <v>2</v>
      </c>
      <c r="H324">
        <v>3</v>
      </c>
      <c r="I324">
        <v>69.55</v>
      </c>
    </row>
    <row r="325" spans="1:9" x14ac:dyDescent="0.3">
      <c r="A325">
        <v>324</v>
      </c>
      <c r="B325">
        <v>1</v>
      </c>
      <c r="C325" t="s">
        <v>338</v>
      </c>
      <c r="D325" t="s">
        <v>16</v>
      </c>
      <c r="E325">
        <v>36</v>
      </c>
      <c r="F325">
        <v>0</v>
      </c>
      <c r="G325">
        <v>0</v>
      </c>
      <c r="H325">
        <v>1</v>
      </c>
      <c r="I325">
        <v>135.63329999999999</v>
      </c>
    </row>
    <row r="326" spans="1:9" x14ac:dyDescent="0.3">
      <c r="A326">
        <v>325</v>
      </c>
      <c r="B326">
        <v>0</v>
      </c>
      <c r="C326" t="s">
        <v>339</v>
      </c>
      <c r="D326" t="s">
        <v>14</v>
      </c>
      <c r="E326">
        <v>61</v>
      </c>
      <c r="F326">
        <v>0</v>
      </c>
      <c r="G326">
        <v>0</v>
      </c>
      <c r="H326">
        <v>3</v>
      </c>
      <c r="I326">
        <v>6.2374999999999998</v>
      </c>
    </row>
    <row r="327" spans="1:9" x14ac:dyDescent="0.3">
      <c r="A327">
        <v>326</v>
      </c>
      <c r="B327">
        <v>1</v>
      </c>
      <c r="C327" t="s">
        <v>340</v>
      </c>
      <c r="D327" t="s">
        <v>16</v>
      </c>
      <c r="E327">
        <v>36</v>
      </c>
      <c r="F327">
        <v>0</v>
      </c>
      <c r="G327">
        <v>0</v>
      </c>
      <c r="H327">
        <v>2</v>
      </c>
      <c r="I327">
        <v>13</v>
      </c>
    </row>
    <row r="328" spans="1:9" x14ac:dyDescent="0.3">
      <c r="A328">
        <v>327</v>
      </c>
      <c r="B328">
        <v>1</v>
      </c>
      <c r="C328" t="s">
        <v>341</v>
      </c>
      <c r="D328" t="s">
        <v>16</v>
      </c>
      <c r="E328">
        <v>31</v>
      </c>
      <c r="F328">
        <v>1</v>
      </c>
      <c r="G328">
        <v>1</v>
      </c>
      <c r="H328">
        <v>3</v>
      </c>
      <c r="I328">
        <v>20.524999999999999</v>
      </c>
    </row>
    <row r="329" spans="1:9" x14ac:dyDescent="0.3">
      <c r="A329">
        <v>328</v>
      </c>
      <c r="B329">
        <v>1</v>
      </c>
      <c r="C329" t="s">
        <v>342</v>
      </c>
      <c r="D329" t="s">
        <v>16</v>
      </c>
      <c r="E329">
        <v>16</v>
      </c>
      <c r="F329">
        <v>0</v>
      </c>
      <c r="G329">
        <v>1</v>
      </c>
      <c r="H329">
        <v>1</v>
      </c>
      <c r="I329">
        <v>57.979199999999999</v>
      </c>
    </row>
    <row r="330" spans="1:9" x14ac:dyDescent="0.3">
      <c r="A330">
        <v>329</v>
      </c>
      <c r="B330">
        <v>1</v>
      </c>
      <c r="C330" t="s">
        <v>343</v>
      </c>
      <c r="D330" t="s">
        <v>16</v>
      </c>
      <c r="E330">
        <v>28</v>
      </c>
      <c r="F330">
        <v>2</v>
      </c>
      <c r="G330">
        <v>0</v>
      </c>
      <c r="H330">
        <v>3</v>
      </c>
      <c r="I330">
        <v>23.25</v>
      </c>
    </row>
    <row r="331" spans="1:9" x14ac:dyDescent="0.3">
      <c r="A331">
        <v>330</v>
      </c>
      <c r="B331">
        <v>0</v>
      </c>
      <c r="C331" t="s">
        <v>344</v>
      </c>
      <c r="D331" t="s">
        <v>14</v>
      </c>
      <c r="E331">
        <v>45.5</v>
      </c>
      <c r="F331">
        <v>0</v>
      </c>
      <c r="G331">
        <v>0</v>
      </c>
      <c r="H331">
        <v>1</v>
      </c>
      <c r="I331">
        <v>28.5</v>
      </c>
    </row>
    <row r="332" spans="1:9" x14ac:dyDescent="0.3">
      <c r="A332">
        <v>331</v>
      </c>
      <c r="B332">
        <v>0</v>
      </c>
      <c r="C332" t="s">
        <v>345</v>
      </c>
      <c r="D332" t="s">
        <v>14</v>
      </c>
      <c r="E332">
        <v>38</v>
      </c>
      <c r="F332">
        <v>0</v>
      </c>
      <c r="G332">
        <v>1</v>
      </c>
      <c r="H332">
        <v>1</v>
      </c>
      <c r="I332">
        <v>153.46250000000001</v>
      </c>
    </row>
    <row r="333" spans="1:9" x14ac:dyDescent="0.3">
      <c r="A333">
        <v>332</v>
      </c>
      <c r="B333">
        <v>0</v>
      </c>
      <c r="C333" t="s">
        <v>346</v>
      </c>
      <c r="D333" t="s">
        <v>14</v>
      </c>
      <c r="E333">
        <v>16</v>
      </c>
      <c r="F333">
        <v>2</v>
      </c>
      <c r="G333">
        <v>0</v>
      </c>
      <c r="H333">
        <v>3</v>
      </c>
      <c r="I333">
        <v>18</v>
      </c>
    </row>
    <row r="334" spans="1:9" x14ac:dyDescent="0.3">
      <c r="A334">
        <v>333</v>
      </c>
      <c r="B334">
        <v>1</v>
      </c>
      <c r="C334" t="s">
        <v>347</v>
      </c>
      <c r="D334" t="s">
        <v>16</v>
      </c>
      <c r="E334">
        <v>42</v>
      </c>
      <c r="F334">
        <v>1</v>
      </c>
      <c r="G334">
        <v>0</v>
      </c>
      <c r="H334">
        <v>1</v>
      </c>
      <c r="I334">
        <v>133.65</v>
      </c>
    </row>
    <row r="335" spans="1:9" x14ac:dyDescent="0.3">
      <c r="A335">
        <v>334</v>
      </c>
      <c r="B335">
        <v>0</v>
      </c>
      <c r="C335" t="s">
        <v>348</v>
      </c>
      <c r="D335" t="s">
        <v>14</v>
      </c>
      <c r="E335">
        <v>30</v>
      </c>
      <c r="F335">
        <v>0</v>
      </c>
      <c r="G335">
        <v>0</v>
      </c>
      <c r="H335">
        <v>3</v>
      </c>
      <c r="I335">
        <v>7.8958000000000004</v>
      </c>
    </row>
    <row r="336" spans="1:9" x14ac:dyDescent="0.3">
      <c r="A336">
        <v>335</v>
      </c>
      <c r="B336">
        <v>0</v>
      </c>
      <c r="C336" t="s">
        <v>349</v>
      </c>
      <c r="D336" t="s">
        <v>14</v>
      </c>
      <c r="E336">
        <v>29</v>
      </c>
      <c r="F336">
        <v>1</v>
      </c>
      <c r="G336">
        <v>0</v>
      </c>
      <c r="H336">
        <v>1</v>
      </c>
      <c r="I336">
        <v>66.599999999999994</v>
      </c>
    </row>
    <row r="337" spans="1:9" x14ac:dyDescent="0.3">
      <c r="A337">
        <v>336</v>
      </c>
      <c r="B337">
        <v>1</v>
      </c>
      <c r="C337" t="s">
        <v>350</v>
      </c>
      <c r="D337" t="s">
        <v>16</v>
      </c>
      <c r="E337">
        <v>41</v>
      </c>
      <c r="F337">
        <v>0</v>
      </c>
      <c r="G337">
        <v>0</v>
      </c>
      <c r="H337">
        <v>1</v>
      </c>
      <c r="I337">
        <v>134.5</v>
      </c>
    </row>
    <row r="338" spans="1:9" x14ac:dyDescent="0.3">
      <c r="A338">
        <v>337</v>
      </c>
      <c r="B338">
        <v>1</v>
      </c>
      <c r="C338" t="s">
        <v>351</v>
      </c>
      <c r="D338" t="s">
        <v>14</v>
      </c>
      <c r="E338">
        <v>45</v>
      </c>
      <c r="F338">
        <v>0</v>
      </c>
      <c r="G338">
        <v>0</v>
      </c>
      <c r="H338">
        <v>3</v>
      </c>
      <c r="I338">
        <v>8.0500000000000007</v>
      </c>
    </row>
    <row r="339" spans="1:9" x14ac:dyDescent="0.3">
      <c r="A339">
        <v>338</v>
      </c>
      <c r="B339">
        <v>0</v>
      </c>
      <c r="C339" t="s">
        <v>352</v>
      </c>
      <c r="D339" t="s">
        <v>14</v>
      </c>
      <c r="E339">
        <v>45</v>
      </c>
      <c r="F339">
        <v>0</v>
      </c>
      <c r="G339">
        <v>0</v>
      </c>
      <c r="H339">
        <v>1</v>
      </c>
      <c r="I339">
        <v>35.5</v>
      </c>
    </row>
    <row r="340" spans="1:9" x14ac:dyDescent="0.3">
      <c r="A340">
        <v>339</v>
      </c>
      <c r="B340">
        <v>1</v>
      </c>
      <c r="C340" t="s">
        <v>353</v>
      </c>
      <c r="D340" t="s">
        <v>14</v>
      </c>
      <c r="E340">
        <v>2</v>
      </c>
      <c r="F340">
        <v>1</v>
      </c>
      <c r="G340">
        <v>1</v>
      </c>
      <c r="H340">
        <v>2</v>
      </c>
      <c r="I340">
        <v>26</v>
      </c>
    </row>
    <row r="341" spans="1:9" x14ac:dyDescent="0.3">
      <c r="A341">
        <v>340</v>
      </c>
      <c r="B341">
        <v>1</v>
      </c>
      <c r="C341" t="s">
        <v>354</v>
      </c>
      <c r="D341" t="s">
        <v>16</v>
      </c>
      <c r="E341">
        <v>24</v>
      </c>
      <c r="F341">
        <v>3</v>
      </c>
      <c r="G341">
        <v>2</v>
      </c>
      <c r="H341">
        <v>1</v>
      </c>
      <c r="I341">
        <v>263</v>
      </c>
    </row>
    <row r="342" spans="1:9" x14ac:dyDescent="0.3">
      <c r="A342">
        <v>341</v>
      </c>
      <c r="B342">
        <v>0</v>
      </c>
      <c r="C342" t="s">
        <v>355</v>
      </c>
      <c r="D342" t="s">
        <v>14</v>
      </c>
      <c r="E342">
        <v>28</v>
      </c>
      <c r="F342">
        <v>0</v>
      </c>
      <c r="G342">
        <v>0</v>
      </c>
      <c r="H342">
        <v>2</v>
      </c>
      <c r="I342">
        <v>13</v>
      </c>
    </row>
    <row r="343" spans="1:9" x14ac:dyDescent="0.3">
      <c r="A343">
        <v>342</v>
      </c>
      <c r="B343">
        <v>0</v>
      </c>
      <c r="C343" t="s">
        <v>356</v>
      </c>
      <c r="D343" t="s">
        <v>14</v>
      </c>
      <c r="E343">
        <v>25</v>
      </c>
      <c r="F343">
        <v>0</v>
      </c>
      <c r="G343">
        <v>0</v>
      </c>
      <c r="H343">
        <v>2</v>
      </c>
      <c r="I343">
        <v>13</v>
      </c>
    </row>
    <row r="344" spans="1:9" x14ac:dyDescent="0.3">
      <c r="A344">
        <v>343</v>
      </c>
      <c r="B344">
        <v>0</v>
      </c>
      <c r="C344" t="s">
        <v>357</v>
      </c>
      <c r="D344" t="s">
        <v>14</v>
      </c>
      <c r="E344">
        <v>36</v>
      </c>
      <c r="F344">
        <v>0</v>
      </c>
      <c r="G344">
        <v>0</v>
      </c>
      <c r="H344">
        <v>2</v>
      </c>
      <c r="I344">
        <v>13</v>
      </c>
    </row>
    <row r="345" spans="1:9" x14ac:dyDescent="0.3">
      <c r="A345">
        <v>344</v>
      </c>
      <c r="B345">
        <v>1</v>
      </c>
      <c r="C345" t="s">
        <v>358</v>
      </c>
      <c r="D345" t="s">
        <v>16</v>
      </c>
      <c r="E345">
        <v>24</v>
      </c>
      <c r="F345">
        <v>0</v>
      </c>
      <c r="G345">
        <v>0</v>
      </c>
      <c r="H345">
        <v>2</v>
      </c>
      <c r="I345">
        <v>13</v>
      </c>
    </row>
    <row r="346" spans="1:9" x14ac:dyDescent="0.3">
      <c r="A346">
        <v>345</v>
      </c>
      <c r="B346">
        <v>1</v>
      </c>
      <c r="C346" t="s">
        <v>359</v>
      </c>
      <c r="D346" t="s">
        <v>16</v>
      </c>
      <c r="E346">
        <v>40</v>
      </c>
      <c r="F346">
        <v>0</v>
      </c>
      <c r="G346">
        <v>0</v>
      </c>
      <c r="H346">
        <v>2</v>
      </c>
      <c r="I346">
        <v>13</v>
      </c>
    </row>
    <row r="347" spans="1:9" x14ac:dyDescent="0.3">
      <c r="A347">
        <v>346</v>
      </c>
      <c r="B347">
        <v>1</v>
      </c>
      <c r="C347" t="s">
        <v>360</v>
      </c>
      <c r="D347" t="s">
        <v>16</v>
      </c>
      <c r="E347">
        <v>34</v>
      </c>
      <c r="F347">
        <v>1</v>
      </c>
      <c r="G347">
        <v>0</v>
      </c>
      <c r="H347">
        <v>3</v>
      </c>
      <c r="I347">
        <v>16.100000000000001</v>
      </c>
    </row>
    <row r="348" spans="1:9" x14ac:dyDescent="0.3">
      <c r="A348">
        <v>347</v>
      </c>
      <c r="B348">
        <v>1</v>
      </c>
      <c r="C348" t="s">
        <v>361</v>
      </c>
      <c r="D348" t="s">
        <v>14</v>
      </c>
      <c r="E348">
        <v>3</v>
      </c>
      <c r="F348">
        <v>1</v>
      </c>
      <c r="G348">
        <v>1</v>
      </c>
      <c r="H348">
        <v>3</v>
      </c>
      <c r="I348">
        <v>15.9</v>
      </c>
    </row>
    <row r="349" spans="1:9" x14ac:dyDescent="0.3">
      <c r="A349">
        <v>348</v>
      </c>
      <c r="B349">
        <v>0</v>
      </c>
      <c r="C349" t="s">
        <v>362</v>
      </c>
      <c r="D349" t="s">
        <v>14</v>
      </c>
      <c r="E349">
        <v>42</v>
      </c>
      <c r="F349">
        <v>0</v>
      </c>
      <c r="G349">
        <v>0</v>
      </c>
      <c r="H349">
        <v>3</v>
      </c>
      <c r="I349">
        <v>8.6624999999999996</v>
      </c>
    </row>
    <row r="350" spans="1:9" x14ac:dyDescent="0.3">
      <c r="A350">
        <v>349</v>
      </c>
      <c r="B350">
        <v>0</v>
      </c>
      <c r="C350" t="s">
        <v>363</v>
      </c>
      <c r="D350" t="s">
        <v>14</v>
      </c>
      <c r="E350">
        <v>23</v>
      </c>
      <c r="F350">
        <v>0</v>
      </c>
      <c r="G350">
        <v>0</v>
      </c>
      <c r="H350">
        <v>3</v>
      </c>
      <c r="I350">
        <v>9.2249999999999996</v>
      </c>
    </row>
    <row r="351" spans="1:9" x14ac:dyDescent="0.3">
      <c r="A351">
        <v>350</v>
      </c>
      <c r="B351">
        <v>0</v>
      </c>
      <c r="C351" t="s">
        <v>364</v>
      </c>
      <c r="D351" t="s">
        <v>14</v>
      </c>
      <c r="E351">
        <v>43</v>
      </c>
      <c r="F351">
        <v>0</v>
      </c>
      <c r="G351">
        <v>0</v>
      </c>
      <c r="H351">
        <v>1</v>
      </c>
      <c r="I351">
        <v>35</v>
      </c>
    </row>
    <row r="352" spans="1:9" x14ac:dyDescent="0.3">
      <c r="A352">
        <v>351</v>
      </c>
      <c r="B352">
        <v>0</v>
      </c>
      <c r="C352" t="s">
        <v>365</v>
      </c>
      <c r="D352" t="s">
        <v>14</v>
      </c>
      <c r="E352">
        <v>15</v>
      </c>
      <c r="F352">
        <v>1</v>
      </c>
      <c r="G352">
        <v>1</v>
      </c>
      <c r="H352">
        <v>3</v>
      </c>
      <c r="I352">
        <v>7.2291999999999996</v>
      </c>
    </row>
    <row r="353" spans="1:9" x14ac:dyDescent="0.3">
      <c r="A353">
        <v>352</v>
      </c>
      <c r="B353">
        <v>0</v>
      </c>
      <c r="C353" t="s">
        <v>366</v>
      </c>
      <c r="D353" t="s">
        <v>14</v>
      </c>
      <c r="E353">
        <v>25</v>
      </c>
      <c r="F353">
        <v>1</v>
      </c>
      <c r="G353">
        <v>0</v>
      </c>
      <c r="H353">
        <v>3</v>
      </c>
      <c r="I353">
        <v>17.8</v>
      </c>
    </row>
    <row r="354" spans="1:9" x14ac:dyDescent="0.3">
      <c r="A354">
        <v>353</v>
      </c>
      <c r="B354">
        <v>0</v>
      </c>
      <c r="C354" t="s">
        <v>367</v>
      </c>
      <c r="D354" t="s">
        <v>14</v>
      </c>
      <c r="E354">
        <v>23</v>
      </c>
      <c r="F354">
        <v>0</v>
      </c>
      <c r="G354">
        <v>0</v>
      </c>
      <c r="H354">
        <v>3</v>
      </c>
      <c r="I354">
        <v>7.2249999999999996</v>
      </c>
    </row>
    <row r="355" spans="1:9" x14ac:dyDescent="0.3">
      <c r="A355">
        <v>354</v>
      </c>
      <c r="B355">
        <v>0</v>
      </c>
      <c r="C355" t="s">
        <v>368</v>
      </c>
      <c r="D355" t="s">
        <v>14</v>
      </c>
      <c r="E355">
        <v>28</v>
      </c>
      <c r="F355">
        <v>0</v>
      </c>
      <c r="G355">
        <v>0</v>
      </c>
      <c r="H355">
        <v>3</v>
      </c>
      <c r="I355">
        <v>9.5</v>
      </c>
    </row>
    <row r="356" spans="1:9" x14ac:dyDescent="0.3">
      <c r="A356">
        <v>355</v>
      </c>
      <c r="B356">
        <v>1</v>
      </c>
      <c r="C356" t="s">
        <v>369</v>
      </c>
      <c r="D356" t="s">
        <v>16</v>
      </c>
      <c r="E356">
        <v>22</v>
      </c>
      <c r="F356">
        <v>0</v>
      </c>
      <c r="G356">
        <v>1</v>
      </c>
      <c r="H356">
        <v>1</v>
      </c>
      <c r="I356">
        <v>55</v>
      </c>
    </row>
    <row r="357" spans="1:9" x14ac:dyDescent="0.3">
      <c r="A357">
        <v>356</v>
      </c>
      <c r="B357">
        <v>0</v>
      </c>
      <c r="C357" t="s">
        <v>370</v>
      </c>
      <c r="D357" t="s">
        <v>16</v>
      </c>
      <c r="E357">
        <v>38</v>
      </c>
      <c r="F357">
        <v>0</v>
      </c>
      <c r="G357">
        <v>0</v>
      </c>
      <c r="H357">
        <v>2</v>
      </c>
      <c r="I357">
        <v>13</v>
      </c>
    </row>
    <row r="358" spans="1:9" x14ac:dyDescent="0.3">
      <c r="A358">
        <v>357</v>
      </c>
      <c r="B358">
        <v>1</v>
      </c>
      <c r="C358" t="s">
        <v>371</v>
      </c>
      <c r="D358" t="s">
        <v>16</v>
      </c>
      <c r="E358">
        <v>22</v>
      </c>
      <c r="F358">
        <v>0</v>
      </c>
      <c r="G358">
        <v>0</v>
      </c>
      <c r="H358">
        <v>3</v>
      </c>
      <c r="I358">
        <v>7.8792</v>
      </c>
    </row>
    <row r="359" spans="1:9" x14ac:dyDescent="0.3">
      <c r="A359">
        <v>358</v>
      </c>
      <c r="B359">
        <v>1</v>
      </c>
      <c r="C359" t="s">
        <v>372</v>
      </c>
      <c r="D359" t="s">
        <v>16</v>
      </c>
      <c r="E359">
        <v>23</v>
      </c>
      <c r="F359">
        <v>0</v>
      </c>
      <c r="G359">
        <v>0</v>
      </c>
      <c r="H359">
        <v>3</v>
      </c>
      <c r="I359">
        <v>7.8792</v>
      </c>
    </row>
    <row r="360" spans="1:9" x14ac:dyDescent="0.3">
      <c r="A360">
        <v>359</v>
      </c>
      <c r="B360">
        <v>0</v>
      </c>
      <c r="C360" t="s">
        <v>373</v>
      </c>
      <c r="D360" t="s">
        <v>14</v>
      </c>
      <c r="E360">
        <v>40</v>
      </c>
      <c r="F360">
        <v>1</v>
      </c>
      <c r="G360">
        <v>4</v>
      </c>
      <c r="H360">
        <v>3</v>
      </c>
      <c r="I360">
        <v>27.9</v>
      </c>
    </row>
    <row r="361" spans="1:9" x14ac:dyDescent="0.3">
      <c r="A361">
        <v>360</v>
      </c>
      <c r="B361">
        <v>0</v>
      </c>
      <c r="C361" t="s">
        <v>374</v>
      </c>
      <c r="D361" t="s">
        <v>14</v>
      </c>
      <c r="E361">
        <v>29</v>
      </c>
      <c r="F361">
        <v>1</v>
      </c>
      <c r="G361">
        <v>0</v>
      </c>
      <c r="H361">
        <v>2</v>
      </c>
      <c r="I361">
        <v>27.720800000000001</v>
      </c>
    </row>
    <row r="362" spans="1:9" x14ac:dyDescent="0.3">
      <c r="A362">
        <v>361</v>
      </c>
      <c r="B362">
        <v>0</v>
      </c>
      <c r="C362" t="s">
        <v>375</v>
      </c>
      <c r="D362" t="s">
        <v>16</v>
      </c>
      <c r="E362">
        <v>45</v>
      </c>
      <c r="F362">
        <v>0</v>
      </c>
      <c r="G362">
        <v>1</v>
      </c>
      <c r="H362">
        <v>3</v>
      </c>
      <c r="I362">
        <v>14.4542</v>
      </c>
    </row>
    <row r="363" spans="1:9" x14ac:dyDescent="0.3">
      <c r="A363">
        <v>362</v>
      </c>
      <c r="B363">
        <v>0</v>
      </c>
      <c r="C363" t="s">
        <v>376</v>
      </c>
      <c r="D363" t="s">
        <v>14</v>
      </c>
      <c r="E363">
        <v>35</v>
      </c>
      <c r="F363">
        <v>0</v>
      </c>
      <c r="G363">
        <v>0</v>
      </c>
      <c r="H363">
        <v>3</v>
      </c>
      <c r="I363">
        <v>7.05</v>
      </c>
    </row>
    <row r="364" spans="1:9" x14ac:dyDescent="0.3">
      <c r="A364">
        <v>363</v>
      </c>
      <c r="B364">
        <v>0</v>
      </c>
      <c r="C364" t="s">
        <v>377</v>
      </c>
      <c r="D364" t="s">
        <v>14</v>
      </c>
      <c r="E364">
        <v>27</v>
      </c>
      <c r="F364">
        <v>1</v>
      </c>
      <c r="G364">
        <v>0</v>
      </c>
      <c r="H364">
        <v>3</v>
      </c>
      <c r="I364">
        <v>15.5</v>
      </c>
    </row>
    <row r="365" spans="1:9" x14ac:dyDescent="0.3">
      <c r="A365">
        <v>364</v>
      </c>
      <c r="B365">
        <v>0</v>
      </c>
      <c r="C365" t="s">
        <v>378</v>
      </c>
      <c r="D365" t="s">
        <v>14</v>
      </c>
      <c r="E365">
        <v>30</v>
      </c>
      <c r="F365">
        <v>0</v>
      </c>
      <c r="G365">
        <v>0</v>
      </c>
      <c r="H365">
        <v>3</v>
      </c>
      <c r="I365">
        <v>7.25</v>
      </c>
    </row>
    <row r="366" spans="1:9" x14ac:dyDescent="0.3">
      <c r="A366">
        <v>365</v>
      </c>
      <c r="B366">
        <v>1</v>
      </c>
      <c r="C366" t="s">
        <v>379</v>
      </c>
      <c r="D366" t="s">
        <v>16</v>
      </c>
      <c r="E366">
        <v>60</v>
      </c>
      <c r="F366">
        <v>1</v>
      </c>
      <c r="G366">
        <v>0</v>
      </c>
      <c r="H366">
        <v>1</v>
      </c>
      <c r="I366">
        <v>75.25</v>
      </c>
    </row>
    <row r="367" spans="1:9" x14ac:dyDescent="0.3">
      <c r="A367">
        <v>366</v>
      </c>
      <c r="B367">
        <v>1</v>
      </c>
      <c r="C367" t="s">
        <v>380</v>
      </c>
      <c r="D367" t="s">
        <v>16</v>
      </c>
      <c r="E367">
        <v>35</v>
      </c>
      <c r="F367">
        <v>0</v>
      </c>
      <c r="G367">
        <v>0</v>
      </c>
      <c r="H367">
        <v>3</v>
      </c>
      <c r="I367">
        <v>7.2291999999999996</v>
      </c>
    </row>
    <row r="368" spans="1:9" x14ac:dyDescent="0.3">
      <c r="A368">
        <v>367</v>
      </c>
      <c r="B368">
        <v>1</v>
      </c>
      <c r="C368" t="s">
        <v>381</v>
      </c>
      <c r="D368" t="s">
        <v>16</v>
      </c>
      <c r="E368">
        <v>22</v>
      </c>
      <c r="F368">
        <v>0</v>
      </c>
      <c r="G368">
        <v>0</v>
      </c>
      <c r="H368">
        <v>3</v>
      </c>
      <c r="I368">
        <v>7.75</v>
      </c>
    </row>
    <row r="369" spans="1:9" x14ac:dyDescent="0.3">
      <c r="A369">
        <v>368</v>
      </c>
      <c r="B369">
        <v>1</v>
      </c>
      <c r="C369" t="s">
        <v>382</v>
      </c>
      <c r="D369" t="s">
        <v>16</v>
      </c>
      <c r="E369">
        <v>24</v>
      </c>
      <c r="F369">
        <v>0</v>
      </c>
      <c r="G369">
        <v>0</v>
      </c>
      <c r="H369">
        <v>1</v>
      </c>
      <c r="I369">
        <v>69.3</v>
      </c>
    </row>
    <row r="370" spans="1:9" x14ac:dyDescent="0.3">
      <c r="A370">
        <v>369</v>
      </c>
      <c r="B370">
        <v>1</v>
      </c>
      <c r="C370" t="s">
        <v>383</v>
      </c>
      <c r="D370" t="s">
        <v>14</v>
      </c>
      <c r="E370">
        <v>25</v>
      </c>
      <c r="F370">
        <v>1</v>
      </c>
      <c r="G370">
        <v>0</v>
      </c>
      <c r="H370">
        <v>1</v>
      </c>
      <c r="I370">
        <v>55.441699999999997</v>
      </c>
    </row>
    <row r="371" spans="1:9" x14ac:dyDescent="0.3">
      <c r="A371">
        <v>370</v>
      </c>
      <c r="B371">
        <v>0</v>
      </c>
      <c r="C371" t="s">
        <v>384</v>
      </c>
      <c r="D371" t="s">
        <v>14</v>
      </c>
      <c r="E371">
        <v>18</v>
      </c>
      <c r="F371">
        <v>1</v>
      </c>
      <c r="G371">
        <v>0</v>
      </c>
      <c r="H371">
        <v>3</v>
      </c>
      <c r="I371">
        <v>6.4958</v>
      </c>
    </row>
    <row r="372" spans="1:9" x14ac:dyDescent="0.3">
      <c r="A372">
        <v>371</v>
      </c>
      <c r="B372">
        <v>0</v>
      </c>
      <c r="C372" t="s">
        <v>385</v>
      </c>
      <c r="D372" t="s">
        <v>14</v>
      </c>
      <c r="E372">
        <v>19</v>
      </c>
      <c r="F372">
        <v>0</v>
      </c>
      <c r="G372">
        <v>0</v>
      </c>
      <c r="H372">
        <v>3</v>
      </c>
      <c r="I372">
        <v>8.0500000000000007</v>
      </c>
    </row>
    <row r="373" spans="1:9" x14ac:dyDescent="0.3">
      <c r="A373">
        <v>372</v>
      </c>
      <c r="B373">
        <v>0</v>
      </c>
      <c r="C373" t="s">
        <v>386</v>
      </c>
      <c r="D373" t="s">
        <v>14</v>
      </c>
      <c r="E373">
        <v>22</v>
      </c>
      <c r="F373">
        <v>0</v>
      </c>
      <c r="G373">
        <v>0</v>
      </c>
      <c r="H373">
        <v>1</v>
      </c>
      <c r="I373">
        <v>135.63329999999999</v>
      </c>
    </row>
    <row r="374" spans="1:9" x14ac:dyDescent="0.3">
      <c r="A374">
        <v>373</v>
      </c>
      <c r="B374">
        <v>0</v>
      </c>
      <c r="C374" t="s">
        <v>387</v>
      </c>
      <c r="D374" t="s">
        <v>16</v>
      </c>
      <c r="E374">
        <v>3</v>
      </c>
      <c r="F374">
        <v>3</v>
      </c>
      <c r="G374">
        <v>1</v>
      </c>
      <c r="H374">
        <v>3</v>
      </c>
      <c r="I374">
        <v>21.074999999999999</v>
      </c>
    </row>
    <row r="375" spans="1:9" x14ac:dyDescent="0.3">
      <c r="A375">
        <v>374</v>
      </c>
      <c r="B375">
        <v>1</v>
      </c>
      <c r="C375" t="s">
        <v>388</v>
      </c>
      <c r="D375" t="s">
        <v>16</v>
      </c>
      <c r="E375">
        <v>25</v>
      </c>
      <c r="F375">
        <v>1</v>
      </c>
      <c r="G375">
        <v>0</v>
      </c>
      <c r="H375">
        <v>1</v>
      </c>
      <c r="I375">
        <v>82.1708</v>
      </c>
    </row>
    <row r="376" spans="1:9" x14ac:dyDescent="0.3">
      <c r="A376">
        <v>375</v>
      </c>
      <c r="B376">
        <v>1</v>
      </c>
      <c r="C376" t="s">
        <v>389</v>
      </c>
      <c r="D376" t="s">
        <v>16</v>
      </c>
      <c r="E376">
        <v>22</v>
      </c>
      <c r="F376">
        <v>0</v>
      </c>
      <c r="G376">
        <v>0</v>
      </c>
      <c r="H376">
        <v>3</v>
      </c>
      <c r="I376">
        <v>7.25</v>
      </c>
    </row>
    <row r="377" spans="1:9" x14ac:dyDescent="0.3">
      <c r="A377">
        <v>376</v>
      </c>
      <c r="B377">
        <v>0</v>
      </c>
      <c r="C377" t="s">
        <v>390</v>
      </c>
      <c r="D377" t="s">
        <v>14</v>
      </c>
      <c r="E377">
        <v>27</v>
      </c>
      <c r="F377">
        <v>0</v>
      </c>
      <c r="G377">
        <v>2</v>
      </c>
      <c r="H377">
        <v>1</v>
      </c>
      <c r="I377">
        <v>211.5</v>
      </c>
    </row>
    <row r="378" spans="1:9" x14ac:dyDescent="0.3">
      <c r="A378">
        <v>377</v>
      </c>
      <c r="B378">
        <v>0</v>
      </c>
      <c r="C378" t="s">
        <v>391</v>
      </c>
      <c r="D378" t="s">
        <v>14</v>
      </c>
      <c r="E378">
        <v>20</v>
      </c>
      <c r="F378">
        <v>0</v>
      </c>
      <c r="G378">
        <v>0</v>
      </c>
      <c r="H378">
        <v>3</v>
      </c>
      <c r="I378">
        <v>4.0125000000000002</v>
      </c>
    </row>
    <row r="379" spans="1:9" x14ac:dyDescent="0.3">
      <c r="A379">
        <v>378</v>
      </c>
      <c r="B379">
        <v>0</v>
      </c>
      <c r="C379" t="s">
        <v>392</v>
      </c>
      <c r="D379" t="s">
        <v>14</v>
      </c>
      <c r="E379">
        <v>19</v>
      </c>
      <c r="F379">
        <v>0</v>
      </c>
      <c r="G379">
        <v>0</v>
      </c>
      <c r="H379">
        <v>3</v>
      </c>
      <c r="I379">
        <v>7.7750000000000004</v>
      </c>
    </row>
    <row r="380" spans="1:9" x14ac:dyDescent="0.3">
      <c r="A380">
        <v>379</v>
      </c>
      <c r="B380">
        <v>1</v>
      </c>
      <c r="C380" t="s">
        <v>393</v>
      </c>
      <c r="D380" t="s">
        <v>16</v>
      </c>
      <c r="E380">
        <v>42</v>
      </c>
      <c r="F380">
        <v>0</v>
      </c>
      <c r="G380">
        <v>0</v>
      </c>
      <c r="H380">
        <v>1</v>
      </c>
      <c r="I380">
        <v>227.52500000000001</v>
      </c>
    </row>
    <row r="381" spans="1:9" x14ac:dyDescent="0.3">
      <c r="A381">
        <v>380</v>
      </c>
      <c r="B381">
        <v>1</v>
      </c>
      <c r="C381" t="s">
        <v>394</v>
      </c>
      <c r="D381" t="s">
        <v>16</v>
      </c>
      <c r="E381">
        <v>1</v>
      </c>
      <c r="F381">
        <v>0</v>
      </c>
      <c r="G381">
        <v>2</v>
      </c>
      <c r="H381">
        <v>3</v>
      </c>
      <c r="I381">
        <v>15.7417</v>
      </c>
    </row>
    <row r="382" spans="1:9" x14ac:dyDescent="0.3">
      <c r="A382">
        <v>381</v>
      </c>
      <c r="B382">
        <v>0</v>
      </c>
      <c r="C382" t="s">
        <v>395</v>
      </c>
      <c r="D382" t="s">
        <v>14</v>
      </c>
      <c r="E382">
        <v>32</v>
      </c>
      <c r="F382">
        <v>0</v>
      </c>
      <c r="G382">
        <v>0</v>
      </c>
      <c r="H382">
        <v>3</v>
      </c>
      <c r="I382">
        <v>7.9249999999999998</v>
      </c>
    </row>
    <row r="383" spans="1:9" x14ac:dyDescent="0.3">
      <c r="A383">
        <v>382</v>
      </c>
      <c r="B383">
        <v>1</v>
      </c>
      <c r="C383" t="s">
        <v>396</v>
      </c>
      <c r="D383" t="s">
        <v>16</v>
      </c>
      <c r="E383">
        <v>35</v>
      </c>
      <c r="F383">
        <v>1</v>
      </c>
      <c r="G383">
        <v>0</v>
      </c>
      <c r="H383">
        <v>1</v>
      </c>
      <c r="I383">
        <v>52</v>
      </c>
    </row>
    <row r="384" spans="1:9" x14ac:dyDescent="0.3">
      <c r="A384">
        <v>383</v>
      </c>
      <c r="B384">
        <v>0</v>
      </c>
      <c r="C384" t="s">
        <v>397</v>
      </c>
      <c r="D384" t="s">
        <v>14</v>
      </c>
      <c r="E384">
        <v>27</v>
      </c>
      <c r="F384">
        <v>0</v>
      </c>
      <c r="G384">
        <v>0</v>
      </c>
      <c r="H384">
        <v>3</v>
      </c>
      <c r="I384">
        <v>7.8958000000000004</v>
      </c>
    </row>
    <row r="385" spans="1:9" x14ac:dyDescent="0.3">
      <c r="A385">
        <v>384</v>
      </c>
      <c r="B385">
        <v>0</v>
      </c>
      <c r="C385" t="s">
        <v>398</v>
      </c>
      <c r="D385" t="s">
        <v>14</v>
      </c>
      <c r="E385">
        <v>18</v>
      </c>
      <c r="F385">
        <v>0</v>
      </c>
      <c r="G385">
        <v>0</v>
      </c>
      <c r="H385">
        <v>2</v>
      </c>
      <c r="I385">
        <v>73.5</v>
      </c>
    </row>
    <row r="386" spans="1:9" x14ac:dyDescent="0.3">
      <c r="A386">
        <v>385</v>
      </c>
      <c r="B386">
        <v>0</v>
      </c>
      <c r="C386" t="s">
        <v>399</v>
      </c>
      <c r="D386" t="s">
        <v>14</v>
      </c>
      <c r="E386">
        <v>1</v>
      </c>
      <c r="F386">
        <v>5</v>
      </c>
      <c r="G386">
        <v>2</v>
      </c>
      <c r="H386">
        <v>3</v>
      </c>
      <c r="I386">
        <v>46.9</v>
      </c>
    </row>
    <row r="387" spans="1:9" x14ac:dyDescent="0.3">
      <c r="A387">
        <v>386</v>
      </c>
      <c r="B387">
        <v>1</v>
      </c>
      <c r="C387" t="s">
        <v>400</v>
      </c>
      <c r="D387" t="s">
        <v>16</v>
      </c>
      <c r="E387">
        <v>36</v>
      </c>
      <c r="F387">
        <v>0</v>
      </c>
      <c r="G387">
        <v>0</v>
      </c>
      <c r="H387">
        <v>2</v>
      </c>
      <c r="I387">
        <v>13</v>
      </c>
    </row>
    <row r="388" spans="1:9" x14ac:dyDescent="0.3">
      <c r="A388">
        <v>387</v>
      </c>
      <c r="B388">
        <v>0</v>
      </c>
      <c r="C388" t="s">
        <v>401</v>
      </c>
      <c r="D388" t="s">
        <v>14</v>
      </c>
      <c r="E388">
        <v>19</v>
      </c>
      <c r="F388">
        <v>0</v>
      </c>
      <c r="G388">
        <v>0</v>
      </c>
      <c r="H388">
        <v>3</v>
      </c>
      <c r="I388">
        <v>7.7291999999999996</v>
      </c>
    </row>
    <row r="389" spans="1:9" x14ac:dyDescent="0.3">
      <c r="A389">
        <v>388</v>
      </c>
      <c r="B389">
        <v>1</v>
      </c>
      <c r="C389" t="s">
        <v>402</v>
      </c>
      <c r="D389" t="s">
        <v>16</v>
      </c>
      <c r="E389">
        <v>17</v>
      </c>
      <c r="F389">
        <v>0</v>
      </c>
      <c r="G389">
        <v>0</v>
      </c>
      <c r="H389">
        <v>2</v>
      </c>
      <c r="I389">
        <v>12</v>
      </c>
    </row>
    <row r="390" spans="1:9" x14ac:dyDescent="0.3">
      <c r="A390">
        <v>389</v>
      </c>
      <c r="B390">
        <v>1</v>
      </c>
      <c r="C390" t="s">
        <v>403</v>
      </c>
      <c r="D390" t="s">
        <v>14</v>
      </c>
      <c r="E390">
        <v>36</v>
      </c>
      <c r="F390">
        <v>1</v>
      </c>
      <c r="G390">
        <v>2</v>
      </c>
      <c r="H390">
        <v>1</v>
      </c>
      <c r="I390">
        <v>120</v>
      </c>
    </row>
    <row r="391" spans="1:9" x14ac:dyDescent="0.3">
      <c r="A391">
        <v>390</v>
      </c>
      <c r="B391">
        <v>1</v>
      </c>
      <c r="C391" t="s">
        <v>404</v>
      </c>
      <c r="D391" t="s">
        <v>14</v>
      </c>
      <c r="E391">
        <v>21</v>
      </c>
      <c r="F391">
        <v>0</v>
      </c>
      <c r="G391">
        <v>0</v>
      </c>
      <c r="H391">
        <v>3</v>
      </c>
      <c r="I391">
        <v>7.7957999999999998</v>
      </c>
    </row>
    <row r="392" spans="1:9" x14ac:dyDescent="0.3">
      <c r="A392">
        <v>391</v>
      </c>
      <c r="B392">
        <v>0</v>
      </c>
      <c r="C392" t="s">
        <v>405</v>
      </c>
      <c r="D392" t="s">
        <v>14</v>
      </c>
      <c r="E392">
        <v>28</v>
      </c>
      <c r="F392">
        <v>2</v>
      </c>
      <c r="G392">
        <v>0</v>
      </c>
      <c r="H392">
        <v>3</v>
      </c>
      <c r="I392">
        <v>7.9249999999999998</v>
      </c>
    </row>
    <row r="393" spans="1:9" x14ac:dyDescent="0.3">
      <c r="A393">
        <v>392</v>
      </c>
      <c r="B393">
        <v>1</v>
      </c>
      <c r="C393" t="s">
        <v>406</v>
      </c>
      <c r="D393" t="s">
        <v>16</v>
      </c>
      <c r="E393">
        <v>23</v>
      </c>
      <c r="F393">
        <v>1</v>
      </c>
      <c r="G393">
        <v>0</v>
      </c>
      <c r="H393">
        <v>1</v>
      </c>
      <c r="I393">
        <v>113.27500000000001</v>
      </c>
    </row>
    <row r="394" spans="1:9" x14ac:dyDescent="0.3">
      <c r="A394">
        <v>393</v>
      </c>
      <c r="B394">
        <v>1</v>
      </c>
      <c r="C394" t="s">
        <v>407</v>
      </c>
      <c r="D394" t="s">
        <v>16</v>
      </c>
      <c r="E394">
        <v>24</v>
      </c>
      <c r="F394">
        <v>0</v>
      </c>
      <c r="G394">
        <v>2</v>
      </c>
      <c r="H394">
        <v>3</v>
      </c>
      <c r="I394">
        <v>16.7</v>
      </c>
    </row>
    <row r="395" spans="1:9" x14ac:dyDescent="0.3">
      <c r="A395">
        <v>394</v>
      </c>
      <c r="B395">
        <v>0</v>
      </c>
      <c r="C395" t="s">
        <v>408</v>
      </c>
      <c r="D395" t="s">
        <v>14</v>
      </c>
      <c r="E395">
        <v>22</v>
      </c>
      <c r="F395">
        <v>0</v>
      </c>
      <c r="G395">
        <v>0</v>
      </c>
      <c r="H395">
        <v>3</v>
      </c>
      <c r="I395">
        <v>7.7957999999999998</v>
      </c>
    </row>
    <row r="396" spans="1:9" x14ac:dyDescent="0.3">
      <c r="A396">
        <v>395</v>
      </c>
      <c r="B396">
        <v>0</v>
      </c>
      <c r="C396" t="s">
        <v>409</v>
      </c>
      <c r="D396" t="s">
        <v>16</v>
      </c>
      <c r="E396">
        <v>31</v>
      </c>
      <c r="F396">
        <v>0</v>
      </c>
      <c r="G396">
        <v>0</v>
      </c>
      <c r="H396">
        <v>3</v>
      </c>
      <c r="I396">
        <v>7.8541999999999996</v>
      </c>
    </row>
    <row r="397" spans="1:9" x14ac:dyDescent="0.3">
      <c r="A397">
        <v>396</v>
      </c>
      <c r="B397">
        <v>0</v>
      </c>
      <c r="C397" t="s">
        <v>410</v>
      </c>
      <c r="D397" t="s">
        <v>14</v>
      </c>
      <c r="E397">
        <v>46</v>
      </c>
      <c r="F397">
        <v>0</v>
      </c>
      <c r="G397">
        <v>0</v>
      </c>
      <c r="H397">
        <v>2</v>
      </c>
      <c r="I397">
        <v>26</v>
      </c>
    </row>
    <row r="398" spans="1:9" x14ac:dyDescent="0.3">
      <c r="A398">
        <v>397</v>
      </c>
      <c r="B398">
        <v>0</v>
      </c>
      <c r="C398" t="s">
        <v>411</v>
      </c>
      <c r="D398" t="s">
        <v>14</v>
      </c>
      <c r="E398">
        <v>23</v>
      </c>
      <c r="F398">
        <v>0</v>
      </c>
      <c r="G398">
        <v>0</v>
      </c>
      <c r="H398">
        <v>2</v>
      </c>
      <c r="I398">
        <v>10.5</v>
      </c>
    </row>
    <row r="399" spans="1:9" x14ac:dyDescent="0.3">
      <c r="A399">
        <v>398</v>
      </c>
      <c r="B399">
        <v>1</v>
      </c>
      <c r="C399" t="s">
        <v>412</v>
      </c>
      <c r="D399" t="s">
        <v>16</v>
      </c>
      <c r="E399">
        <v>28</v>
      </c>
      <c r="F399">
        <v>0</v>
      </c>
      <c r="G399">
        <v>0</v>
      </c>
      <c r="H399">
        <v>2</v>
      </c>
      <c r="I399">
        <v>12.65</v>
      </c>
    </row>
    <row r="400" spans="1:9" x14ac:dyDescent="0.3">
      <c r="A400">
        <v>399</v>
      </c>
      <c r="B400">
        <v>1</v>
      </c>
      <c r="C400" t="s">
        <v>413</v>
      </c>
      <c r="D400" t="s">
        <v>14</v>
      </c>
      <c r="E400">
        <v>39</v>
      </c>
      <c r="F400">
        <v>0</v>
      </c>
      <c r="G400">
        <v>0</v>
      </c>
      <c r="H400">
        <v>3</v>
      </c>
      <c r="I400">
        <v>7.9249999999999998</v>
      </c>
    </row>
    <row r="401" spans="1:9" x14ac:dyDescent="0.3">
      <c r="A401">
        <v>400</v>
      </c>
      <c r="B401">
        <v>0</v>
      </c>
      <c r="C401" t="s">
        <v>414</v>
      </c>
      <c r="D401" t="s">
        <v>14</v>
      </c>
      <c r="E401">
        <v>26</v>
      </c>
      <c r="F401">
        <v>0</v>
      </c>
      <c r="G401">
        <v>0</v>
      </c>
      <c r="H401">
        <v>3</v>
      </c>
      <c r="I401">
        <v>8.0500000000000007</v>
      </c>
    </row>
    <row r="402" spans="1:9" x14ac:dyDescent="0.3">
      <c r="A402">
        <v>401</v>
      </c>
      <c r="B402">
        <v>0</v>
      </c>
      <c r="C402" t="s">
        <v>415</v>
      </c>
      <c r="D402" t="s">
        <v>16</v>
      </c>
      <c r="E402">
        <v>21</v>
      </c>
      <c r="F402">
        <v>1</v>
      </c>
      <c r="G402">
        <v>0</v>
      </c>
      <c r="H402">
        <v>3</v>
      </c>
      <c r="I402">
        <v>9.8249999999999993</v>
      </c>
    </row>
    <row r="403" spans="1:9" x14ac:dyDescent="0.3">
      <c r="A403">
        <v>402</v>
      </c>
      <c r="B403">
        <v>0</v>
      </c>
      <c r="C403" t="s">
        <v>416</v>
      </c>
      <c r="D403" t="s">
        <v>14</v>
      </c>
      <c r="E403">
        <v>28</v>
      </c>
      <c r="F403">
        <v>1</v>
      </c>
      <c r="G403">
        <v>0</v>
      </c>
      <c r="H403">
        <v>3</v>
      </c>
      <c r="I403">
        <v>15.85</v>
      </c>
    </row>
    <row r="404" spans="1:9" x14ac:dyDescent="0.3">
      <c r="A404">
        <v>403</v>
      </c>
      <c r="B404">
        <v>0</v>
      </c>
      <c r="C404" t="s">
        <v>417</v>
      </c>
      <c r="D404" t="s">
        <v>16</v>
      </c>
      <c r="E404">
        <v>20</v>
      </c>
      <c r="F404">
        <v>0</v>
      </c>
      <c r="G404">
        <v>0</v>
      </c>
      <c r="H404">
        <v>3</v>
      </c>
      <c r="I404">
        <v>8.6624999999999996</v>
      </c>
    </row>
    <row r="405" spans="1:9" x14ac:dyDescent="0.3">
      <c r="A405">
        <v>404</v>
      </c>
      <c r="B405">
        <v>0</v>
      </c>
      <c r="C405" t="s">
        <v>418</v>
      </c>
      <c r="D405" t="s">
        <v>14</v>
      </c>
      <c r="E405">
        <v>34</v>
      </c>
      <c r="F405">
        <v>1</v>
      </c>
      <c r="G405">
        <v>0</v>
      </c>
      <c r="H405">
        <v>2</v>
      </c>
      <c r="I405">
        <v>21</v>
      </c>
    </row>
    <row r="406" spans="1:9" x14ac:dyDescent="0.3">
      <c r="A406">
        <v>405</v>
      </c>
      <c r="B406">
        <v>0</v>
      </c>
      <c r="C406" t="s">
        <v>419</v>
      </c>
      <c r="D406" t="s">
        <v>14</v>
      </c>
      <c r="E406">
        <v>51</v>
      </c>
      <c r="F406">
        <v>0</v>
      </c>
      <c r="G406">
        <v>0</v>
      </c>
      <c r="H406">
        <v>3</v>
      </c>
      <c r="I406">
        <v>7.75</v>
      </c>
    </row>
    <row r="407" spans="1:9" x14ac:dyDescent="0.3">
      <c r="A407">
        <v>406</v>
      </c>
      <c r="B407">
        <v>1</v>
      </c>
      <c r="C407" t="s">
        <v>420</v>
      </c>
      <c r="D407" t="s">
        <v>14</v>
      </c>
      <c r="E407">
        <v>3</v>
      </c>
      <c r="F407">
        <v>1</v>
      </c>
      <c r="G407">
        <v>1</v>
      </c>
      <c r="H407">
        <v>2</v>
      </c>
      <c r="I407">
        <v>18.75</v>
      </c>
    </row>
    <row r="408" spans="1:9" x14ac:dyDescent="0.3">
      <c r="A408">
        <v>407</v>
      </c>
      <c r="B408">
        <v>0</v>
      </c>
      <c r="C408" t="s">
        <v>421</v>
      </c>
      <c r="D408" t="s">
        <v>14</v>
      </c>
      <c r="E408">
        <v>21</v>
      </c>
      <c r="F408">
        <v>0</v>
      </c>
      <c r="G408">
        <v>0</v>
      </c>
      <c r="H408">
        <v>3</v>
      </c>
      <c r="I408">
        <v>7.7750000000000004</v>
      </c>
    </row>
    <row r="409" spans="1:9" x14ac:dyDescent="0.3">
      <c r="A409">
        <v>408</v>
      </c>
      <c r="B409">
        <v>0</v>
      </c>
      <c r="C409" t="s">
        <v>422</v>
      </c>
      <c r="D409" t="s">
        <v>16</v>
      </c>
      <c r="E409">
        <v>3</v>
      </c>
      <c r="F409">
        <v>3</v>
      </c>
      <c r="G409">
        <v>1</v>
      </c>
      <c r="H409">
        <v>3</v>
      </c>
      <c r="I409">
        <v>25.466699999999999</v>
      </c>
    </row>
    <row r="410" spans="1:9" x14ac:dyDescent="0.3">
      <c r="A410">
        <v>409</v>
      </c>
      <c r="B410">
        <v>0</v>
      </c>
      <c r="C410" t="s">
        <v>423</v>
      </c>
      <c r="D410" t="s">
        <v>14</v>
      </c>
      <c r="E410">
        <v>42</v>
      </c>
      <c r="F410">
        <v>0</v>
      </c>
      <c r="G410">
        <v>0</v>
      </c>
      <c r="H410">
        <v>3</v>
      </c>
      <c r="I410">
        <v>7.8958000000000004</v>
      </c>
    </row>
    <row r="411" spans="1:9" x14ac:dyDescent="0.3">
      <c r="A411">
        <v>410</v>
      </c>
      <c r="B411">
        <v>0</v>
      </c>
      <c r="C411" t="s">
        <v>424</v>
      </c>
      <c r="D411" t="s">
        <v>14</v>
      </c>
      <c r="E411">
        <v>27</v>
      </c>
      <c r="F411">
        <v>0</v>
      </c>
      <c r="G411">
        <v>0</v>
      </c>
      <c r="H411">
        <v>3</v>
      </c>
      <c r="I411">
        <v>6.8582999999999998</v>
      </c>
    </row>
    <row r="412" spans="1:9" x14ac:dyDescent="0.3">
      <c r="A412">
        <v>411</v>
      </c>
      <c r="B412">
        <v>1</v>
      </c>
      <c r="C412" t="s">
        <v>425</v>
      </c>
      <c r="D412" t="s">
        <v>16</v>
      </c>
      <c r="E412">
        <v>33</v>
      </c>
      <c r="F412">
        <v>1</v>
      </c>
      <c r="G412">
        <v>0</v>
      </c>
      <c r="H412">
        <v>1</v>
      </c>
      <c r="I412">
        <v>90</v>
      </c>
    </row>
    <row r="413" spans="1:9" x14ac:dyDescent="0.3">
      <c r="A413">
        <v>412</v>
      </c>
      <c r="B413">
        <v>0</v>
      </c>
      <c r="C413" t="s">
        <v>426</v>
      </c>
      <c r="D413" t="s">
        <v>14</v>
      </c>
      <c r="E413">
        <v>22</v>
      </c>
      <c r="F413">
        <v>0</v>
      </c>
      <c r="G413">
        <v>0</v>
      </c>
      <c r="H413">
        <v>2</v>
      </c>
      <c r="I413">
        <v>0</v>
      </c>
    </row>
    <row r="414" spans="1:9" x14ac:dyDescent="0.3">
      <c r="A414">
        <v>413</v>
      </c>
      <c r="B414">
        <v>1</v>
      </c>
      <c r="C414" t="s">
        <v>427</v>
      </c>
      <c r="D414" t="s">
        <v>14</v>
      </c>
      <c r="E414">
        <v>44</v>
      </c>
      <c r="F414">
        <v>0</v>
      </c>
      <c r="G414">
        <v>0</v>
      </c>
      <c r="H414">
        <v>3</v>
      </c>
      <c r="I414">
        <v>7.9249999999999998</v>
      </c>
    </row>
    <row r="415" spans="1:9" x14ac:dyDescent="0.3">
      <c r="A415">
        <v>414</v>
      </c>
      <c r="B415">
        <v>0</v>
      </c>
      <c r="C415" t="s">
        <v>428</v>
      </c>
      <c r="D415" t="s">
        <v>16</v>
      </c>
      <c r="E415">
        <v>32</v>
      </c>
      <c r="F415">
        <v>0</v>
      </c>
      <c r="G415">
        <v>0</v>
      </c>
      <c r="H415">
        <v>3</v>
      </c>
      <c r="I415">
        <v>8.0500000000000007</v>
      </c>
    </row>
    <row r="416" spans="1:9" x14ac:dyDescent="0.3">
      <c r="A416">
        <v>415</v>
      </c>
      <c r="B416">
        <v>1</v>
      </c>
      <c r="C416" t="s">
        <v>429</v>
      </c>
      <c r="D416" t="s">
        <v>16</v>
      </c>
      <c r="E416">
        <v>34</v>
      </c>
      <c r="F416">
        <v>1</v>
      </c>
      <c r="G416">
        <v>1</v>
      </c>
      <c r="H416">
        <v>2</v>
      </c>
      <c r="I416">
        <v>32.5</v>
      </c>
    </row>
    <row r="417" spans="1:9" x14ac:dyDescent="0.3">
      <c r="A417">
        <v>416</v>
      </c>
      <c r="B417">
        <v>1</v>
      </c>
      <c r="C417" t="s">
        <v>430</v>
      </c>
      <c r="D417" t="s">
        <v>16</v>
      </c>
      <c r="E417">
        <v>18</v>
      </c>
      <c r="F417">
        <v>0</v>
      </c>
      <c r="G417">
        <v>2</v>
      </c>
      <c r="H417">
        <v>2</v>
      </c>
      <c r="I417">
        <v>13</v>
      </c>
    </row>
    <row r="418" spans="1:9" x14ac:dyDescent="0.3">
      <c r="A418">
        <v>417</v>
      </c>
      <c r="B418">
        <v>0</v>
      </c>
      <c r="C418" t="s">
        <v>431</v>
      </c>
      <c r="D418" t="s">
        <v>14</v>
      </c>
      <c r="E418">
        <v>30</v>
      </c>
      <c r="F418">
        <v>0</v>
      </c>
      <c r="G418">
        <v>0</v>
      </c>
      <c r="H418">
        <v>2</v>
      </c>
      <c r="I418">
        <v>13</v>
      </c>
    </row>
    <row r="419" spans="1:9" x14ac:dyDescent="0.3">
      <c r="A419">
        <v>418</v>
      </c>
      <c r="B419">
        <v>0</v>
      </c>
      <c r="C419" t="s">
        <v>432</v>
      </c>
      <c r="D419" t="s">
        <v>16</v>
      </c>
      <c r="E419">
        <v>10</v>
      </c>
      <c r="F419">
        <v>0</v>
      </c>
      <c r="G419">
        <v>2</v>
      </c>
      <c r="H419">
        <v>3</v>
      </c>
      <c r="I419">
        <v>24.15</v>
      </c>
    </row>
    <row r="420" spans="1:9" x14ac:dyDescent="0.3">
      <c r="A420">
        <v>419</v>
      </c>
      <c r="B420">
        <v>0</v>
      </c>
      <c r="C420" t="s">
        <v>433</v>
      </c>
      <c r="D420" t="s">
        <v>14</v>
      </c>
      <c r="E420">
        <v>21</v>
      </c>
      <c r="F420">
        <v>0</v>
      </c>
      <c r="G420">
        <v>0</v>
      </c>
      <c r="H420">
        <v>3</v>
      </c>
      <c r="I420">
        <v>7.7332999999999998</v>
      </c>
    </row>
    <row r="421" spans="1:9" x14ac:dyDescent="0.3">
      <c r="A421">
        <v>420</v>
      </c>
      <c r="B421">
        <v>0</v>
      </c>
      <c r="C421" t="s">
        <v>434</v>
      </c>
      <c r="D421" t="s">
        <v>14</v>
      </c>
      <c r="E421">
        <v>29</v>
      </c>
      <c r="F421">
        <v>0</v>
      </c>
      <c r="G421">
        <v>0</v>
      </c>
      <c r="H421">
        <v>3</v>
      </c>
      <c r="I421">
        <v>7.875</v>
      </c>
    </row>
    <row r="422" spans="1:9" x14ac:dyDescent="0.3">
      <c r="A422">
        <v>421</v>
      </c>
      <c r="B422">
        <v>0</v>
      </c>
      <c r="C422" t="s">
        <v>435</v>
      </c>
      <c r="D422" t="s">
        <v>16</v>
      </c>
      <c r="E422">
        <v>28</v>
      </c>
      <c r="F422">
        <v>1</v>
      </c>
      <c r="G422">
        <v>1</v>
      </c>
      <c r="H422">
        <v>3</v>
      </c>
      <c r="I422">
        <v>14.4</v>
      </c>
    </row>
    <row r="423" spans="1:9" x14ac:dyDescent="0.3">
      <c r="A423">
        <v>422</v>
      </c>
      <c r="B423">
        <v>0</v>
      </c>
      <c r="C423" t="s">
        <v>436</v>
      </c>
      <c r="D423" t="s">
        <v>14</v>
      </c>
      <c r="E423">
        <v>18</v>
      </c>
      <c r="F423">
        <v>1</v>
      </c>
      <c r="G423">
        <v>1</v>
      </c>
      <c r="H423">
        <v>3</v>
      </c>
      <c r="I423">
        <v>20.212499999999999</v>
      </c>
    </row>
    <row r="424" spans="1:9" x14ac:dyDescent="0.3">
      <c r="A424">
        <v>423</v>
      </c>
      <c r="B424">
        <v>0</v>
      </c>
      <c r="C424" t="s">
        <v>437</v>
      </c>
      <c r="D424" t="s">
        <v>14</v>
      </c>
      <c r="E424">
        <v>54</v>
      </c>
      <c r="F424">
        <v>0</v>
      </c>
      <c r="G424">
        <v>0</v>
      </c>
      <c r="H424">
        <v>3</v>
      </c>
      <c r="I424">
        <v>7.25</v>
      </c>
    </row>
    <row r="425" spans="1:9" x14ac:dyDescent="0.3">
      <c r="A425">
        <v>424</v>
      </c>
      <c r="B425">
        <v>1</v>
      </c>
      <c r="C425" t="s">
        <v>438</v>
      </c>
      <c r="D425" t="s">
        <v>16</v>
      </c>
      <c r="E425">
        <v>28</v>
      </c>
      <c r="F425">
        <v>1</v>
      </c>
      <c r="G425">
        <v>0</v>
      </c>
      <c r="H425">
        <v>2</v>
      </c>
      <c r="I425">
        <v>26</v>
      </c>
    </row>
    <row r="426" spans="1:9" x14ac:dyDescent="0.3">
      <c r="A426">
        <v>425</v>
      </c>
      <c r="B426">
        <v>1</v>
      </c>
      <c r="C426" t="s">
        <v>439</v>
      </c>
      <c r="D426" t="s">
        <v>16</v>
      </c>
      <c r="E426">
        <v>19</v>
      </c>
      <c r="F426">
        <v>0</v>
      </c>
      <c r="G426">
        <v>0</v>
      </c>
      <c r="H426">
        <v>2</v>
      </c>
      <c r="I426">
        <v>26</v>
      </c>
    </row>
    <row r="427" spans="1:9" x14ac:dyDescent="0.3">
      <c r="A427">
        <v>426</v>
      </c>
      <c r="B427">
        <v>0</v>
      </c>
      <c r="C427" t="s">
        <v>440</v>
      </c>
      <c r="D427" t="s">
        <v>14</v>
      </c>
      <c r="E427">
        <v>28</v>
      </c>
      <c r="F427">
        <v>0</v>
      </c>
      <c r="G427">
        <v>0</v>
      </c>
      <c r="H427">
        <v>3</v>
      </c>
      <c r="I427">
        <v>7.75</v>
      </c>
    </row>
    <row r="428" spans="1:9" x14ac:dyDescent="0.3">
      <c r="A428">
        <v>427</v>
      </c>
      <c r="B428">
        <v>1</v>
      </c>
      <c r="C428" t="s">
        <v>441</v>
      </c>
      <c r="D428" t="s">
        <v>14</v>
      </c>
      <c r="E428">
        <v>32</v>
      </c>
      <c r="F428">
        <v>0</v>
      </c>
      <c r="G428">
        <v>0</v>
      </c>
      <c r="H428">
        <v>3</v>
      </c>
      <c r="I428">
        <v>8.0500000000000007</v>
      </c>
    </row>
    <row r="429" spans="1:9" x14ac:dyDescent="0.3">
      <c r="A429">
        <v>428</v>
      </c>
      <c r="B429">
        <v>1</v>
      </c>
      <c r="C429" t="s">
        <v>442</v>
      </c>
      <c r="D429" t="s">
        <v>14</v>
      </c>
      <c r="E429">
        <v>28</v>
      </c>
      <c r="F429">
        <v>0</v>
      </c>
      <c r="G429">
        <v>0</v>
      </c>
      <c r="H429">
        <v>1</v>
      </c>
      <c r="I429">
        <v>26.55</v>
      </c>
    </row>
    <row r="430" spans="1:9" x14ac:dyDescent="0.3">
      <c r="A430">
        <v>429</v>
      </c>
      <c r="B430">
        <v>1</v>
      </c>
      <c r="C430" t="s">
        <v>443</v>
      </c>
      <c r="D430" t="s">
        <v>16</v>
      </c>
      <c r="E430">
        <v>33</v>
      </c>
      <c r="F430">
        <v>1</v>
      </c>
      <c r="G430">
        <v>0</v>
      </c>
      <c r="H430">
        <v>3</v>
      </c>
      <c r="I430">
        <v>16.100000000000001</v>
      </c>
    </row>
    <row r="431" spans="1:9" x14ac:dyDescent="0.3">
      <c r="A431">
        <v>430</v>
      </c>
      <c r="B431">
        <v>1</v>
      </c>
      <c r="C431" t="s">
        <v>444</v>
      </c>
      <c r="D431" t="s">
        <v>16</v>
      </c>
      <c r="E431">
        <v>42</v>
      </c>
      <c r="F431">
        <v>1</v>
      </c>
      <c r="G431">
        <v>0</v>
      </c>
      <c r="H431">
        <v>2</v>
      </c>
      <c r="I431">
        <v>26</v>
      </c>
    </row>
    <row r="432" spans="1:9" x14ac:dyDescent="0.3">
      <c r="A432">
        <v>431</v>
      </c>
      <c r="B432">
        <v>0</v>
      </c>
      <c r="C432" t="s">
        <v>445</v>
      </c>
      <c r="D432" t="s">
        <v>14</v>
      </c>
      <c r="E432">
        <v>17</v>
      </c>
      <c r="F432">
        <v>0</v>
      </c>
      <c r="G432">
        <v>0</v>
      </c>
      <c r="H432">
        <v>3</v>
      </c>
      <c r="I432">
        <v>7.125</v>
      </c>
    </row>
    <row r="433" spans="1:9" x14ac:dyDescent="0.3">
      <c r="A433">
        <v>432</v>
      </c>
      <c r="B433">
        <v>0</v>
      </c>
      <c r="C433" t="s">
        <v>446</v>
      </c>
      <c r="D433" t="s">
        <v>14</v>
      </c>
      <c r="E433">
        <v>50</v>
      </c>
      <c r="F433">
        <v>1</v>
      </c>
      <c r="G433">
        <v>0</v>
      </c>
      <c r="H433">
        <v>1</v>
      </c>
      <c r="I433">
        <v>55.9</v>
      </c>
    </row>
    <row r="434" spans="1:9" x14ac:dyDescent="0.3">
      <c r="A434">
        <v>433</v>
      </c>
      <c r="B434">
        <v>1</v>
      </c>
      <c r="C434" t="s">
        <v>447</v>
      </c>
      <c r="D434" t="s">
        <v>16</v>
      </c>
      <c r="E434">
        <v>14</v>
      </c>
      <c r="F434">
        <v>1</v>
      </c>
      <c r="G434">
        <v>2</v>
      </c>
      <c r="H434">
        <v>1</v>
      </c>
      <c r="I434">
        <v>120</v>
      </c>
    </row>
    <row r="435" spans="1:9" x14ac:dyDescent="0.3">
      <c r="A435">
        <v>434</v>
      </c>
      <c r="B435">
        <v>0</v>
      </c>
      <c r="C435" t="s">
        <v>448</v>
      </c>
      <c r="D435" t="s">
        <v>16</v>
      </c>
      <c r="E435">
        <v>21</v>
      </c>
      <c r="F435">
        <v>2</v>
      </c>
      <c r="G435">
        <v>2</v>
      </c>
      <c r="H435">
        <v>3</v>
      </c>
      <c r="I435">
        <v>34.375</v>
      </c>
    </row>
    <row r="436" spans="1:9" x14ac:dyDescent="0.3">
      <c r="A436">
        <v>435</v>
      </c>
      <c r="B436">
        <v>1</v>
      </c>
      <c r="C436" t="s">
        <v>449</v>
      </c>
      <c r="D436" t="s">
        <v>16</v>
      </c>
      <c r="E436">
        <v>24</v>
      </c>
      <c r="F436">
        <v>2</v>
      </c>
      <c r="G436">
        <v>3</v>
      </c>
      <c r="H436">
        <v>2</v>
      </c>
      <c r="I436">
        <v>18.75</v>
      </c>
    </row>
    <row r="437" spans="1:9" x14ac:dyDescent="0.3">
      <c r="A437">
        <v>436</v>
      </c>
      <c r="B437">
        <v>0</v>
      </c>
      <c r="C437" t="s">
        <v>450</v>
      </c>
      <c r="D437" t="s">
        <v>14</v>
      </c>
      <c r="E437">
        <v>64</v>
      </c>
      <c r="F437">
        <v>1</v>
      </c>
      <c r="G437">
        <v>4</v>
      </c>
      <c r="H437">
        <v>1</v>
      </c>
      <c r="I437">
        <v>263</v>
      </c>
    </row>
    <row r="438" spans="1:9" x14ac:dyDescent="0.3">
      <c r="A438">
        <v>437</v>
      </c>
      <c r="B438">
        <v>0</v>
      </c>
      <c r="C438" t="s">
        <v>451</v>
      </c>
      <c r="D438" t="s">
        <v>14</v>
      </c>
      <c r="E438">
        <v>31</v>
      </c>
      <c r="F438">
        <v>0</v>
      </c>
      <c r="G438">
        <v>0</v>
      </c>
      <c r="H438">
        <v>2</v>
      </c>
      <c r="I438">
        <v>10.5</v>
      </c>
    </row>
    <row r="439" spans="1:9" x14ac:dyDescent="0.3">
      <c r="A439">
        <v>438</v>
      </c>
      <c r="B439">
        <v>1</v>
      </c>
      <c r="C439" t="s">
        <v>452</v>
      </c>
      <c r="D439" t="s">
        <v>16</v>
      </c>
      <c r="E439">
        <v>45</v>
      </c>
      <c r="F439">
        <v>1</v>
      </c>
      <c r="G439">
        <v>1</v>
      </c>
      <c r="H439">
        <v>2</v>
      </c>
      <c r="I439">
        <v>26.25</v>
      </c>
    </row>
    <row r="440" spans="1:9" x14ac:dyDescent="0.3">
      <c r="A440">
        <v>439</v>
      </c>
      <c r="B440">
        <v>0</v>
      </c>
      <c r="C440" t="s">
        <v>453</v>
      </c>
      <c r="D440" t="s">
        <v>14</v>
      </c>
      <c r="E440">
        <v>20</v>
      </c>
      <c r="F440">
        <v>0</v>
      </c>
      <c r="G440">
        <v>0</v>
      </c>
      <c r="H440">
        <v>3</v>
      </c>
      <c r="I440">
        <v>9.5</v>
      </c>
    </row>
    <row r="441" spans="1:9" x14ac:dyDescent="0.3">
      <c r="A441">
        <v>440</v>
      </c>
      <c r="B441">
        <v>0</v>
      </c>
      <c r="C441" t="s">
        <v>454</v>
      </c>
      <c r="D441" t="s">
        <v>14</v>
      </c>
      <c r="E441">
        <v>25</v>
      </c>
      <c r="F441">
        <v>1</v>
      </c>
      <c r="G441">
        <v>0</v>
      </c>
      <c r="H441">
        <v>3</v>
      </c>
      <c r="I441">
        <v>7.7750000000000004</v>
      </c>
    </row>
    <row r="442" spans="1:9" x14ac:dyDescent="0.3">
      <c r="A442">
        <v>441</v>
      </c>
      <c r="B442">
        <v>1</v>
      </c>
      <c r="C442" t="s">
        <v>455</v>
      </c>
      <c r="D442" t="s">
        <v>16</v>
      </c>
      <c r="E442">
        <v>28</v>
      </c>
      <c r="F442">
        <v>0</v>
      </c>
      <c r="G442">
        <v>0</v>
      </c>
      <c r="H442">
        <v>2</v>
      </c>
      <c r="I442">
        <v>13</v>
      </c>
    </row>
    <row r="443" spans="1:9" x14ac:dyDescent="0.3">
      <c r="A443">
        <v>442</v>
      </c>
      <c r="B443">
        <v>1</v>
      </c>
      <c r="C443" t="s">
        <v>456</v>
      </c>
      <c r="D443" t="s">
        <v>14</v>
      </c>
      <c r="E443">
        <v>29</v>
      </c>
      <c r="F443">
        <v>0</v>
      </c>
      <c r="G443">
        <v>0</v>
      </c>
      <c r="H443">
        <v>3</v>
      </c>
      <c r="I443">
        <v>8.1125000000000007</v>
      </c>
    </row>
    <row r="444" spans="1:9" x14ac:dyDescent="0.3">
      <c r="A444">
        <v>443</v>
      </c>
      <c r="B444">
        <v>1</v>
      </c>
      <c r="C444" t="s">
        <v>457</v>
      </c>
      <c r="D444" t="s">
        <v>14</v>
      </c>
      <c r="E444">
        <v>4</v>
      </c>
      <c r="F444">
        <v>0</v>
      </c>
      <c r="G444">
        <v>2</v>
      </c>
      <c r="H444">
        <v>1</v>
      </c>
      <c r="I444">
        <v>81.8583</v>
      </c>
    </row>
    <row r="445" spans="1:9" x14ac:dyDescent="0.3">
      <c r="A445">
        <v>444</v>
      </c>
      <c r="B445">
        <v>1</v>
      </c>
      <c r="C445" t="s">
        <v>458</v>
      </c>
      <c r="D445" t="s">
        <v>16</v>
      </c>
      <c r="E445">
        <v>13</v>
      </c>
      <c r="F445">
        <v>0</v>
      </c>
      <c r="G445">
        <v>1</v>
      </c>
      <c r="H445">
        <v>2</v>
      </c>
      <c r="I445">
        <v>19.5</v>
      </c>
    </row>
    <row r="446" spans="1:9" x14ac:dyDescent="0.3">
      <c r="A446">
        <v>445</v>
      </c>
      <c r="B446">
        <v>1</v>
      </c>
      <c r="C446" t="s">
        <v>459</v>
      </c>
      <c r="D446" t="s">
        <v>14</v>
      </c>
      <c r="E446">
        <v>34</v>
      </c>
      <c r="F446">
        <v>0</v>
      </c>
      <c r="G446">
        <v>0</v>
      </c>
      <c r="H446">
        <v>1</v>
      </c>
      <c r="I446">
        <v>26.55</v>
      </c>
    </row>
    <row r="447" spans="1:9" x14ac:dyDescent="0.3">
      <c r="A447">
        <v>446</v>
      </c>
      <c r="B447">
        <v>1</v>
      </c>
      <c r="C447" t="s">
        <v>460</v>
      </c>
      <c r="D447" t="s">
        <v>16</v>
      </c>
      <c r="E447">
        <v>5</v>
      </c>
      <c r="F447">
        <v>2</v>
      </c>
      <c r="G447">
        <v>1</v>
      </c>
      <c r="H447">
        <v>3</v>
      </c>
      <c r="I447">
        <v>19.258299999999998</v>
      </c>
    </row>
    <row r="448" spans="1:9" x14ac:dyDescent="0.3">
      <c r="A448">
        <v>447</v>
      </c>
      <c r="B448">
        <v>1</v>
      </c>
      <c r="C448" t="s">
        <v>461</v>
      </c>
      <c r="D448" t="s">
        <v>14</v>
      </c>
      <c r="E448">
        <v>52</v>
      </c>
      <c r="F448">
        <v>0</v>
      </c>
      <c r="G448">
        <v>0</v>
      </c>
      <c r="H448">
        <v>1</v>
      </c>
      <c r="I448">
        <v>30.5</v>
      </c>
    </row>
    <row r="449" spans="1:9" x14ac:dyDescent="0.3">
      <c r="A449">
        <v>448</v>
      </c>
      <c r="B449">
        <v>0</v>
      </c>
      <c r="C449" t="s">
        <v>462</v>
      </c>
      <c r="D449" t="s">
        <v>14</v>
      </c>
      <c r="E449">
        <v>36</v>
      </c>
      <c r="F449">
        <v>1</v>
      </c>
      <c r="G449">
        <v>2</v>
      </c>
      <c r="H449">
        <v>2</v>
      </c>
      <c r="I449">
        <v>27.75</v>
      </c>
    </row>
    <row r="450" spans="1:9" x14ac:dyDescent="0.3">
      <c r="A450">
        <v>449</v>
      </c>
      <c r="B450">
        <v>0</v>
      </c>
      <c r="C450" t="s">
        <v>463</v>
      </c>
      <c r="D450" t="s">
        <v>14</v>
      </c>
      <c r="E450">
        <v>28</v>
      </c>
      <c r="F450">
        <v>1</v>
      </c>
      <c r="G450">
        <v>0</v>
      </c>
      <c r="H450">
        <v>3</v>
      </c>
      <c r="I450">
        <v>19.966699999999999</v>
      </c>
    </row>
    <row r="451" spans="1:9" x14ac:dyDescent="0.3">
      <c r="A451">
        <v>450</v>
      </c>
      <c r="B451">
        <v>0</v>
      </c>
      <c r="C451" t="s">
        <v>464</v>
      </c>
      <c r="D451" t="s">
        <v>14</v>
      </c>
      <c r="E451">
        <v>30</v>
      </c>
      <c r="F451">
        <v>0</v>
      </c>
      <c r="G451">
        <v>0</v>
      </c>
      <c r="H451">
        <v>1</v>
      </c>
      <c r="I451">
        <v>27.75</v>
      </c>
    </row>
    <row r="452" spans="1:9" x14ac:dyDescent="0.3">
      <c r="A452">
        <v>451</v>
      </c>
      <c r="B452">
        <v>1</v>
      </c>
      <c r="C452" t="s">
        <v>465</v>
      </c>
      <c r="D452" t="s">
        <v>14</v>
      </c>
      <c r="E452">
        <v>49</v>
      </c>
      <c r="F452">
        <v>1</v>
      </c>
      <c r="G452">
        <v>0</v>
      </c>
      <c r="H452">
        <v>1</v>
      </c>
      <c r="I452">
        <v>89.104200000000006</v>
      </c>
    </row>
    <row r="453" spans="1:9" x14ac:dyDescent="0.3">
      <c r="A453">
        <v>452</v>
      </c>
      <c r="B453">
        <v>0</v>
      </c>
      <c r="C453" t="s">
        <v>466</v>
      </c>
      <c r="D453" t="s">
        <v>14</v>
      </c>
      <c r="E453">
        <v>24</v>
      </c>
      <c r="F453">
        <v>0</v>
      </c>
      <c r="G453">
        <v>0</v>
      </c>
      <c r="H453">
        <v>3</v>
      </c>
      <c r="I453">
        <v>8.0500000000000007</v>
      </c>
    </row>
    <row r="454" spans="1:9" x14ac:dyDescent="0.3">
      <c r="A454">
        <v>453</v>
      </c>
      <c r="B454">
        <v>1</v>
      </c>
      <c r="C454" t="s">
        <v>467</v>
      </c>
      <c r="D454" t="s">
        <v>14</v>
      </c>
      <c r="E454">
        <v>29</v>
      </c>
      <c r="F454">
        <v>0</v>
      </c>
      <c r="G454">
        <v>0</v>
      </c>
      <c r="H454">
        <v>3</v>
      </c>
      <c r="I454">
        <v>7.8958000000000004</v>
      </c>
    </row>
    <row r="455" spans="1:9" x14ac:dyDescent="0.3">
      <c r="A455">
        <v>454</v>
      </c>
      <c r="B455">
        <v>0</v>
      </c>
      <c r="C455" t="s">
        <v>468</v>
      </c>
      <c r="D455" t="s">
        <v>14</v>
      </c>
      <c r="E455">
        <v>65</v>
      </c>
      <c r="F455">
        <v>0</v>
      </c>
      <c r="G455">
        <v>0</v>
      </c>
      <c r="H455">
        <v>1</v>
      </c>
      <c r="I455">
        <v>26.55</v>
      </c>
    </row>
    <row r="456" spans="1:9" x14ac:dyDescent="0.3">
      <c r="A456">
        <v>455</v>
      </c>
      <c r="B456">
        <v>1</v>
      </c>
      <c r="C456" t="s">
        <v>469</v>
      </c>
      <c r="D456" t="s">
        <v>16</v>
      </c>
      <c r="E456">
        <v>41</v>
      </c>
      <c r="F456">
        <v>1</v>
      </c>
      <c r="G456">
        <v>0</v>
      </c>
      <c r="H456">
        <v>1</v>
      </c>
      <c r="I456">
        <v>51.862499999999997</v>
      </c>
    </row>
    <row r="457" spans="1:9" x14ac:dyDescent="0.3">
      <c r="A457">
        <v>456</v>
      </c>
      <c r="B457">
        <v>1</v>
      </c>
      <c r="C457" t="s">
        <v>470</v>
      </c>
      <c r="D457" t="s">
        <v>16</v>
      </c>
      <c r="E457">
        <v>50</v>
      </c>
      <c r="F457">
        <v>0</v>
      </c>
      <c r="G457">
        <v>0</v>
      </c>
      <c r="H457">
        <v>2</v>
      </c>
      <c r="I457">
        <v>10.5</v>
      </c>
    </row>
    <row r="458" spans="1:9" x14ac:dyDescent="0.3">
      <c r="A458">
        <v>457</v>
      </c>
      <c r="B458">
        <v>0</v>
      </c>
      <c r="C458" t="s">
        <v>471</v>
      </c>
      <c r="D458" t="s">
        <v>14</v>
      </c>
      <c r="E458">
        <v>17</v>
      </c>
      <c r="F458">
        <v>0</v>
      </c>
      <c r="G458">
        <v>0</v>
      </c>
      <c r="H458">
        <v>3</v>
      </c>
      <c r="I458">
        <v>7.75</v>
      </c>
    </row>
    <row r="459" spans="1:9" x14ac:dyDescent="0.3">
      <c r="A459">
        <v>458</v>
      </c>
      <c r="B459">
        <v>1</v>
      </c>
      <c r="C459" t="s">
        <v>472</v>
      </c>
      <c r="D459" t="s">
        <v>14</v>
      </c>
      <c r="E459">
        <v>48</v>
      </c>
      <c r="F459">
        <v>0</v>
      </c>
      <c r="G459">
        <v>0</v>
      </c>
      <c r="H459">
        <v>1</v>
      </c>
      <c r="I459">
        <v>26.55</v>
      </c>
    </row>
    <row r="460" spans="1:9" x14ac:dyDescent="0.3">
      <c r="A460">
        <v>459</v>
      </c>
      <c r="B460">
        <v>0</v>
      </c>
      <c r="C460" t="s">
        <v>473</v>
      </c>
      <c r="D460" t="s">
        <v>14</v>
      </c>
      <c r="E460">
        <v>34</v>
      </c>
      <c r="F460">
        <v>0</v>
      </c>
      <c r="G460">
        <v>0</v>
      </c>
      <c r="H460">
        <v>3</v>
      </c>
      <c r="I460">
        <v>8.0500000000000007</v>
      </c>
    </row>
    <row r="461" spans="1:9" x14ac:dyDescent="0.3">
      <c r="A461">
        <v>460</v>
      </c>
      <c r="B461">
        <v>0</v>
      </c>
      <c r="C461" t="s">
        <v>474</v>
      </c>
      <c r="D461" t="s">
        <v>14</v>
      </c>
      <c r="E461">
        <v>47</v>
      </c>
      <c r="F461">
        <v>0</v>
      </c>
      <c r="G461">
        <v>0</v>
      </c>
      <c r="H461">
        <v>1</v>
      </c>
      <c r="I461">
        <v>38.5</v>
      </c>
    </row>
    <row r="462" spans="1:9" x14ac:dyDescent="0.3">
      <c r="A462">
        <v>461</v>
      </c>
      <c r="B462">
        <v>0</v>
      </c>
      <c r="C462" t="s">
        <v>475</v>
      </c>
      <c r="D462" t="s">
        <v>14</v>
      </c>
      <c r="E462">
        <v>48</v>
      </c>
      <c r="F462">
        <v>0</v>
      </c>
      <c r="G462">
        <v>0</v>
      </c>
      <c r="H462">
        <v>2</v>
      </c>
      <c r="I462">
        <v>13</v>
      </c>
    </row>
    <row r="463" spans="1:9" x14ac:dyDescent="0.3">
      <c r="A463">
        <v>462</v>
      </c>
      <c r="B463">
        <v>0</v>
      </c>
      <c r="C463" t="s">
        <v>476</v>
      </c>
      <c r="D463" t="s">
        <v>14</v>
      </c>
      <c r="E463">
        <v>34</v>
      </c>
      <c r="F463">
        <v>0</v>
      </c>
      <c r="G463">
        <v>0</v>
      </c>
      <c r="H463">
        <v>3</v>
      </c>
      <c r="I463">
        <v>8.0500000000000007</v>
      </c>
    </row>
    <row r="464" spans="1:9" x14ac:dyDescent="0.3">
      <c r="A464">
        <v>463</v>
      </c>
      <c r="B464">
        <v>0</v>
      </c>
      <c r="C464" t="s">
        <v>477</v>
      </c>
      <c r="D464" t="s">
        <v>14</v>
      </c>
      <c r="E464">
        <v>38</v>
      </c>
      <c r="F464">
        <v>0</v>
      </c>
      <c r="G464">
        <v>0</v>
      </c>
      <c r="H464">
        <v>3</v>
      </c>
      <c r="I464">
        <v>7.05</v>
      </c>
    </row>
    <row r="465" spans="1:9" x14ac:dyDescent="0.3">
      <c r="A465">
        <v>464</v>
      </c>
      <c r="B465">
        <v>0</v>
      </c>
      <c r="C465" t="s">
        <v>478</v>
      </c>
      <c r="D465" t="s">
        <v>14</v>
      </c>
      <c r="E465">
        <v>21</v>
      </c>
      <c r="F465">
        <v>0</v>
      </c>
      <c r="G465">
        <v>0</v>
      </c>
      <c r="H465">
        <v>2</v>
      </c>
      <c r="I465">
        <v>0</v>
      </c>
    </row>
    <row r="466" spans="1:9" x14ac:dyDescent="0.3">
      <c r="A466">
        <v>465</v>
      </c>
      <c r="B466">
        <v>0</v>
      </c>
      <c r="C466" t="s">
        <v>479</v>
      </c>
      <c r="D466" t="s">
        <v>14</v>
      </c>
      <c r="E466">
        <v>56</v>
      </c>
      <c r="F466">
        <v>0</v>
      </c>
      <c r="G466">
        <v>0</v>
      </c>
      <c r="H466">
        <v>1</v>
      </c>
      <c r="I466">
        <v>26.55</v>
      </c>
    </row>
    <row r="467" spans="1:9" x14ac:dyDescent="0.3">
      <c r="A467">
        <v>466</v>
      </c>
      <c r="B467">
        <v>0</v>
      </c>
      <c r="C467" t="s">
        <v>480</v>
      </c>
      <c r="D467" t="s">
        <v>14</v>
      </c>
      <c r="E467">
        <v>22</v>
      </c>
      <c r="F467">
        <v>0</v>
      </c>
      <c r="G467">
        <v>0</v>
      </c>
      <c r="H467">
        <v>3</v>
      </c>
      <c r="I467">
        <v>7.7249999999999996</v>
      </c>
    </row>
    <row r="468" spans="1:9" x14ac:dyDescent="0.3">
      <c r="A468">
        <v>467</v>
      </c>
      <c r="B468">
        <v>1</v>
      </c>
      <c r="C468" t="s">
        <v>481</v>
      </c>
      <c r="D468" t="s">
        <v>16</v>
      </c>
      <c r="E468">
        <v>0.75</v>
      </c>
      <c r="F468">
        <v>2</v>
      </c>
      <c r="G468">
        <v>1</v>
      </c>
      <c r="H468">
        <v>3</v>
      </c>
      <c r="I468">
        <v>19.258299999999998</v>
      </c>
    </row>
    <row r="469" spans="1:9" x14ac:dyDescent="0.3">
      <c r="A469">
        <v>468</v>
      </c>
      <c r="B469">
        <v>0</v>
      </c>
      <c r="C469" t="s">
        <v>482</v>
      </c>
      <c r="D469" t="s">
        <v>14</v>
      </c>
      <c r="E469">
        <v>39</v>
      </c>
      <c r="F469">
        <v>0</v>
      </c>
      <c r="G469">
        <v>0</v>
      </c>
      <c r="H469">
        <v>3</v>
      </c>
      <c r="I469">
        <v>7.25</v>
      </c>
    </row>
    <row r="470" spans="1:9" x14ac:dyDescent="0.3">
      <c r="A470">
        <v>469</v>
      </c>
      <c r="B470">
        <v>0</v>
      </c>
      <c r="C470" t="s">
        <v>483</v>
      </c>
      <c r="D470" t="s">
        <v>14</v>
      </c>
      <c r="E470">
        <v>38</v>
      </c>
      <c r="F470">
        <v>0</v>
      </c>
      <c r="G470">
        <v>0</v>
      </c>
      <c r="H470">
        <v>3</v>
      </c>
      <c r="I470">
        <v>8.6624999999999996</v>
      </c>
    </row>
    <row r="471" spans="1:9" x14ac:dyDescent="0.3">
      <c r="A471">
        <v>470</v>
      </c>
      <c r="B471">
        <v>1</v>
      </c>
      <c r="C471" t="s">
        <v>484</v>
      </c>
      <c r="D471" t="s">
        <v>16</v>
      </c>
      <c r="E471">
        <v>33</v>
      </c>
      <c r="F471">
        <v>1</v>
      </c>
      <c r="G471">
        <v>2</v>
      </c>
      <c r="H471">
        <v>2</v>
      </c>
      <c r="I471">
        <v>27.75</v>
      </c>
    </row>
    <row r="472" spans="1:9" x14ac:dyDescent="0.3">
      <c r="A472">
        <v>471</v>
      </c>
      <c r="B472">
        <v>1</v>
      </c>
      <c r="C472" t="s">
        <v>485</v>
      </c>
      <c r="D472" t="s">
        <v>16</v>
      </c>
      <c r="E472">
        <v>23</v>
      </c>
      <c r="F472">
        <v>0</v>
      </c>
      <c r="G472">
        <v>0</v>
      </c>
      <c r="H472">
        <v>2</v>
      </c>
      <c r="I472">
        <v>13.791700000000001</v>
      </c>
    </row>
    <row r="473" spans="1:9" x14ac:dyDescent="0.3">
      <c r="A473">
        <v>472</v>
      </c>
      <c r="B473">
        <v>0</v>
      </c>
      <c r="C473" t="s">
        <v>486</v>
      </c>
      <c r="D473" t="s">
        <v>16</v>
      </c>
      <c r="E473">
        <v>22</v>
      </c>
      <c r="F473">
        <v>0</v>
      </c>
      <c r="G473">
        <v>0</v>
      </c>
      <c r="H473">
        <v>3</v>
      </c>
      <c r="I473">
        <v>9.8375000000000004</v>
      </c>
    </row>
    <row r="474" spans="1:9" x14ac:dyDescent="0.3">
      <c r="A474">
        <v>473</v>
      </c>
      <c r="B474">
        <v>0</v>
      </c>
      <c r="C474" t="s">
        <v>487</v>
      </c>
      <c r="D474" t="s">
        <v>14</v>
      </c>
      <c r="E474">
        <v>40</v>
      </c>
      <c r="F474">
        <v>0</v>
      </c>
      <c r="G474">
        <v>0</v>
      </c>
      <c r="H474">
        <v>1</v>
      </c>
      <c r="I474">
        <v>52</v>
      </c>
    </row>
    <row r="475" spans="1:9" x14ac:dyDescent="0.3">
      <c r="A475">
        <v>474</v>
      </c>
      <c r="B475">
        <v>0</v>
      </c>
      <c r="C475" t="s">
        <v>488</v>
      </c>
      <c r="D475" t="s">
        <v>14</v>
      </c>
      <c r="E475">
        <v>34</v>
      </c>
      <c r="F475">
        <v>1</v>
      </c>
      <c r="G475">
        <v>0</v>
      </c>
      <c r="H475">
        <v>2</v>
      </c>
      <c r="I475">
        <v>21</v>
      </c>
    </row>
    <row r="476" spans="1:9" x14ac:dyDescent="0.3">
      <c r="A476">
        <v>475</v>
      </c>
      <c r="B476">
        <v>0</v>
      </c>
      <c r="C476" t="s">
        <v>489</v>
      </c>
      <c r="D476" t="s">
        <v>14</v>
      </c>
      <c r="E476">
        <v>29</v>
      </c>
      <c r="F476">
        <v>1</v>
      </c>
      <c r="G476">
        <v>0</v>
      </c>
      <c r="H476">
        <v>3</v>
      </c>
      <c r="I476">
        <v>7.0457999999999998</v>
      </c>
    </row>
    <row r="477" spans="1:9" x14ac:dyDescent="0.3">
      <c r="A477">
        <v>476</v>
      </c>
      <c r="B477">
        <v>0</v>
      </c>
      <c r="C477" t="s">
        <v>490</v>
      </c>
      <c r="D477" t="s">
        <v>14</v>
      </c>
      <c r="E477">
        <v>22</v>
      </c>
      <c r="F477">
        <v>0</v>
      </c>
      <c r="G477">
        <v>0</v>
      </c>
      <c r="H477">
        <v>3</v>
      </c>
      <c r="I477">
        <v>7.5208000000000004</v>
      </c>
    </row>
    <row r="478" spans="1:9" x14ac:dyDescent="0.3">
      <c r="A478">
        <v>477</v>
      </c>
      <c r="B478">
        <v>1</v>
      </c>
      <c r="C478" t="s">
        <v>491</v>
      </c>
      <c r="D478" t="s">
        <v>16</v>
      </c>
      <c r="E478">
        <v>2</v>
      </c>
      <c r="F478">
        <v>0</v>
      </c>
      <c r="G478">
        <v>1</v>
      </c>
      <c r="H478">
        <v>3</v>
      </c>
      <c r="I478">
        <v>12.2875</v>
      </c>
    </row>
    <row r="479" spans="1:9" x14ac:dyDescent="0.3">
      <c r="A479">
        <v>478</v>
      </c>
      <c r="B479">
        <v>0</v>
      </c>
      <c r="C479" t="s">
        <v>492</v>
      </c>
      <c r="D479" t="s">
        <v>14</v>
      </c>
      <c r="E479">
        <v>9</v>
      </c>
      <c r="F479">
        <v>5</v>
      </c>
      <c r="G479">
        <v>2</v>
      </c>
      <c r="H479">
        <v>3</v>
      </c>
      <c r="I479">
        <v>46.9</v>
      </c>
    </row>
    <row r="480" spans="1:9" x14ac:dyDescent="0.3">
      <c r="A480">
        <v>479</v>
      </c>
      <c r="B480">
        <v>0</v>
      </c>
      <c r="C480" t="s">
        <v>493</v>
      </c>
      <c r="D480" t="s">
        <v>14</v>
      </c>
      <c r="E480">
        <v>37</v>
      </c>
      <c r="F480">
        <v>0</v>
      </c>
      <c r="G480">
        <v>0</v>
      </c>
      <c r="H480">
        <v>2</v>
      </c>
      <c r="I480">
        <v>0</v>
      </c>
    </row>
    <row r="481" spans="1:9" x14ac:dyDescent="0.3">
      <c r="A481">
        <v>480</v>
      </c>
      <c r="B481">
        <v>0</v>
      </c>
      <c r="C481" t="s">
        <v>494</v>
      </c>
      <c r="D481" t="s">
        <v>14</v>
      </c>
      <c r="E481">
        <v>50</v>
      </c>
      <c r="F481">
        <v>0</v>
      </c>
      <c r="G481">
        <v>0</v>
      </c>
      <c r="H481">
        <v>3</v>
      </c>
      <c r="I481">
        <v>8.0500000000000007</v>
      </c>
    </row>
    <row r="482" spans="1:9" x14ac:dyDescent="0.3">
      <c r="A482">
        <v>481</v>
      </c>
      <c r="B482">
        <v>1</v>
      </c>
      <c r="C482" t="s">
        <v>495</v>
      </c>
      <c r="D482" t="s">
        <v>16</v>
      </c>
      <c r="E482">
        <v>63</v>
      </c>
      <c r="F482">
        <v>0</v>
      </c>
      <c r="G482">
        <v>0</v>
      </c>
      <c r="H482">
        <v>3</v>
      </c>
      <c r="I482">
        <v>9.5875000000000004</v>
      </c>
    </row>
    <row r="483" spans="1:9" x14ac:dyDescent="0.3">
      <c r="A483">
        <v>482</v>
      </c>
      <c r="B483">
        <v>1</v>
      </c>
      <c r="C483" t="s">
        <v>496</v>
      </c>
      <c r="D483" t="s">
        <v>14</v>
      </c>
      <c r="E483">
        <v>25</v>
      </c>
      <c r="F483">
        <v>1</v>
      </c>
      <c r="G483">
        <v>0</v>
      </c>
      <c r="H483">
        <v>1</v>
      </c>
      <c r="I483">
        <v>91.0792</v>
      </c>
    </row>
    <row r="484" spans="1:9" x14ac:dyDescent="0.3">
      <c r="A484">
        <v>483</v>
      </c>
      <c r="B484">
        <v>0</v>
      </c>
      <c r="C484" t="s">
        <v>497</v>
      </c>
      <c r="D484" t="s">
        <v>16</v>
      </c>
      <c r="E484">
        <v>8</v>
      </c>
      <c r="F484">
        <v>3</v>
      </c>
      <c r="G484">
        <v>1</v>
      </c>
      <c r="H484">
        <v>3</v>
      </c>
      <c r="I484">
        <v>25.466699999999999</v>
      </c>
    </row>
    <row r="485" spans="1:9" x14ac:dyDescent="0.3">
      <c r="A485">
        <v>484</v>
      </c>
      <c r="B485">
        <v>1</v>
      </c>
      <c r="C485" t="s">
        <v>498</v>
      </c>
      <c r="D485" t="s">
        <v>16</v>
      </c>
      <c r="E485">
        <v>35</v>
      </c>
      <c r="F485">
        <v>1</v>
      </c>
      <c r="G485">
        <v>0</v>
      </c>
      <c r="H485">
        <v>1</v>
      </c>
      <c r="I485">
        <v>90</v>
      </c>
    </row>
    <row r="486" spans="1:9" x14ac:dyDescent="0.3">
      <c r="A486">
        <v>485</v>
      </c>
      <c r="B486">
        <v>0</v>
      </c>
      <c r="C486" t="s">
        <v>499</v>
      </c>
      <c r="D486" t="s">
        <v>14</v>
      </c>
      <c r="E486">
        <v>58</v>
      </c>
      <c r="F486">
        <v>0</v>
      </c>
      <c r="G486">
        <v>0</v>
      </c>
      <c r="H486">
        <v>1</v>
      </c>
      <c r="I486">
        <v>29.7</v>
      </c>
    </row>
    <row r="487" spans="1:9" x14ac:dyDescent="0.3">
      <c r="A487">
        <v>486</v>
      </c>
      <c r="B487">
        <v>0</v>
      </c>
      <c r="C487" t="s">
        <v>500</v>
      </c>
      <c r="D487" t="s">
        <v>14</v>
      </c>
      <c r="E487">
        <v>30</v>
      </c>
      <c r="F487">
        <v>0</v>
      </c>
      <c r="G487">
        <v>0</v>
      </c>
      <c r="H487">
        <v>3</v>
      </c>
      <c r="I487">
        <v>8.0500000000000007</v>
      </c>
    </row>
    <row r="488" spans="1:9" x14ac:dyDescent="0.3">
      <c r="A488">
        <v>487</v>
      </c>
      <c r="B488">
        <v>1</v>
      </c>
      <c r="C488" t="s">
        <v>501</v>
      </c>
      <c r="D488" t="s">
        <v>14</v>
      </c>
      <c r="E488">
        <v>9</v>
      </c>
      <c r="F488">
        <v>1</v>
      </c>
      <c r="G488">
        <v>1</v>
      </c>
      <c r="H488">
        <v>3</v>
      </c>
      <c r="I488">
        <v>15.9</v>
      </c>
    </row>
    <row r="489" spans="1:9" x14ac:dyDescent="0.3">
      <c r="A489">
        <v>488</v>
      </c>
      <c r="B489">
        <v>0</v>
      </c>
      <c r="C489" t="s">
        <v>502</v>
      </c>
      <c r="D489" t="s">
        <v>14</v>
      </c>
      <c r="E489">
        <v>19</v>
      </c>
      <c r="F489">
        <v>1</v>
      </c>
      <c r="G489">
        <v>0</v>
      </c>
      <c r="H489">
        <v>3</v>
      </c>
      <c r="I489">
        <v>19.966699999999999</v>
      </c>
    </row>
    <row r="490" spans="1:9" x14ac:dyDescent="0.3">
      <c r="A490">
        <v>489</v>
      </c>
      <c r="B490">
        <v>0</v>
      </c>
      <c r="C490" t="s">
        <v>503</v>
      </c>
      <c r="D490" t="s">
        <v>14</v>
      </c>
      <c r="E490">
        <v>21</v>
      </c>
      <c r="F490">
        <v>0</v>
      </c>
      <c r="G490">
        <v>0</v>
      </c>
      <c r="H490">
        <v>3</v>
      </c>
      <c r="I490">
        <v>7.25</v>
      </c>
    </row>
    <row r="491" spans="1:9" x14ac:dyDescent="0.3">
      <c r="A491">
        <v>490</v>
      </c>
      <c r="B491">
        <v>0</v>
      </c>
      <c r="C491" t="s">
        <v>504</v>
      </c>
      <c r="D491" t="s">
        <v>14</v>
      </c>
      <c r="E491">
        <v>55</v>
      </c>
      <c r="F491">
        <v>0</v>
      </c>
      <c r="G491">
        <v>0</v>
      </c>
      <c r="H491">
        <v>1</v>
      </c>
      <c r="I491">
        <v>30.5</v>
      </c>
    </row>
    <row r="492" spans="1:9" x14ac:dyDescent="0.3">
      <c r="A492">
        <v>491</v>
      </c>
      <c r="B492">
        <v>0</v>
      </c>
      <c r="C492" t="s">
        <v>505</v>
      </c>
      <c r="D492" t="s">
        <v>14</v>
      </c>
      <c r="E492">
        <v>71</v>
      </c>
      <c r="F492">
        <v>0</v>
      </c>
      <c r="G492">
        <v>0</v>
      </c>
      <c r="H492">
        <v>1</v>
      </c>
      <c r="I492">
        <v>49.504199999999997</v>
      </c>
    </row>
    <row r="493" spans="1:9" x14ac:dyDescent="0.3">
      <c r="A493">
        <v>492</v>
      </c>
      <c r="B493">
        <v>0</v>
      </c>
      <c r="C493" t="s">
        <v>506</v>
      </c>
      <c r="D493" t="s">
        <v>14</v>
      </c>
      <c r="E493">
        <v>21</v>
      </c>
      <c r="F493">
        <v>0</v>
      </c>
      <c r="G493">
        <v>0</v>
      </c>
      <c r="H493">
        <v>3</v>
      </c>
      <c r="I493">
        <v>8.0500000000000007</v>
      </c>
    </row>
    <row r="494" spans="1:9" x14ac:dyDescent="0.3">
      <c r="A494">
        <v>493</v>
      </c>
      <c r="B494">
        <v>0</v>
      </c>
      <c r="C494" t="s">
        <v>507</v>
      </c>
      <c r="D494" t="s">
        <v>14</v>
      </c>
      <c r="E494">
        <v>26</v>
      </c>
      <c r="F494">
        <v>0</v>
      </c>
      <c r="G494">
        <v>0</v>
      </c>
      <c r="H494">
        <v>3</v>
      </c>
      <c r="I494">
        <v>14.458299999999999</v>
      </c>
    </row>
    <row r="495" spans="1:9" x14ac:dyDescent="0.3">
      <c r="A495">
        <v>494</v>
      </c>
      <c r="B495">
        <v>1</v>
      </c>
      <c r="C495" t="s">
        <v>508</v>
      </c>
      <c r="D495" t="s">
        <v>16</v>
      </c>
      <c r="E495">
        <v>54</v>
      </c>
      <c r="F495">
        <v>1</v>
      </c>
      <c r="G495">
        <v>0</v>
      </c>
      <c r="H495">
        <v>1</v>
      </c>
      <c r="I495">
        <v>78.2667</v>
      </c>
    </row>
    <row r="496" spans="1:9" x14ac:dyDescent="0.3">
      <c r="A496">
        <v>495</v>
      </c>
      <c r="B496">
        <v>0</v>
      </c>
      <c r="C496" t="s">
        <v>509</v>
      </c>
      <c r="D496" t="s">
        <v>14</v>
      </c>
      <c r="E496">
        <v>55</v>
      </c>
      <c r="F496">
        <v>0</v>
      </c>
      <c r="G496">
        <v>0</v>
      </c>
      <c r="H496">
        <v>3</v>
      </c>
      <c r="I496">
        <v>15.1</v>
      </c>
    </row>
    <row r="497" spans="1:9" x14ac:dyDescent="0.3">
      <c r="A497">
        <v>496</v>
      </c>
      <c r="B497">
        <v>0</v>
      </c>
      <c r="C497" t="s">
        <v>510</v>
      </c>
      <c r="D497" t="s">
        <v>16</v>
      </c>
      <c r="E497">
        <v>25</v>
      </c>
      <c r="F497">
        <v>1</v>
      </c>
      <c r="G497">
        <v>2</v>
      </c>
      <c r="H497">
        <v>1</v>
      </c>
      <c r="I497">
        <v>151.55000000000001</v>
      </c>
    </row>
    <row r="498" spans="1:9" x14ac:dyDescent="0.3">
      <c r="A498">
        <v>497</v>
      </c>
      <c r="B498">
        <v>0</v>
      </c>
      <c r="C498" t="s">
        <v>511</v>
      </c>
      <c r="D498" t="s">
        <v>14</v>
      </c>
      <c r="E498">
        <v>24</v>
      </c>
      <c r="F498">
        <v>0</v>
      </c>
      <c r="G498">
        <v>0</v>
      </c>
      <c r="H498">
        <v>3</v>
      </c>
      <c r="I498">
        <v>7.7957999999999998</v>
      </c>
    </row>
    <row r="499" spans="1:9" x14ac:dyDescent="0.3">
      <c r="A499">
        <v>498</v>
      </c>
      <c r="B499">
        <v>0</v>
      </c>
      <c r="C499" t="s">
        <v>512</v>
      </c>
      <c r="D499" t="s">
        <v>14</v>
      </c>
      <c r="E499">
        <v>17</v>
      </c>
      <c r="F499">
        <v>0</v>
      </c>
      <c r="G499">
        <v>0</v>
      </c>
      <c r="H499">
        <v>3</v>
      </c>
      <c r="I499">
        <v>8.6624999999999996</v>
      </c>
    </row>
    <row r="500" spans="1:9" x14ac:dyDescent="0.3">
      <c r="A500">
        <v>499</v>
      </c>
      <c r="B500">
        <v>0</v>
      </c>
      <c r="C500" t="s">
        <v>513</v>
      </c>
      <c r="D500" t="s">
        <v>16</v>
      </c>
      <c r="E500">
        <v>21</v>
      </c>
      <c r="F500">
        <v>0</v>
      </c>
      <c r="G500">
        <v>0</v>
      </c>
      <c r="H500">
        <v>3</v>
      </c>
      <c r="I500">
        <v>7.75</v>
      </c>
    </row>
    <row r="501" spans="1:9" x14ac:dyDescent="0.3">
      <c r="A501">
        <v>500</v>
      </c>
      <c r="B501">
        <v>0</v>
      </c>
      <c r="C501" t="s">
        <v>514</v>
      </c>
      <c r="D501" t="s">
        <v>16</v>
      </c>
      <c r="E501">
        <v>21</v>
      </c>
      <c r="F501">
        <v>0</v>
      </c>
      <c r="G501">
        <v>0</v>
      </c>
      <c r="H501">
        <v>3</v>
      </c>
      <c r="I501">
        <v>7.6292</v>
      </c>
    </row>
    <row r="502" spans="1:9" x14ac:dyDescent="0.3">
      <c r="A502">
        <v>501</v>
      </c>
      <c r="B502">
        <v>0</v>
      </c>
      <c r="C502" t="s">
        <v>515</v>
      </c>
      <c r="D502" t="s">
        <v>16</v>
      </c>
      <c r="E502">
        <v>37</v>
      </c>
      <c r="F502">
        <v>0</v>
      </c>
      <c r="G502">
        <v>0</v>
      </c>
      <c r="H502">
        <v>3</v>
      </c>
      <c r="I502">
        <v>9.5875000000000004</v>
      </c>
    </row>
    <row r="503" spans="1:9" x14ac:dyDescent="0.3">
      <c r="A503">
        <v>502</v>
      </c>
      <c r="B503">
        <v>1</v>
      </c>
      <c r="C503" t="s">
        <v>516</v>
      </c>
      <c r="D503" t="s">
        <v>16</v>
      </c>
      <c r="E503">
        <v>16</v>
      </c>
      <c r="F503">
        <v>0</v>
      </c>
      <c r="G503">
        <v>0</v>
      </c>
      <c r="H503">
        <v>1</v>
      </c>
      <c r="I503">
        <v>86.5</v>
      </c>
    </row>
    <row r="504" spans="1:9" x14ac:dyDescent="0.3">
      <c r="A504">
        <v>503</v>
      </c>
      <c r="B504">
        <v>0</v>
      </c>
      <c r="C504" t="s">
        <v>517</v>
      </c>
      <c r="D504" t="s">
        <v>14</v>
      </c>
      <c r="E504">
        <v>18</v>
      </c>
      <c r="F504">
        <v>1</v>
      </c>
      <c r="G504">
        <v>0</v>
      </c>
      <c r="H504">
        <v>1</v>
      </c>
      <c r="I504">
        <v>108.9</v>
      </c>
    </row>
    <row r="505" spans="1:9" x14ac:dyDescent="0.3">
      <c r="A505">
        <v>504</v>
      </c>
      <c r="B505">
        <v>1</v>
      </c>
      <c r="C505" t="s">
        <v>518</v>
      </c>
      <c r="D505" t="s">
        <v>16</v>
      </c>
      <c r="E505">
        <v>33</v>
      </c>
      <c r="F505">
        <v>0</v>
      </c>
      <c r="G505">
        <v>2</v>
      </c>
      <c r="H505">
        <v>2</v>
      </c>
      <c r="I505">
        <v>26</v>
      </c>
    </row>
    <row r="506" spans="1:9" x14ac:dyDescent="0.3">
      <c r="A506">
        <v>505</v>
      </c>
      <c r="B506">
        <v>1</v>
      </c>
      <c r="C506" t="s">
        <v>519</v>
      </c>
      <c r="D506" t="s">
        <v>14</v>
      </c>
      <c r="E506">
        <v>37</v>
      </c>
      <c r="F506">
        <v>0</v>
      </c>
      <c r="G506">
        <v>0</v>
      </c>
      <c r="H506">
        <v>1</v>
      </c>
      <c r="I506">
        <v>26.55</v>
      </c>
    </row>
    <row r="507" spans="1:9" x14ac:dyDescent="0.3">
      <c r="A507">
        <v>506</v>
      </c>
      <c r="B507">
        <v>0</v>
      </c>
      <c r="C507" t="s">
        <v>520</v>
      </c>
      <c r="D507" t="s">
        <v>14</v>
      </c>
      <c r="E507">
        <v>28</v>
      </c>
      <c r="F507">
        <v>0</v>
      </c>
      <c r="G507">
        <v>0</v>
      </c>
      <c r="H507">
        <v>3</v>
      </c>
      <c r="I507">
        <v>22.524999999999999</v>
      </c>
    </row>
    <row r="508" spans="1:9" x14ac:dyDescent="0.3">
      <c r="A508">
        <v>507</v>
      </c>
      <c r="B508">
        <v>1</v>
      </c>
      <c r="C508" t="s">
        <v>521</v>
      </c>
      <c r="D508" t="s">
        <v>14</v>
      </c>
      <c r="E508">
        <v>26</v>
      </c>
      <c r="F508">
        <v>0</v>
      </c>
      <c r="G508">
        <v>0</v>
      </c>
      <c r="H508">
        <v>3</v>
      </c>
      <c r="I508">
        <v>56.495800000000003</v>
      </c>
    </row>
    <row r="509" spans="1:9" x14ac:dyDescent="0.3">
      <c r="A509">
        <v>508</v>
      </c>
      <c r="B509">
        <v>1</v>
      </c>
      <c r="C509" t="s">
        <v>522</v>
      </c>
      <c r="D509" t="s">
        <v>14</v>
      </c>
      <c r="E509">
        <v>29</v>
      </c>
      <c r="F509">
        <v>0</v>
      </c>
      <c r="G509">
        <v>0</v>
      </c>
      <c r="H509">
        <v>3</v>
      </c>
      <c r="I509">
        <v>7.75</v>
      </c>
    </row>
    <row r="510" spans="1:9" x14ac:dyDescent="0.3">
      <c r="A510">
        <v>509</v>
      </c>
      <c r="B510">
        <v>0</v>
      </c>
      <c r="C510" t="s">
        <v>523</v>
      </c>
      <c r="D510" t="s">
        <v>14</v>
      </c>
      <c r="E510">
        <v>66</v>
      </c>
      <c r="F510">
        <v>0</v>
      </c>
      <c r="G510">
        <v>0</v>
      </c>
      <c r="H510">
        <v>3</v>
      </c>
      <c r="I510">
        <v>8.0500000000000007</v>
      </c>
    </row>
    <row r="511" spans="1:9" x14ac:dyDescent="0.3">
      <c r="A511">
        <v>510</v>
      </c>
      <c r="B511">
        <v>1</v>
      </c>
      <c r="C511" t="s">
        <v>524</v>
      </c>
      <c r="D511" t="s">
        <v>14</v>
      </c>
      <c r="E511">
        <v>36</v>
      </c>
      <c r="F511">
        <v>0</v>
      </c>
      <c r="G511">
        <v>0</v>
      </c>
      <c r="H511">
        <v>1</v>
      </c>
      <c r="I511">
        <v>26.287500000000001</v>
      </c>
    </row>
    <row r="512" spans="1:9" x14ac:dyDescent="0.3">
      <c r="A512">
        <v>511</v>
      </c>
      <c r="B512">
        <v>1</v>
      </c>
      <c r="C512" t="s">
        <v>525</v>
      </c>
      <c r="D512" t="s">
        <v>16</v>
      </c>
      <c r="E512">
        <v>54</v>
      </c>
      <c r="F512">
        <v>1</v>
      </c>
      <c r="G512">
        <v>0</v>
      </c>
      <c r="H512">
        <v>1</v>
      </c>
      <c r="I512">
        <v>59.4</v>
      </c>
    </row>
    <row r="513" spans="1:9" x14ac:dyDescent="0.3">
      <c r="A513">
        <v>512</v>
      </c>
      <c r="B513">
        <v>0</v>
      </c>
      <c r="C513" t="s">
        <v>526</v>
      </c>
      <c r="D513" t="s">
        <v>14</v>
      </c>
      <c r="E513">
        <v>24</v>
      </c>
      <c r="F513">
        <v>0</v>
      </c>
      <c r="G513">
        <v>0</v>
      </c>
      <c r="H513">
        <v>3</v>
      </c>
      <c r="I513">
        <v>7.4958</v>
      </c>
    </row>
    <row r="514" spans="1:9" x14ac:dyDescent="0.3">
      <c r="A514">
        <v>513</v>
      </c>
      <c r="B514">
        <v>0</v>
      </c>
      <c r="C514" t="s">
        <v>527</v>
      </c>
      <c r="D514" t="s">
        <v>14</v>
      </c>
      <c r="E514">
        <v>47</v>
      </c>
      <c r="F514">
        <v>0</v>
      </c>
      <c r="G514">
        <v>0</v>
      </c>
      <c r="H514">
        <v>1</v>
      </c>
      <c r="I514">
        <v>34.020800000000001</v>
      </c>
    </row>
    <row r="515" spans="1:9" x14ac:dyDescent="0.3">
      <c r="A515">
        <v>514</v>
      </c>
      <c r="B515">
        <v>1</v>
      </c>
      <c r="C515" t="s">
        <v>528</v>
      </c>
      <c r="D515" t="s">
        <v>16</v>
      </c>
      <c r="E515">
        <v>34</v>
      </c>
      <c r="F515">
        <v>0</v>
      </c>
      <c r="G515">
        <v>0</v>
      </c>
      <c r="H515">
        <v>2</v>
      </c>
      <c r="I515">
        <v>10.5</v>
      </c>
    </row>
    <row r="516" spans="1:9" x14ac:dyDescent="0.3">
      <c r="A516">
        <v>515</v>
      </c>
      <c r="B516">
        <v>0</v>
      </c>
      <c r="C516" t="s">
        <v>529</v>
      </c>
      <c r="D516" t="s">
        <v>14</v>
      </c>
      <c r="E516">
        <v>30</v>
      </c>
      <c r="F516">
        <v>0</v>
      </c>
      <c r="G516">
        <v>0</v>
      </c>
      <c r="H516">
        <v>3</v>
      </c>
      <c r="I516">
        <v>24.15</v>
      </c>
    </row>
    <row r="517" spans="1:9" x14ac:dyDescent="0.3">
      <c r="A517">
        <v>516</v>
      </c>
      <c r="B517">
        <v>1</v>
      </c>
      <c r="C517" t="s">
        <v>530</v>
      </c>
      <c r="D517" t="s">
        <v>16</v>
      </c>
      <c r="E517">
        <v>36</v>
      </c>
      <c r="F517">
        <v>1</v>
      </c>
      <c r="G517">
        <v>0</v>
      </c>
      <c r="H517">
        <v>2</v>
      </c>
      <c r="I517">
        <v>26</v>
      </c>
    </row>
    <row r="518" spans="1:9" x14ac:dyDescent="0.3">
      <c r="A518">
        <v>517</v>
      </c>
      <c r="B518">
        <v>0</v>
      </c>
      <c r="C518" t="s">
        <v>531</v>
      </c>
      <c r="D518" t="s">
        <v>14</v>
      </c>
      <c r="E518">
        <v>32</v>
      </c>
      <c r="F518">
        <v>0</v>
      </c>
      <c r="G518">
        <v>0</v>
      </c>
      <c r="H518">
        <v>3</v>
      </c>
      <c r="I518">
        <v>7.8958000000000004</v>
      </c>
    </row>
    <row r="519" spans="1:9" x14ac:dyDescent="0.3">
      <c r="A519">
        <v>518</v>
      </c>
      <c r="B519">
        <v>1</v>
      </c>
      <c r="C519" t="s">
        <v>532</v>
      </c>
      <c r="D519" t="s">
        <v>16</v>
      </c>
      <c r="E519">
        <v>30</v>
      </c>
      <c r="F519">
        <v>0</v>
      </c>
      <c r="G519">
        <v>0</v>
      </c>
      <c r="H519">
        <v>1</v>
      </c>
      <c r="I519">
        <v>93.5</v>
      </c>
    </row>
    <row r="520" spans="1:9" x14ac:dyDescent="0.3">
      <c r="A520">
        <v>519</v>
      </c>
      <c r="B520">
        <v>0</v>
      </c>
      <c r="C520" t="s">
        <v>533</v>
      </c>
      <c r="D520" t="s">
        <v>14</v>
      </c>
      <c r="E520">
        <v>22</v>
      </c>
      <c r="F520">
        <v>0</v>
      </c>
      <c r="G520">
        <v>0</v>
      </c>
      <c r="H520">
        <v>3</v>
      </c>
      <c r="I520">
        <v>7.8958000000000004</v>
      </c>
    </row>
    <row r="521" spans="1:9" x14ac:dyDescent="0.3">
      <c r="A521">
        <v>520</v>
      </c>
      <c r="B521">
        <v>0</v>
      </c>
      <c r="C521" t="s">
        <v>534</v>
      </c>
      <c r="D521" t="s">
        <v>14</v>
      </c>
      <c r="E521">
        <v>35</v>
      </c>
      <c r="F521">
        <v>0</v>
      </c>
      <c r="G521">
        <v>0</v>
      </c>
      <c r="H521">
        <v>3</v>
      </c>
      <c r="I521">
        <v>7.2249999999999996</v>
      </c>
    </row>
    <row r="522" spans="1:9" x14ac:dyDescent="0.3">
      <c r="A522">
        <v>521</v>
      </c>
      <c r="B522">
        <v>1</v>
      </c>
      <c r="C522" t="s">
        <v>535</v>
      </c>
      <c r="D522" t="s">
        <v>16</v>
      </c>
      <c r="E522">
        <v>44</v>
      </c>
      <c r="F522">
        <v>0</v>
      </c>
      <c r="G522">
        <v>1</v>
      </c>
      <c r="H522">
        <v>1</v>
      </c>
      <c r="I522">
        <v>57.979199999999999</v>
      </c>
    </row>
    <row r="523" spans="1:9" x14ac:dyDescent="0.3">
      <c r="A523">
        <v>522</v>
      </c>
      <c r="B523">
        <v>0</v>
      </c>
      <c r="C523" t="s">
        <v>536</v>
      </c>
      <c r="D523" t="s">
        <v>14</v>
      </c>
      <c r="E523">
        <v>18</v>
      </c>
      <c r="F523">
        <v>0</v>
      </c>
      <c r="G523">
        <v>0</v>
      </c>
      <c r="H523">
        <v>3</v>
      </c>
      <c r="I523">
        <v>7.2291999999999996</v>
      </c>
    </row>
    <row r="524" spans="1:9" x14ac:dyDescent="0.3">
      <c r="A524">
        <v>523</v>
      </c>
      <c r="B524">
        <v>0</v>
      </c>
      <c r="C524" t="s">
        <v>537</v>
      </c>
      <c r="D524" t="s">
        <v>14</v>
      </c>
      <c r="E524">
        <v>40.5</v>
      </c>
      <c r="F524">
        <v>0</v>
      </c>
      <c r="G524">
        <v>0</v>
      </c>
      <c r="H524">
        <v>3</v>
      </c>
      <c r="I524">
        <v>7.75</v>
      </c>
    </row>
    <row r="525" spans="1:9" x14ac:dyDescent="0.3">
      <c r="A525">
        <v>524</v>
      </c>
      <c r="B525">
        <v>1</v>
      </c>
      <c r="C525" t="s">
        <v>538</v>
      </c>
      <c r="D525" t="s">
        <v>16</v>
      </c>
      <c r="E525">
        <v>50</v>
      </c>
      <c r="F525">
        <v>0</v>
      </c>
      <c r="G525">
        <v>0</v>
      </c>
      <c r="H525">
        <v>2</v>
      </c>
      <c r="I525">
        <v>10.5</v>
      </c>
    </row>
    <row r="526" spans="1:9" x14ac:dyDescent="0.3">
      <c r="A526">
        <v>525</v>
      </c>
      <c r="B526">
        <v>0</v>
      </c>
      <c r="C526" t="s">
        <v>539</v>
      </c>
      <c r="D526" t="s">
        <v>14</v>
      </c>
      <c r="E526">
        <v>49</v>
      </c>
      <c r="F526">
        <v>0</v>
      </c>
      <c r="G526">
        <v>0</v>
      </c>
      <c r="H526">
        <v>1</v>
      </c>
      <c r="I526">
        <v>221.7792</v>
      </c>
    </row>
    <row r="527" spans="1:9" x14ac:dyDescent="0.3">
      <c r="A527">
        <v>526</v>
      </c>
      <c r="B527">
        <v>0</v>
      </c>
      <c r="C527" t="s">
        <v>540</v>
      </c>
      <c r="D527" t="s">
        <v>14</v>
      </c>
      <c r="E527">
        <v>39</v>
      </c>
      <c r="F527">
        <v>0</v>
      </c>
      <c r="G527">
        <v>0</v>
      </c>
      <c r="H527">
        <v>3</v>
      </c>
      <c r="I527">
        <v>7.9249999999999998</v>
      </c>
    </row>
    <row r="528" spans="1:9" x14ac:dyDescent="0.3">
      <c r="A528">
        <v>527</v>
      </c>
      <c r="B528">
        <v>0</v>
      </c>
      <c r="C528" t="s">
        <v>541</v>
      </c>
      <c r="D528" t="s">
        <v>14</v>
      </c>
      <c r="E528">
        <v>23</v>
      </c>
      <c r="F528">
        <v>2</v>
      </c>
      <c r="G528">
        <v>1</v>
      </c>
      <c r="H528">
        <v>2</v>
      </c>
      <c r="I528">
        <v>11.5</v>
      </c>
    </row>
    <row r="529" spans="1:9" x14ac:dyDescent="0.3">
      <c r="A529">
        <v>528</v>
      </c>
      <c r="B529">
        <v>1</v>
      </c>
      <c r="C529" t="s">
        <v>542</v>
      </c>
      <c r="D529" t="s">
        <v>16</v>
      </c>
      <c r="E529">
        <v>2</v>
      </c>
      <c r="F529">
        <v>1</v>
      </c>
      <c r="G529">
        <v>1</v>
      </c>
      <c r="H529">
        <v>2</v>
      </c>
      <c r="I529">
        <v>26</v>
      </c>
    </row>
    <row r="530" spans="1:9" x14ac:dyDescent="0.3">
      <c r="A530">
        <v>529</v>
      </c>
      <c r="B530">
        <v>0</v>
      </c>
      <c r="C530" t="s">
        <v>543</v>
      </c>
      <c r="D530" t="s">
        <v>14</v>
      </c>
      <c r="E530">
        <v>17</v>
      </c>
      <c r="F530">
        <v>0</v>
      </c>
      <c r="G530">
        <v>0</v>
      </c>
      <c r="H530">
        <v>3</v>
      </c>
      <c r="I530">
        <v>7.2291999999999996</v>
      </c>
    </row>
    <row r="531" spans="1:9" x14ac:dyDescent="0.3">
      <c r="A531">
        <v>530</v>
      </c>
      <c r="B531">
        <v>0</v>
      </c>
      <c r="C531" t="s">
        <v>544</v>
      </c>
      <c r="D531" t="s">
        <v>14</v>
      </c>
      <c r="E531">
        <v>17</v>
      </c>
      <c r="F531">
        <v>1</v>
      </c>
      <c r="G531">
        <v>1</v>
      </c>
      <c r="H531">
        <v>3</v>
      </c>
      <c r="I531">
        <v>7.2291999999999996</v>
      </c>
    </row>
    <row r="532" spans="1:9" x14ac:dyDescent="0.3">
      <c r="A532">
        <v>531</v>
      </c>
      <c r="B532">
        <v>1</v>
      </c>
      <c r="C532" t="s">
        <v>545</v>
      </c>
      <c r="D532" t="s">
        <v>16</v>
      </c>
      <c r="E532">
        <v>24</v>
      </c>
      <c r="F532">
        <v>0</v>
      </c>
      <c r="G532">
        <v>2</v>
      </c>
      <c r="H532">
        <v>3</v>
      </c>
      <c r="I532">
        <v>22.3583</v>
      </c>
    </row>
    <row r="533" spans="1:9" x14ac:dyDescent="0.3">
      <c r="A533">
        <v>532</v>
      </c>
      <c r="B533">
        <v>0</v>
      </c>
      <c r="C533" t="s">
        <v>546</v>
      </c>
      <c r="D533" t="s">
        <v>16</v>
      </c>
      <c r="E533">
        <v>30</v>
      </c>
      <c r="F533">
        <v>0</v>
      </c>
      <c r="G533">
        <v>0</v>
      </c>
      <c r="H533">
        <v>3</v>
      </c>
      <c r="I533">
        <v>8.6624999999999996</v>
      </c>
    </row>
    <row r="534" spans="1:9" x14ac:dyDescent="0.3">
      <c r="A534">
        <v>533</v>
      </c>
      <c r="B534">
        <v>1</v>
      </c>
      <c r="C534" t="s">
        <v>547</v>
      </c>
      <c r="D534" t="s">
        <v>16</v>
      </c>
      <c r="E534">
        <v>7</v>
      </c>
      <c r="F534">
        <v>0</v>
      </c>
      <c r="G534">
        <v>2</v>
      </c>
      <c r="H534">
        <v>2</v>
      </c>
      <c r="I534">
        <v>26.25</v>
      </c>
    </row>
    <row r="535" spans="1:9" x14ac:dyDescent="0.3">
      <c r="A535">
        <v>534</v>
      </c>
      <c r="B535">
        <v>0</v>
      </c>
      <c r="C535" t="s">
        <v>548</v>
      </c>
      <c r="D535" t="s">
        <v>14</v>
      </c>
      <c r="E535">
        <v>45</v>
      </c>
      <c r="F535">
        <v>0</v>
      </c>
      <c r="G535">
        <v>0</v>
      </c>
      <c r="H535">
        <v>1</v>
      </c>
      <c r="I535">
        <v>26.55</v>
      </c>
    </row>
    <row r="536" spans="1:9" x14ac:dyDescent="0.3">
      <c r="A536">
        <v>535</v>
      </c>
      <c r="B536">
        <v>1</v>
      </c>
      <c r="C536" t="s">
        <v>549</v>
      </c>
      <c r="D536" t="s">
        <v>16</v>
      </c>
      <c r="E536">
        <v>30</v>
      </c>
      <c r="F536">
        <v>0</v>
      </c>
      <c r="G536">
        <v>0</v>
      </c>
      <c r="H536">
        <v>1</v>
      </c>
      <c r="I536">
        <v>106.425</v>
      </c>
    </row>
    <row r="537" spans="1:9" x14ac:dyDescent="0.3">
      <c r="A537">
        <v>536</v>
      </c>
      <c r="B537">
        <v>0</v>
      </c>
      <c r="C537" t="s">
        <v>550</v>
      </c>
      <c r="D537" t="s">
        <v>14</v>
      </c>
      <c r="E537">
        <v>69</v>
      </c>
      <c r="F537">
        <v>0</v>
      </c>
      <c r="G537">
        <v>0</v>
      </c>
      <c r="H537">
        <v>3</v>
      </c>
      <c r="I537">
        <v>14.5</v>
      </c>
    </row>
    <row r="538" spans="1:9" x14ac:dyDescent="0.3">
      <c r="A538">
        <v>537</v>
      </c>
      <c r="B538">
        <v>1</v>
      </c>
      <c r="C538" t="s">
        <v>551</v>
      </c>
      <c r="D538" t="s">
        <v>16</v>
      </c>
      <c r="E538">
        <v>22</v>
      </c>
      <c r="F538">
        <v>0</v>
      </c>
      <c r="G538">
        <v>2</v>
      </c>
      <c r="H538">
        <v>1</v>
      </c>
      <c r="I538">
        <v>49.5</v>
      </c>
    </row>
    <row r="539" spans="1:9" x14ac:dyDescent="0.3">
      <c r="A539">
        <v>538</v>
      </c>
      <c r="B539">
        <v>1</v>
      </c>
      <c r="C539" t="s">
        <v>552</v>
      </c>
      <c r="D539" t="s">
        <v>16</v>
      </c>
      <c r="E539">
        <v>36</v>
      </c>
      <c r="F539">
        <v>0</v>
      </c>
      <c r="G539">
        <v>2</v>
      </c>
      <c r="H539">
        <v>1</v>
      </c>
      <c r="I539">
        <v>71</v>
      </c>
    </row>
    <row r="540" spans="1:9" x14ac:dyDescent="0.3">
      <c r="A540">
        <v>539</v>
      </c>
      <c r="B540">
        <v>0</v>
      </c>
      <c r="C540" t="s">
        <v>553</v>
      </c>
      <c r="D540" t="s">
        <v>16</v>
      </c>
      <c r="E540">
        <v>9</v>
      </c>
      <c r="F540">
        <v>4</v>
      </c>
      <c r="G540">
        <v>2</v>
      </c>
      <c r="H540">
        <v>3</v>
      </c>
      <c r="I540">
        <v>31.274999999999999</v>
      </c>
    </row>
    <row r="541" spans="1:9" x14ac:dyDescent="0.3">
      <c r="A541">
        <v>540</v>
      </c>
      <c r="B541">
        <v>0</v>
      </c>
      <c r="C541" t="s">
        <v>554</v>
      </c>
      <c r="D541" t="s">
        <v>16</v>
      </c>
      <c r="E541">
        <v>11</v>
      </c>
      <c r="F541">
        <v>4</v>
      </c>
      <c r="G541">
        <v>2</v>
      </c>
      <c r="H541">
        <v>3</v>
      </c>
      <c r="I541">
        <v>31.274999999999999</v>
      </c>
    </row>
    <row r="542" spans="1:9" x14ac:dyDescent="0.3">
      <c r="A542">
        <v>541</v>
      </c>
      <c r="B542">
        <v>1</v>
      </c>
      <c r="C542" t="s">
        <v>555</v>
      </c>
      <c r="D542" t="s">
        <v>14</v>
      </c>
      <c r="E542">
        <v>32</v>
      </c>
      <c r="F542">
        <v>1</v>
      </c>
      <c r="G542">
        <v>0</v>
      </c>
      <c r="H542">
        <v>2</v>
      </c>
      <c r="I542">
        <v>26</v>
      </c>
    </row>
    <row r="543" spans="1:9" x14ac:dyDescent="0.3">
      <c r="A543">
        <v>542</v>
      </c>
      <c r="B543">
        <v>0</v>
      </c>
      <c r="C543" t="s">
        <v>556</v>
      </c>
      <c r="D543" t="s">
        <v>14</v>
      </c>
      <c r="E543">
        <v>50</v>
      </c>
      <c r="F543">
        <v>1</v>
      </c>
      <c r="G543">
        <v>0</v>
      </c>
      <c r="H543">
        <v>1</v>
      </c>
      <c r="I543">
        <v>106.425</v>
      </c>
    </row>
    <row r="544" spans="1:9" x14ac:dyDescent="0.3">
      <c r="A544">
        <v>543</v>
      </c>
      <c r="B544">
        <v>0</v>
      </c>
      <c r="C544" t="s">
        <v>557</v>
      </c>
      <c r="D544" t="s">
        <v>14</v>
      </c>
      <c r="E544">
        <v>64</v>
      </c>
      <c r="F544">
        <v>0</v>
      </c>
      <c r="G544">
        <v>0</v>
      </c>
      <c r="H544">
        <v>1</v>
      </c>
      <c r="I544">
        <v>26</v>
      </c>
    </row>
    <row r="545" spans="1:9" x14ac:dyDescent="0.3">
      <c r="A545">
        <v>544</v>
      </c>
      <c r="B545">
        <v>1</v>
      </c>
      <c r="C545" t="s">
        <v>558</v>
      </c>
      <c r="D545" t="s">
        <v>16</v>
      </c>
      <c r="E545">
        <v>19</v>
      </c>
      <c r="F545">
        <v>1</v>
      </c>
      <c r="G545">
        <v>0</v>
      </c>
      <c r="H545">
        <v>2</v>
      </c>
      <c r="I545">
        <v>26</v>
      </c>
    </row>
    <row r="546" spans="1:9" x14ac:dyDescent="0.3">
      <c r="A546">
        <v>545</v>
      </c>
      <c r="B546">
        <v>1</v>
      </c>
      <c r="C546" t="s">
        <v>559</v>
      </c>
      <c r="D546" t="s">
        <v>14</v>
      </c>
      <c r="E546">
        <v>27</v>
      </c>
      <c r="F546">
        <v>0</v>
      </c>
      <c r="G546">
        <v>0</v>
      </c>
      <c r="H546">
        <v>2</v>
      </c>
      <c r="I546">
        <v>13.862500000000001</v>
      </c>
    </row>
    <row r="547" spans="1:9" x14ac:dyDescent="0.3">
      <c r="A547">
        <v>546</v>
      </c>
      <c r="B547">
        <v>0</v>
      </c>
      <c r="C547" t="s">
        <v>560</v>
      </c>
      <c r="D547" t="s">
        <v>14</v>
      </c>
      <c r="E547">
        <v>33</v>
      </c>
      <c r="F547">
        <v>1</v>
      </c>
      <c r="G547">
        <v>1</v>
      </c>
      <c r="H547">
        <v>3</v>
      </c>
      <c r="I547">
        <v>20.524999999999999</v>
      </c>
    </row>
    <row r="548" spans="1:9" x14ac:dyDescent="0.3">
      <c r="A548">
        <v>547</v>
      </c>
      <c r="B548">
        <v>1</v>
      </c>
      <c r="C548" t="s">
        <v>561</v>
      </c>
      <c r="D548" t="s">
        <v>14</v>
      </c>
      <c r="E548">
        <v>8</v>
      </c>
      <c r="F548">
        <v>1</v>
      </c>
      <c r="G548">
        <v>1</v>
      </c>
      <c r="H548">
        <v>2</v>
      </c>
      <c r="I548">
        <v>36.75</v>
      </c>
    </row>
    <row r="549" spans="1:9" x14ac:dyDescent="0.3">
      <c r="A549">
        <v>548</v>
      </c>
      <c r="B549">
        <v>1</v>
      </c>
      <c r="C549" t="s">
        <v>562</v>
      </c>
      <c r="D549" t="s">
        <v>14</v>
      </c>
      <c r="E549">
        <v>17</v>
      </c>
      <c r="F549">
        <v>0</v>
      </c>
      <c r="G549">
        <v>2</v>
      </c>
      <c r="H549">
        <v>1</v>
      </c>
      <c r="I549">
        <v>110.88330000000001</v>
      </c>
    </row>
    <row r="550" spans="1:9" x14ac:dyDescent="0.3">
      <c r="A550">
        <v>549</v>
      </c>
      <c r="B550">
        <v>0</v>
      </c>
      <c r="C550" t="s">
        <v>563</v>
      </c>
      <c r="D550" t="s">
        <v>14</v>
      </c>
      <c r="E550">
        <v>27</v>
      </c>
      <c r="F550">
        <v>0</v>
      </c>
      <c r="G550">
        <v>0</v>
      </c>
      <c r="H550">
        <v>2</v>
      </c>
      <c r="I550">
        <v>26</v>
      </c>
    </row>
    <row r="551" spans="1:9" x14ac:dyDescent="0.3">
      <c r="A551">
        <v>550</v>
      </c>
      <c r="B551">
        <v>0</v>
      </c>
      <c r="C551" t="s">
        <v>564</v>
      </c>
      <c r="D551" t="s">
        <v>14</v>
      </c>
      <c r="E551">
        <v>21</v>
      </c>
      <c r="F551">
        <v>0</v>
      </c>
      <c r="G551">
        <v>0</v>
      </c>
      <c r="H551">
        <v>3</v>
      </c>
      <c r="I551">
        <v>7.8292000000000002</v>
      </c>
    </row>
    <row r="552" spans="1:9" x14ac:dyDescent="0.3">
      <c r="A552">
        <v>551</v>
      </c>
      <c r="B552">
        <v>1</v>
      </c>
      <c r="C552" t="s">
        <v>565</v>
      </c>
      <c r="D552" t="s">
        <v>14</v>
      </c>
      <c r="E552">
        <v>22</v>
      </c>
      <c r="F552">
        <v>0</v>
      </c>
      <c r="G552">
        <v>0</v>
      </c>
      <c r="H552">
        <v>3</v>
      </c>
      <c r="I552">
        <v>7.2249999999999996</v>
      </c>
    </row>
    <row r="553" spans="1:9" x14ac:dyDescent="0.3">
      <c r="A553">
        <v>552</v>
      </c>
      <c r="B553">
        <v>1</v>
      </c>
      <c r="C553" t="s">
        <v>566</v>
      </c>
      <c r="D553" t="s">
        <v>16</v>
      </c>
      <c r="E553">
        <v>22</v>
      </c>
      <c r="F553">
        <v>0</v>
      </c>
      <c r="G553">
        <v>0</v>
      </c>
      <c r="H553">
        <v>3</v>
      </c>
      <c r="I553">
        <v>7.7750000000000004</v>
      </c>
    </row>
    <row r="554" spans="1:9" x14ac:dyDescent="0.3">
      <c r="A554">
        <v>553</v>
      </c>
      <c r="B554">
        <v>0</v>
      </c>
      <c r="C554" t="s">
        <v>567</v>
      </c>
      <c r="D554" t="s">
        <v>14</v>
      </c>
      <c r="E554">
        <v>62</v>
      </c>
      <c r="F554">
        <v>0</v>
      </c>
      <c r="G554">
        <v>0</v>
      </c>
      <c r="H554">
        <v>1</v>
      </c>
      <c r="I554">
        <v>26.55</v>
      </c>
    </row>
    <row r="555" spans="1:9" x14ac:dyDescent="0.3">
      <c r="A555">
        <v>554</v>
      </c>
      <c r="B555">
        <v>1</v>
      </c>
      <c r="C555" t="s">
        <v>568</v>
      </c>
      <c r="D555" t="s">
        <v>16</v>
      </c>
      <c r="E555">
        <v>48</v>
      </c>
      <c r="F555">
        <v>1</v>
      </c>
      <c r="G555">
        <v>0</v>
      </c>
      <c r="H555">
        <v>1</v>
      </c>
      <c r="I555">
        <v>39.6</v>
      </c>
    </row>
    <row r="556" spans="1:9" x14ac:dyDescent="0.3">
      <c r="A556">
        <v>555</v>
      </c>
      <c r="B556">
        <v>0</v>
      </c>
      <c r="C556" t="s">
        <v>569</v>
      </c>
      <c r="D556" t="s">
        <v>14</v>
      </c>
      <c r="E556">
        <v>45</v>
      </c>
      <c r="F556">
        <v>0</v>
      </c>
      <c r="G556">
        <v>0</v>
      </c>
      <c r="H556">
        <v>1</v>
      </c>
      <c r="I556">
        <v>227.52500000000001</v>
      </c>
    </row>
    <row r="557" spans="1:9" x14ac:dyDescent="0.3">
      <c r="A557">
        <v>556</v>
      </c>
      <c r="B557">
        <v>1</v>
      </c>
      <c r="C557" t="s">
        <v>570</v>
      </c>
      <c r="D557" t="s">
        <v>16</v>
      </c>
      <c r="E557">
        <v>39</v>
      </c>
      <c r="F557">
        <v>1</v>
      </c>
      <c r="G557">
        <v>1</v>
      </c>
      <c r="H557">
        <v>1</v>
      </c>
      <c r="I557">
        <v>79.650000000000006</v>
      </c>
    </row>
    <row r="558" spans="1:9" x14ac:dyDescent="0.3">
      <c r="A558">
        <v>557</v>
      </c>
      <c r="B558">
        <v>1</v>
      </c>
      <c r="C558" t="s">
        <v>571</v>
      </c>
      <c r="D558" t="s">
        <v>16</v>
      </c>
      <c r="E558">
        <v>36</v>
      </c>
      <c r="F558">
        <v>1</v>
      </c>
      <c r="G558">
        <v>0</v>
      </c>
      <c r="H558">
        <v>3</v>
      </c>
      <c r="I558">
        <v>17.399999999999999</v>
      </c>
    </row>
    <row r="559" spans="1:9" x14ac:dyDescent="0.3">
      <c r="A559">
        <v>558</v>
      </c>
      <c r="B559">
        <v>0</v>
      </c>
      <c r="C559" t="s">
        <v>572</v>
      </c>
      <c r="D559" t="s">
        <v>14</v>
      </c>
      <c r="E559">
        <v>30</v>
      </c>
      <c r="F559">
        <v>0</v>
      </c>
      <c r="G559">
        <v>0</v>
      </c>
      <c r="H559">
        <v>3</v>
      </c>
      <c r="I559">
        <v>7.75</v>
      </c>
    </row>
    <row r="560" spans="1:9" x14ac:dyDescent="0.3">
      <c r="A560">
        <v>559</v>
      </c>
      <c r="B560">
        <v>0</v>
      </c>
      <c r="C560" t="s">
        <v>573</v>
      </c>
      <c r="D560" t="s">
        <v>14</v>
      </c>
      <c r="E560">
        <v>40</v>
      </c>
      <c r="F560">
        <v>0</v>
      </c>
      <c r="G560">
        <v>0</v>
      </c>
      <c r="H560">
        <v>3</v>
      </c>
      <c r="I560">
        <v>7.8958000000000004</v>
      </c>
    </row>
    <row r="561" spans="1:9" x14ac:dyDescent="0.3">
      <c r="A561">
        <v>560</v>
      </c>
      <c r="B561">
        <v>0</v>
      </c>
      <c r="C561" t="s">
        <v>574</v>
      </c>
      <c r="D561" t="s">
        <v>14</v>
      </c>
      <c r="E561">
        <v>28</v>
      </c>
      <c r="F561">
        <v>0</v>
      </c>
      <c r="G561">
        <v>0</v>
      </c>
      <c r="H561">
        <v>2</v>
      </c>
      <c r="I561">
        <v>13.5</v>
      </c>
    </row>
    <row r="562" spans="1:9" x14ac:dyDescent="0.3">
      <c r="A562">
        <v>561</v>
      </c>
      <c r="B562">
        <v>0</v>
      </c>
      <c r="C562" t="s">
        <v>575</v>
      </c>
      <c r="D562" t="s">
        <v>14</v>
      </c>
      <c r="E562">
        <v>40</v>
      </c>
      <c r="F562">
        <v>0</v>
      </c>
      <c r="G562">
        <v>0</v>
      </c>
      <c r="H562">
        <v>3</v>
      </c>
      <c r="I562">
        <v>8.0500000000000007</v>
      </c>
    </row>
    <row r="563" spans="1:9" x14ac:dyDescent="0.3">
      <c r="A563">
        <v>562</v>
      </c>
      <c r="B563">
        <v>0</v>
      </c>
      <c r="C563" t="s">
        <v>576</v>
      </c>
      <c r="D563" t="s">
        <v>16</v>
      </c>
      <c r="E563">
        <v>62</v>
      </c>
      <c r="F563">
        <v>0</v>
      </c>
      <c r="G563">
        <v>0</v>
      </c>
      <c r="H563">
        <v>3</v>
      </c>
      <c r="I563">
        <v>8.0500000000000007</v>
      </c>
    </row>
    <row r="564" spans="1:9" x14ac:dyDescent="0.3">
      <c r="A564">
        <v>563</v>
      </c>
      <c r="B564">
        <v>0</v>
      </c>
      <c r="C564" t="s">
        <v>577</v>
      </c>
      <c r="D564" t="s">
        <v>14</v>
      </c>
      <c r="E564">
        <v>24</v>
      </c>
      <c r="F564">
        <v>2</v>
      </c>
      <c r="G564">
        <v>0</v>
      </c>
      <c r="H564">
        <v>3</v>
      </c>
      <c r="I564">
        <v>24.15</v>
      </c>
    </row>
    <row r="565" spans="1:9" x14ac:dyDescent="0.3">
      <c r="A565">
        <v>564</v>
      </c>
      <c r="B565">
        <v>0</v>
      </c>
      <c r="C565" t="s">
        <v>578</v>
      </c>
      <c r="D565" t="s">
        <v>14</v>
      </c>
      <c r="E565">
        <v>19</v>
      </c>
      <c r="F565">
        <v>0</v>
      </c>
      <c r="G565">
        <v>0</v>
      </c>
      <c r="H565">
        <v>3</v>
      </c>
      <c r="I565">
        <v>7.8958000000000004</v>
      </c>
    </row>
    <row r="566" spans="1:9" x14ac:dyDescent="0.3">
      <c r="A566">
        <v>565</v>
      </c>
      <c r="B566">
        <v>0</v>
      </c>
      <c r="C566" t="s">
        <v>579</v>
      </c>
      <c r="D566" t="s">
        <v>16</v>
      </c>
      <c r="E566">
        <v>29</v>
      </c>
      <c r="F566">
        <v>0</v>
      </c>
      <c r="G566">
        <v>4</v>
      </c>
      <c r="H566">
        <v>3</v>
      </c>
      <c r="I566">
        <v>21.074999999999999</v>
      </c>
    </row>
    <row r="567" spans="1:9" x14ac:dyDescent="0.3">
      <c r="A567">
        <v>566</v>
      </c>
      <c r="B567">
        <v>0</v>
      </c>
      <c r="C567" t="s">
        <v>580</v>
      </c>
      <c r="D567" t="s">
        <v>14</v>
      </c>
      <c r="E567">
        <v>28</v>
      </c>
      <c r="F567">
        <v>0</v>
      </c>
      <c r="G567">
        <v>0</v>
      </c>
      <c r="H567">
        <v>3</v>
      </c>
      <c r="I567">
        <v>7.2291999999999996</v>
      </c>
    </row>
    <row r="568" spans="1:9" x14ac:dyDescent="0.3">
      <c r="A568">
        <v>567</v>
      </c>
      <c r="B568">
        <v>1</v>
      </c>
      <c r="C568" t="s">
        <v>581</v>
      </c>
      <c r="D568" t="s">
        <v>14</v>
      </c>
      <c r="E568">
        <v>32</v>
      </c>
      <c r="F568">
        <v>0</v>
      </c>
      <c r="G568">
        <v>0</v>
      </c>
      <c r="H568">
        <v>3</v>
      </c>
      <c r="I568">
        <v>7.8541999999999996</v>
      </c>
    </row>
    <row r="569" spans="1:9" x14ac:dyDescent="0.3">
      <c r="A569">
        <v>568</v>
      </c>
      <c r="B569">
        <v>1</v>
      </c>
      <c r="C569" t="s">
        <v>582</v>
      </c>
      <c r="D569" t="s">
        <v>14</v>
      </c>
      <c r="E569">
        <v>62</v>
      </c>
      <c r="F569">
        <v>0</v>
      </c>
      <c r="G569">
        <v>0</v>
      </c>
      <c r="H569">
        <v>2</v>
      </c>
      <c r="I569">
        <v>10.5</v>
      </c>
    </row>
    <row r="570" spans="1:9" x14ac:dyDescent="0.3">
      <c r="A570">
        <v>569</v>
      </c>
      <c r="B570">
        <v>1</v>
      </c>
      <c r="C570" t="s">
        <v>583</v>
      </c>
      <c r="D570" t="s">
        <v>16</v>
      </c>
      <c r="E570">
        <v>53</v>
      </c>
      <c r="F570">
        <v>2</v>
      </c>
      <c r="G570">
        <v>0</v>
      </c>
      <c r="H570">
        <v>1</v>
      </c>
      <c r="I570">
        <v>51.479199999999999</v>
      </c>
    </row>
    <row r="571" spans="1:9" x14ac:dyDescent="0.3">
      <c r="A571">
        <v>570</v>
      </c>
      <c r="B571">
        <v>1</v>
      </c>
      <c r="C571" t="s">
        <v>584</v>
      </c>
      <c r="D571" t="s">
        <v>14</v>
      </c>
      <c r="E571">
        <v>36</v>
      </c>
      <c r="F571">
        <v>0</v>
      </c>
      <c r="G571">
        <v>0</v>
      </c>
      <c r="H571">
        <v>1</v>
      </c>
      <c r="I571">
        <v>26.387499999999999</v>
      </c>
    </row>
    <row r="572" spans="1:9" x14ac:dyDescent="0.3">
      <c r="A572">
        <v>571</v>
      </c>
      <c r="B572">
        <v>1</v>
      </c>
      <c r="C572" t="s">
        <v>585</v>
      </c>
      <c r="D572" t="s">
        <v>16</v>
      </c>
      <c r="E572">
        <v>22</v>
      </c>
      <c r="F572">
        <v>0</v>
      </c>
      <c r="G572">
        <v>0</v>
      </c>
      <c r="H572">
        <v>3</v>
      </c>
      <c r="I572">
        <v>7.75</v>
      </c>
    </row>
    <row r="573" spans="1:9" x14ac:dyDescent="0.3">
      <c r="A573">
        <v>572</v>
      </c>
      <c r="B573">
        <v>0</v>
      </c>
      <c r="C573" t="s">
        <v>586</v>
      </c>
      <c r="D573" t="s">
        <v>14</v>
      </c>
      <c r="E573">
        <v>16</v>
      </c>
      <c r="F573">
        <v>0</v>
      </c>
      <c r="G573">
        <v>0</v>
      </c>
      <c r="H573">
        <v>3</v>
      </c>
      <c r="I573">
        <v>8.0500000000000007</v>
      </c>
    </row>
    <row r="574" spans="1:9" x14ac:dyDescent="0.3">
      <c r="A574">
        <v>573</v>
      </c>
      <c r="B574">
        <v>0</v>
      </c>
      <c r="C574" t="s">
        <v>587</v>
      </c>
      <c r="D574" t="s">
        <v>14</v>
      </c>
      <c r="E574">
        <v>19</v>
      </c>
      <c r="F574">
        <v>0</v>
      </c>
      <c r="G574">
        <v>0</v>
      </c>
      <c r="H574">
        <v>3</v>
      </c>
      <c r="I574">
        <v>14.5</v>
      </c>
    </row>
    <row r="575" spans="1:9" x14ac:dyDescent="0.3">
      <c r="A575">
        <v>574</v>
      </c>
      <c r="B575">
        <v>1</v>
      </c>
      <c r="C575" t="s">
        <v>588</v>
      </c>
      <c r="D575" t="s">
        <v>16</v>
      </c>
      <c r="E575">
        <v>34</v>
      </c>
      <c r="F575">
        <v>0</v>
      </c>
      <c r="G575">
        <v>0</v>
      </c>
      <c r="H575">
        <v>2</v>
      </c>
      <c r="I575">
        <v>13</v>
      </c>
    </row>
    <row r="576" spans="1:9" x14ac:dyDescent="0.3">
      <c r="A576">
        <v>575</v>
      </c>
      <c r="B576">
        <v>1</v>
      </c>
      <c r="C576" t="s">
        <v>589</v>
      </c>
      <c r="D576" t="s">
        <v>16</v>
      </c>
      <c r="E576">
        <v>39</v>
      </c>
      <c r="F576">
        <v>1</v>
      </c>
      <c r="G576">
        <v>0</v>
      </c>
      <c r="H576">
        <v>1</v>
      </c>
      <c r="I576">
        <v>55.9</v>
      </c>
    </row>
    <row r="577" spans="1:9" x14ac:dyDescent="0.3">
      <c r="A577">
        <v>576</v>
      </c>
      <c r="B577">
        <v>0</v>
      </c>
      <c r="C577" t="s">
        <v>590</v>
      </c>
      <c r="D577" t="s">
        <v>16</v>
      </c>
      <c r="E577">
        <v>18</v>
      </c>
      <c r="F577">
        <v>1</v>
      </c>
      <c r="G577">
        <v>0</v>
      </c>
      <c r="H577">
        <v>3</v>
      </c>
      <c r="I577">
        <v>14.458299999999999</v>
      </c>
    </row>
    <row r="578" spans="1:9" x14ac:dyDescent="0.3">
      <c r="A578">
        <v>577</v>
      </c>
      <c r="B578">
        <v>1</v>
      </c>
      <c r="C578" t="s">
        <v>591</v>
      </c>
      <c r="D578" t="s">
        <v>14</v>
      </c>
      <c r="E578">
        <v>32</v>
      </c>
      <c r="F578">
        <v>0</v>
      </c>
      <c r="G578">
        <v>0</v>
      </c>
      <c r="H578">
        <v>3</v>
      </c>
      <c r="I578">
        <v>7.9249999999999998</v>
      </c>
    </row>
    <row r="579" spans="1:9" x14ac:dyDescent="0.3">
      <c r="A579">
        <v>578</v>
      </c>
      <c r="B579">
        <v>1</v>
      </c>
      <c r="C579" t="s">
        <v>592</v>
      </c>
      <c r="D579" t="s">
        <v>16</v>
      </c>
      <c r="E579">
        <v>25</v>
      </c>
      <c r="F579">
        <v>1</v>
      </c>
      <c r="G579">
        <v>1</v>
      </c>
      <c r="H579">
        <v>2</v>
      </c>
      <c r="I579">
        <v>30</v>
      </c>
    </row>
    <row r="580" spans="1:9" x14ac:dyDescent="0.3">
      <c r="A580">
        <v>579</v>
      </c>
      <c r="B580">
        <v>1</v>
      </c>
      <c r="C580" t="s">
        <v>593</v>
      </c>
      <c r="D580" t="s">
        <v>16</v>
      </c>
      <c r="E580">
        <v>39</v>
      </c>
      <c r="F580">
        <v>1</v>
      </c>
      <c r="G580">
        <v>1</v>
      </c>
      <c r="H580">
        <v>1</v>
      </c>
      <c r="I580">
        <v>110.88330000000001</v>
      </c>
    </row>
    <row r="581" spans="1:9" x14ac:dyDescent="0.3">
      <c r="A581">
        <v>580</v>
      </c>
      <c r="B581">
        <v>0</v>
      </c>
      <c r="C581" t="s">
        <v>594</v>
      </c>
      <c r="D581" t="s">
        <v>14</v>
      </c>
      <c r="E581">
        <v>54</v>
      </c>
      <c r="F581">
        <v>0</v>
      </c>
      <c r="G581">
        <v>0</v>
      </c>
      <c r="H581">
        <v>2</v>
      </c>
      <c r="I581">
        <v>26</v>
      </c>
    </row>
    <row r="582" spans="1:9" x14ac:dyDescent="0.3">
      <c r="A582">
        <v>581</v>
      </c>
      <c r="B582">
        <v>0</v>
      </c>
      <c r="C582" t="s">
        <v>595</v>
      </c>
      <c r="D582" t="s">
        <v>14</v>
      </c>
      <c r="E582">
        <v>36</v>
      </c>
      <c r="F582">
        <v>0</v>
      </c>
      <c r="G582">
        <v>0</v>
      </c>
      <c r="H582">
        <v>1</v>
      </c>
      <c r="I582">
        <v>40.125</v>
      </c>
    </row>
    <row r="583" spans="1:9" x14ac:dyDescent="0.3">
      <c r="A583">
        <v>582</v>
      </c>
      <c r="B583">
        <v>0</v>
      </c>
      <c r="C583" t="s">
        <v>596</v>
      </c>
      <c r="D583" t="s">
        <v>14</v>
      </c>
      <c r="E583">
        <v>16</v>
      </c>
      <c r="F583">
        <v>0</v>
      </c>
      <c r="G583">
        <v>0</v>
      </c>
      <c r="H583">
        <v>3</v>
      </c>
      <c r="I583">
        <v>8.7125000000000004</v>
      </c>
    </row>
    <row r="584" spans="1:9" x14ac:dyDescent="0.3">
      <c r="A584">
        <v>583</v>
      </c>
      <c r="B584">
        <v>1</v>
      </c>
      <c r="C584" t="s">
        <v>597</v>
      </c>
      <c r="D584" t="s">
        <v>16</v>
      </c>
      <c r="E584">
        <v>18</v>
      </c>
      <c r="F584">
        <v>0</v>
      </c>
      <c r="G584">
        <v>2</v>
      </c>
      <c r="H584">
        <v>1</v>
      </c>
      <c r="I584">
        <v>79.650000000000006</v>
      </c>
    </row>
    <row r="585" spans="1:9" x14ac:dyDescent="0.3">
      <c r="A585">
        <v>584</v>
      </c>
      <c r="B585">
        <v>0</v>
      </c>
      <c r="C585" t="s">
        <v>598</v>
      </c>
      <c r="D585" t="s">
        <v>14</v>
      </c>
      <c r="E585">
        <v>47</v>
      </c>
      <c r="F585">
        <v>0</v>
      </c>
      <c r="G585">
        <v>0</v>
      </c>
      <c r="H585">
        <v>2</v>
      </c>
      <c r="I585">
        <v>15</v>
      </c>
    </row>
    <row r="586" spans="1:9" x14ac:dyDescent="0.3">
      <c r="A586">
        <v>585</v>
      </c>
      <c r="B586">
        <v>1</v>
      </c>
      <c r="C586" t="s">
        <v>599</v>
      </c>
      <c r="D586" t="s">
        <v>14</v>
      </c>
      <c r="E586">
        <v>60</v>
      </c>
      <c r="F586">
        <v>1</v>
      </c>
      <c r="G586">
        <v>1</v>
      </c>
      <c r="H586">
        <v>1</v>
      </c>
      <c r="I586">
        <v>79.2</v>
      </c>
    </row>
    <row r="587" spans="1:9" x14ac:dyDescent="0.3">
      <c r="A587">
        <v>586</v>
      </c>
      <c r="B587">
        <v>0</v>
      </c>
      <c r="C587" t="s">
        <v>600</v>
      </c>
      <c r="D587" t="s">
        <v>14</v>
      </c>
      <c r="E587">
        <v>22</v>
      </c>
      <c r="F587">
        <v>0</v>
      </c>
      <c r="G587">
        <v>0</v>
      </c>
      <c r="H587">
        <v>3</v>
      </c>
      <c r="I587">
        <v>8.0500000000000007</v>
      </c>
    </row>
    <row r="588" spans="1:9" x14ac:dyDescent="0.3">
      <c r="A588">
        <v>587</v>
      </c>
      <c r="B588">
        <v>0</v>
      </c>
      <c r="C588" t="s">
        <v>601</v>
      </c>
      <c r="D588" t="s">
        <v>14</v>
      </c>
      <c r="E588">
        <v>22</v>
      </c>
      <c r="F588">
        <v>0</v>
      </c>
      <c r="G588">
        <v>0</v>
      </c>
      <c r="H588">
        <v>3</v>
      </c>
      <c r="I588">
        <v>8.0500000000000007</v>
      </c>
    </row>
    <row r="589" spans="1:9" x14ac:dyDescent="0.3">
      <c r="A589">
        <v>588</v>
      </c>
      <c r="B589">
        <v>0</v>
      </c>
      <c r="C589" t="s">
        <v>602</v>
      </c>
      <c r="D589" t="s">
        <v>14</v>
      </c>
      <c r="E589">
        <v>35</v>
      </c>
      <c r="F589">
        <v>0</v>
      </c>
      <c r="G589">
        <v>0</v>
      </c>
      <c r="H589">
        <v>3</v>
      </c>
      <c r="I589">
        <v>7.125</v>
      </c>
    </row>
    <row r="590" spans="1:9" x14ac:dyDescent="0.3">
      <c r="A590">
        <v>589</v>
      </c>
      <c r="B590">
        <v>1</v>
      </c>
      <c r="C590" t="s">
        <v>603</v>
      </c>
      <c r="D590" t="s">
        <v>16</v>
      </c>
      <c r="E590">
        <v>52</v>
      </c>
      <c r="F590">
        <v>1</v>
      </c>
      <c r="G590">
        <v>0</v>
      </c>
      <c r="H590">
        <v>1</v>
      </c>
      <c r="I590">
        <v>78.2667</v>
      </c>
    </row>
    <row r="591" spans="1:9" x14ac:dyDescent="0.3">
      <c r="A591">
        <v>590</v>
      </c>
      <c r="B591">
        <v>0</v>
      </c>
      <c r="C591" t="s">
        <v>604</v>
      </c>
      <c r="D591" t="s">
        <v>14</v>
      </c>
      <c r="E591">
        <v>47</v>
      </c>
      <c r="F591">
        <v>0</v>
      </c>
      <c r="G591">
        <v>0</v>
      </c>
      <c r="H591">
        <v>3</v>
      </c>
      <c r="I591">
        <v>7.25</v>
      </c>
    </row>
    <row r="592" spans="1:9" x14ac:dyDescent="0.3">
      <c r="A592">
        <v>591</v>
      </c>
      <c r="B592">
        <v>0</v>
      </c>
      <c r="C592" t="s">
        <v>605</v>
      </c>
      <c r="D592" t="s">
        <v>16</v>
      </c>
      <c r="E592">
        <v>40</v>
      </c>
      <c r="F592">
        <v>0</v>
      </c>
      <c r="G592">
        <v>2</v>
      </c>
      <c r="H592">
        <v>3</v>
      </c>
      <c r="I592">
        <v>7.75</v>
      </c>
    </row>
    <row r="593" spans="1:9" x14ac:dyDescent="0.3">
      <c r="A593">
        <v>592</v>
      </c>
      <c r="B593">
        <v>0</v>
      </c>
      <c r="C593" t="s">
        <v>606</v>
      </c>
      <c r="D593" t="s">
        <v>14</v>
      </c>
      <c r="E593">
        <v>37</v>
      </c>
      <c r="F593">
        <v>1</v>
      </c>
      <c r="G593">
        <v>0</v>
      </c>
      <c r="H593">
        <v>2</v>
      </c>
      <c r="I593">
        <v>26</v>
      </c>
    </row>
    <row r="594" spans="1:9" x14ac:dyDescent="0.3">
      <c r="A594">
        <v>593</v>
      </c>
      <c r="B594">
        <v>0</v>
      </c>
      <c r="C594" t="s">
        <v>607</v>
      </c>
      <c r="D594" t="s">
        <v>14</v>
      </c>
      <c r="E594">
        <v>36</v>
      </c>
      <c r="F594">
        <v>1</v>
      </c>
      <c r="G594">
        <v>1</v>
      </c>
      <c r="H594">
        <v>3</v>
      </c>
      <c r="I594">
        <v>24.15</v>
      </c>
    </row>
    <row r="595" spans="1:9" x14ac:dyDescent="0.3">
      <c r="A595">
        <v>594</v>
      </c>
      <c r="B595">
        <v>1</v>
      </c>
      <c r="C595" t="s">
        <v>608</v>
      </c>
      <c r="D595" t="s">
        <v>16</v>
      </c>
      <c r="E595">
        <v>31</v>
      </c>
      <c r="F595">
        <v>0</v>
      </c>
      <c r="G595">
        <v>0</v>
      </c>
      <c r="H595">
        <v>2</v>
      </c>
      <c r="I595">
        <v>33</v>
      </c>
    </row>
    <row r="596" spans="1:9" x14ac:dyDescent="0.3">
      <c r="A596">
        <v>595</v>
      </c>
      <c r="B596">
        <v>0</v>
      </c>
      <c r="C596" t="s">
        <v>609</v>
      </c>
      <c r="D596" t="s">
        <v>14</v>
      </c>
      <c r="E596">
        <v>49</v>
      </c>
      <c r="F596">
        <v>0</v>
      </c>
      <c r="G596">
        <v>0</v>
      </c>
      <c r="H596">
        <v>3</v>
      </c>
      <c r="I596">
        <v>0</v>
      </c>
    </row>
    <row r="597" spans="1:9" x14ac:dyDescent="0.3">
      <c r="A597">
        <v>596</v>
      </c>
      <c r="B597">
        <v>0</v>
      </c>
      <c r="C597" t="s">
        <v>610</v>
      </c>
      <c r="D597" t="s">
        <v>14</v>
      </c>
      <c r="E597">
        <v>18</v>
      </c>
      <c r="F597">
        <v>0</v>
      </c>
      <c r="G597">
        <v>0</v>
      </c>
      <c r="H597">
        <v>3</v>
      </c>
      <c r="I597">
        <v>7.2249999999999996</v>
      </c>
    </row>
    <row r="598" spans="1:9" x14ac:dyDescent="0.3">
      <c r="A598">
        <v>597</v>
      </c>
      <c r="B598">
        <v>1</v>
      </c>
      <c r="C598" t="s">
        <v>611</v>
      </c>
      <c r="D598" t="s">
        <v>14</v>
      </c>
      <c r="E598">
        <v>49</v>
      </c>
      <c r="F598">
        <v>1</v>
      </c>
      <c r="G598">
        <v>0</v>
      </c>
      <c r="H598">
        <v>1</v>
      </c>
      <c r="I598">
        <v>56.929200000000002</v>
      </c>
    </row>
    <row r="599" spans="1:9" x14ac:dyDescent="0.3">
      <c r="A599">
        <v>598</v>
      </c>
      <c r="B599">
        <v>1</v>
      </c>
      <c r="C599" t="s">
        <v>612</v>
      </c>
      <c r="D599" t="s">
        <v>16</v>
      </c>
      <c r="E599">
        <v>24</v>
      </c>
      <c r="F599">
        <v>2</v>
      </c>
      <c r="G599">
        <v>1</v>
      </c>
      <c r="H599">
        <v>2</v>
      </c>
      <c r="I599">
        <v>27</v>
      </c>
    </row>
    <row r="600" spans="1:9" x14ac:dyDescent="0.3">
      <c r="A600">
        <v>599</v>
      </c>
      <c r="B600">
        <v>0</v>
      </c>
      <c r="C600" t="s">
        <v>613</v>
      </c>
      <c r="D600" t="s">
        <v>14</v>
      </c>
      <c r="E600">
        <v>42</v>
      </c>
      <c r="F600">
        <v>0</v>
      </c>
      <c r="G600">
        <v>0</v>
      </c>
      <c r="H600">
        <v>3</v>
      </c>
      <c r="I600">
        <v>7.8958000000000004</v>
      </c>
    </row>
    <row r="601" spans="1:9" x14ac:dyDescent="0.3">
      <c r="A601">
        <v>600</v>
      </c>
      <c r="B601">
        <v>0</v>
      </c>
      <c r="C601" t="s">
        <v>614</v>
      </c>
      <c r="D601" t="s">
        <v>14</v>
      </c>
      <c r="E601">
        <v>37</v>
      </c>
      <c r="F601">
        <v>0</v>
      </c>
      <c r="G601">
        <v>0</v>
      </c>
      <c r="H601">
        <v>1</v>
      </c>
      <c r="I601">
        <v>42.4</v>
      </c>
    </row>
    <row r="602" spans="1:9" x14ac:dyDescent="0.3">
      <c r="A602">
        <v>601</v>
      </c>
      <c r="B602">
        <v>0</v>
      </c>
      <c r="C602" t="s">
        <v>615</v>
      </c>
      <c r="D602" t="s">
        <v>14</v>
      </c>
      <c r="E602">
        <v>44</v>
      </c>
      <c r="F602">
        <v>0</v>
      </c>
      <c r="G602">
        <v>0</v>
      </c>
      <c r="H602">
        <v>3</v>
      </c>
      <c r="I602">
        <v>8.0500000000000007</v>
      </c>
    </row>
    <row r="603" spans="1:9" x14ac:dyDescent="0.3">
      <c r="A603">
        <v>602</v>
      </c>
      <c r="B603">
        <v>1</v>
      </c>
      <c r="C603" t="s">
        <v>616</v>
      </c>
      <c r="D603" t="s">
        <v>14</v>
      </c>
      <c r="E603">
        <v>35</v>
      </c>
      <c r="F603">
        <v>0</v>
      </c>
      <c r="G603">
        <v>0</v>
      </c>
      <c r="H603">
        <v>1</v>
      </c>
      <c r="I603">
        <v>26.55</v>
      </c>
    </row>
    <row r="604" spans="1:9" x14ac:dyDescent="0.3">
      <c r="A604">
        <v>603</v>
      </c>
      <c r="B604">
        <v>0</v>
      </c>
      <c r="C604" t="s">
        <v>617</v>
      </c>
      <c r="D604" t="s">
        <v>14</v>
      </c>
      <c r="E604">
        <v>36</v>
      </c>
      <c r="F604">
        <v>1</v>
      </c>
      <c r="G604">
        <v>0</v>
      </c>
      <c r="H604">
        <v>3</v>
      </c>
      <c r="I604">
        <v>15.55</v>
      </c>
    </row>
    <row r="605" spans="1:9" x14ac:dyDescent="0.3">
      <c r="A605">
        <v>604</v>
      </c>
      <c r="B605">
        <v>0</v>
      </c>
      <c r="C605" t="s">
        <v>618</v>
      </c>
      <c r="D605" t="s">
        <v>14</v>
      </c>
      <c r="E605">
        <v>30</v>
      </c>
      <c r="F605">
        <v>0</v>
      </c>
      <c r="G605">
        <v>0</v>
      </c>
      <c r="H605">
        <v>3</v>
      </c>
      <c r="I605">
        <v>7.8958000000000004</v>
      </c>
    </row>
    <row r="606" spans="1:9" x14ac:dyDescent="0.3">
      <c r="A606">
        <v>605</v>
      </c>
      <c r="B606">
        <v>1</v>
      </c>
      <c r="C606" t="s">
        <v>619</v>
      </c>
      <c r="D606" t="s">
        <v>14</v>
      </c>
      <c r="E606">
        <v>27</v>
      </c>
      <c r="F606">
        <v>0</v>
      </c>
      <c r="G606">
        <v>0</v>
      </c>
      <c r="H606">
        <v>1</v>
      </c>
      <c r="I606">
        <v>30.5</v>
      </c>
    </row>
    <row r="607" spans="1:9" x14ac:dyDescent="0.3">
      <c r="A607">
        <v>606</v>
      </c>
      <c r="B607">
        <v>1</v>
      </c>
      <c r="C607" t="s">
        <v>620</v>
      </c>
      <c r="D607" t="s">
        <v>16</v>
      </c>
      <c r="E607">
        <v>22</v>
      </c>
      <c r="F607">
        <v>1</v>
      </c>
      <c r="G607">
        <v>2</v>
      </c>
      <c r="H607">
        <v>2</v>
      </c>
      <c r="I607">
        <v>41.5792</v>
      </c>
    </row>
    <row r="608" spans="1:9" x14ac:dyDescent="0.3">
      <c r="A608">
        <v>607</v>
      </c>
      <c r="B608">
        <v>1</v>
      </c>
      <c r="C608" t="s">
        <v>621</v>
      </c>
      <c r="D608" t="s">
        <v>16</v>
      </c>
      <c r="E608">
        <v>40</v>
      </c>
      <c r="F608">
        <v>0</v>
      </c>
      <c r="G608">
        <v>0</v>
      </c>
      <c r="H608">
        <v>1</v>
      </c>
      <c r="I608">
        <v>153.46250000000001</v>
      </c>
    </row>
    <row r="609" spans="1:9" x14ac:dyDescent="0.3">
      <c r="A609">
        <v>608</v>
      </c>
      <c r="B609">
        <v>0</v>
      </c>
      <c r="C609" t="s">
        <v>622</v>
      </c>
      <c r="D609" t="s">
        <v>16</v>
      </c>
      <c r="E609">
        <v>39</v>
      </c>
      <c r="F609">
        <v>1</v>
      </c>
      <c r="G609">
        <v>5</v>
      </c>
      <c r="H609">
        <v>3</v>
      </c>
      <c r="I609">
        <v>31.274999999999999</v>
      </c>
    </row>
    <row r="610" spans="1:9" x14ac:dyDescent="0.3">
      <c r="A610">
        <v>609</v>
      </c>
      <c r="B610">
        <v>0</v>
      </c>
      <c r="C610" t="s">
        <v>623</v>
      </c>
      <c r="D610" t="s">
        <v>14</v>
      </c>
      <c r="E610">
        <v>21</v>
      </c>
      <c r="F610">
        <v>0</v>
      </c>
      <c r="G610">
        <v>0</v>
      </c>
      <c r="H610">
        <v>3</v>
      </c>
      <c r="I610">
        <v>7.05</v>
      </c>
    </row>
    <row r="611" spans="1:9" x14ac:dyDescent="0.3">
      <c r="A611">
        <v>610</v>
      </c>
      <c r="B611">
        <v>1</v>
      </c>
      <c r="C611" t="s">
        <v>624</v>
      </c>
      <c r="D611" t="s">
        <v>16</v>
      </c>
      <c r="E611">
        <v>18</v>
      </c>
      <c r="F611">
        <v>1</v>
      </c>
      <c r="G611">
        <v>0</v>
      </c>
      <c r="H611">
        <v>3</v>
      </c>
      <c r="I611">
        <v>15.5</v>
      </c>
    </row>
    <row r="612" spans="1:9" x14ac:dyDescent="0.3">
      <c r="A612">
        <v>611</v>
      </c>
      <c r="B612">
        <v>0</v>
      </c>
      <c r="C612" t="s">
        <v>625</v>
      </c>
      <c r="D612" t="s">
        <v>14</v>
      </c>
      <c r="E612">
        <v>22</v>
      </c>
      <c r="F612">
        <v>0</v>
      </c>
      <c r="G612">
        <v>0</v>
      </c>
      <c r="H612">
        <v>3</v>
      </c>
      <c r="I612">
        <v>7.75</v>
      </c>
    </row>
    <row r="613" spans="1:9" x14ac:dyDescent="0.3">
      <c r="A613">
        <v>612</v>
      </c>
      <c r="B613">
        <v>0</v>
      </c>
      <c r="C613" t="s">
        <v>626</v>
      </c>
      <c r="D613" t="s">
        <v>14</v>
      </c>
      <c r="E613">
        <v>35</v>
      </c>
      <c r="F613">
        <v>0</v>
      </c>
      <c r="G613">
        <v>0</v>
      </c>
      <c r="H613">
        <v>3</v>
      </c>
      <c r="I613">
        <v>8.0500000000000007</v>
      </c>
    </row>
    <row r="614" spans="1:9" x14ac:dyDescent="0.3">
      <c r="A614">
        <v>613</v>
      </c>
      <c r="B614">
        <v>1</v>
      </c>
      <c r="C614" t="s">
        <v>627</v>
      </c>
      <c r="D614" t="s">
        <v>16</v>
      </c>
      <c r="E614">
        <v>24</v>
      </c>
      <c r="F614">
        <v>1</v>
      </c>
      <c r="G614">
        <v>2</v>
      </c>
      <c r="H614">
        <v>2</v>
      </c>
      <c r="I614">
        <v>65</v>
      </c>
    </row>
    <row r="615" spans="1:9" x14ac:dyDescent="0.3">
      <c r="A615">
        <v>614</v>
      </c>
      <c r="B615">
        <v>0</v>
      </c>
      <c r="C615" t="s">
        <v>628</v>
      </c>
      <c r="D615" t="s">
        <v>14</v>
      </c>
      <c r="E615">
        <v>34</v>
      </c>
      <c r="F615">
        <v>1</v>
      </c>
      <c r="G615">
        <v>1</v>
      </c>
      <c r="H615">
        <v>3</v>
      </c>
      <c r="I615">
        <v>14.4</v>
      </c>
    </row>
    <row r="616" spans="1:9" x14ac:dyDescent="0.3">
      <c r="A616">
        <v>615</v>
      </c>
      <c r="B616">
        <v>0</v>
      </c>
      <c r="C616" t="s">
        <v>629</v>
      </c>
      <c r="D616" t="s">
        <v>16</v>
      </c>
      <c r="E616">
        <v>26</v>
      </c>
      <c r="F616">
        <v>1</v>
      </c>
      <c r="G616">
        <v>0</v>
      </c>
      <c r="H616">
        <v>3</v>
      </c>
      <c r="I616">
        <v>16.100000000000001</v>
      </c>
    </row>
    <row r="617" spans="1:9" x14ac:dyDescent="0.3">
      <c r="A617">
        <v>616</v>
      </c>
      <c r="B617">
        <v>1</v>
      </c>
      <c r="C617" t="s">
        <v>630</v>
      </c>
      <c r="D617" t="s">
        <v>16</v>
      </c>
      <c r="E617">
        <v>4</v>
      </c>
      <c r="F617">
        <v>2</v>
      </c>
      <c r="G617">
        <v>1</v>
      </c>
      <c r="H617">
        <v>2</v>
      </c>
      <c r="I617">
        <v>39</v>
      </c>
    </row>
    <row r="618" spans="1:9" x14ac:dyDescent="0.3">
      <c r="A618">
        <v>617</v>
      </c>
      <c r="B618">
        <v>0</v>
      </c>
      <c r="C618" t="s">
        <v>631</v>
      </c>
      <c r="D618" t="s">
        <v>14</v>
      </c>
      <c r="E618">
        <v>26</v>
      </c>
      <c r="F618">
        <v>0</v>
      </c>
      <c r="G618">
        <v>0</v>
      </c>
      <c r="H618">
        <v>2</v>
      </c>
      <c r="I618">
        <v>10.5</v>
      </c>
    </row>
    <row r="619" spans="1:9" x14ac:dyDescent="0.3">
      <c r="A619">
        <v>618</v>
      </c>
      <c r="B619">
        <v>0</v>
      </c>
      <c r="C619" t="s">
        <v>632</v>
      </c>
      <c r="D619" t="s">
        <v>14</v>
      </c>
      <c r="E619">
        <v>27</v>
      </c>
      <c r="F619">
        <v>1</v>
      </c>
      <c r="G619">
        <v>0</v>
      </c>
      <c r="H619">
        <v>3</v>
      </c>
      <c r="I619">
        <v>14.4542</v>
      </c>
    </row>
    <row r="620" spans="1:9" x14ac:dyDescent="0.3">
      <c r="A620">
        <v>619</v>
      </c>
      <c r="B620">
        <v>1</v>
      </c>
      <c r="C620" t="s">
        <v>633</v>
      </c>
      <c r="D620" t="s">
        <v>14</v>
      </c>
      <c r="E620">
        <v>42</v>
      </c>
      <c r="F620">
        <v>1</v>
      </c>
      <c r="G620">
        <v>0</v>
      </c>
      <c r="H620">
        <v>1</v>
      </c>
      <c r="I620">
        <v>52.554200000000002</v>
      </c>
    </row>
    <row r="621" spans="1:9" x14ac:dyDescent="0.3">
      <c r="A621">
        <v>620</v>
      </c>
      <c r="B621">
        <v>1</v>
      </c>
      <c r="C621" t="s">
        <v>634</v>
      </c>
      <c r="D621" t="s">
        <v>14</v>
      </c>
      <c r="E621">
        <v>20</v>
      </c>
      <c r="F621">
        <v>1</v>
      </c>
      <c r="G621">
        <v>1</v>
      </c>
      <c r="H621">
        <v>3</v>
      </c>
      <c r="I621">
        <v>15.7417</v>
      </c>
    </row>
    <row r="622" spans="1:9" x14ac:dyDescent="0.3">
      <c r="A622">
        <v>621</v>
      </c>
      <c r="B622">
        <v>0</v>
      </c>
      <c r="C622" t="s">
        <v>635</v>
      </c>
      <c r="D622" t="s">
        <v>14</v>
      </c>
      <c r="E622">
        <v>21</v>
      </c>
      <c r="F622">
        <v>0</v>
      </c>
      <c r="G622">
        <v>0</v>
      </c>
      <c r="H622">
        <v>3</v>
      </c>
      <c r="I622">
        <v>7.8541999999999996</v>
      </c>
    </row>
    <row r="623" spans="1:9" x14ac:dyDescent="0.3">
      <c r="A623">
        <v>622</v>
      </c>
      <c r="B623">
        <v>0</v>
      </c>
      <c r="C623" t="s">
        <v>636</v>
      </c>
      <c r="D623" t="s">
        <v>14</v>
      </c>
      <c r="E623">
        <v>21</v>
      </c>
      <c r="F623">
        <v>0</v>
      </c>
      <c r="G623">
        <v>0</v>
      </c>
      <c r="H623">
        <v>3</v>
      </c>
      <c r="I623">
        <v>16.100000000000001</v>
      </c>
    </row>
    <row r="624" spans="1:9" x14ac:dyDescent="0.3">
      <c r="A624">
        <v>623</v>
      </c>
      <c r="B624">
        <v>0</v>
      </c>
      <c r="C624" t="s">
        <v>637</v>
      </c>
      <c r="D624" t="s">
        <v>14</v>
      </c>
      <c r="E624">
        <v>61</v>
      </c>
      <c r="F624">
        <v>0</v>
      </c>
      <c r="G624">
        <v>0</v>
      </c>
      <c r="H624">
        <v>1</v>
      </c>
      <c r="I624">
        <v>32.320799999999998</v>
      </c>
    </row>
    <row r="625" spans="1:9" x14ac:dyDescent="0.3">
      <c r="A625">
        <v>624</v>
      </c>
      <c r="B625">
        <v>0</v>
      </c>
      <c r="C625" t="s">
        <v>638</v>
      </c>
      <c r="D625" t="s">
        <v>14</v>
      </c>
      <c r="E625">
        <v>57</v>
      </c>
      <c r="F625">
        <v>0</v>
      </c>
      <c r="G625">
        <v>0</v>
      </c>
      <c r="H625">
        <v>2</v>
      </c>
      <c r="I625">
        <v>12.35</v>
      </c>
    </row>
    <row r="626" spans="1:9" x14ac:dyDescent="0.3">
      <c r="A626">
        <v>625</v>
      </c>
      <c r="B626">
        <v>1</v>
      </c>
      <c r="C626" t="s">
        <v>639</v>
      </c>
      <c r="D626" t="s">
        <v>16</v>
      </c>
      <c r="E626">
        <v>21</v>
      </c>
      <c r="F626">
        <v>0</v>
      </c>
      <c r="G626">
        <v>0</v>
      </c>
      <c r="H626">
        <v>1</v>
      </c>
      <c r="I626">
        <v>77.958299999999994</v>
      </c>
    </row>
    <row r="627" spans="1:9" x14ac:dyDescent="0.3">
      <c r="A627">
        <v>626</v>
      </c>
      <c r="B627">
        <v>0</v>
      </c>
      <c r="C627" t="s">
        <v>640</v>
      </c>
      <c r="D627" t="s">
        <v>14</v>
      </c>
      <c r="E627">
        <v>26</v>
      </c>
      <c r="F627">
        <v>0</v>
      </c>
      <c r="G627">
        <v>0</v>
      </c>
      <c r="H627">
        <v>3</v>
      </c>
      <c r="I627">
        <v>7.8958000000000004</v>
      </c>
    </row>
    <row r="628" spans="1:9" x14ac:dyDescent="0.3">
      <c r="A628">
        <v>627</v>
      </c>
      <c r="B628">
        <v>0</v>
      </c>
      <c r="C628" t="s">
        <v>641</v>
      </c>
      <c r="D628" t="s">
        <v>14</v>
      </c>
      <c r="E628">
        <v>18</v>
      </c>
      <c r="F628">
        <v>0</v>
      </c>
      <c r="G628">
        <v>0</v>
      </c>
      <c r="H628">
        <v>3</v>
      </c>
      <c r="I628">
        <v>7.7332999999999998</v>
      </c>
    </row>
    <row r="629" spans="1:9" x14ac:dyDescent="0.3">
      <c r="A629">
        <v>628</v>
      </c>
      <c r="B629">
        <v>1</v>
      </c>
      <c r="C629" t="s">
        <v>642</v>
      </c>
      <c r="D629" t="s">
        <v>14</v>
      </c>
      <c r="E629">
        <v>80</v>
      </c>
      <c r="F629">
        <v>0</v>
      </c>
      <c r="G629">
        <v>0</v>
      </c>
      <c r="H629">
        <v>1</v>
      </c>
      <c r="I629">
        <v>30</v>
      </c>
    </row>
    <row r="630" spans="1:9" x14ac:dyDescent="0.3">
      <c r="A630">
        <v>629</v>
      </c>
      <c r="B630">
        <v>0</v>
      </c>
      <c r="C630" t="s">
        <v>643</v>
      </c>
      <c r="D630" t="s">
        <v>14</v>
      </c>
      <c r="E630">
        <v>51</v>
      </c>
      <c r="F630">
        <v>0</v>
      </c>
      <c r="G630">
        <v>0</v>
      </c>
      <c r="H630">
        <v>3</v>
      </c>
      <c r="I630">
        <v>7.0541999999999998</v>
      </c>
    </row>
    <row r="631" spans="1:9" x14ac:dyDescent="0.3">
      <c r="A631">
        <v>630</v>
      </c>
      <c r="B631">
        <v>1</v>
      </c>
      <c r="C631" t="s">
        <v>644</v>
      </c>
      <c r="D631" t="s">
        <v>14</v>
      </c>
      <c r="E631">
        <v>32</v>
      </c>
      <c r="F631">
        <v>0</v>
      </c>
      <c r="G631">
        <v>0</v>
      </c>
      <c r="H631">
        <v>1</v>
      </c>
      <c r="I631">
        <v>30.5</v>
      </c>
    </row>
    <row r="632" spans="1:9" x14ac:dyDescent="0.3">
      <c r="A632">
        <v>631</v>
      </c>
      <c r="B632">
        <v>0</v>
      </c>
      <c r="C632" t="s">
        <v>645</v>
      </c>
      <c r="D632" t="s">
        <v>14</v>
      </c>
      <c r="E632">
        <v>30</v>
      </c>
      <c r="F632">
        <v>0</v>
      </c>
      <c r="G632">
        <v>0</v>
      </c>
      <c r="H632">
        <v>1</v>
      </c>
      <c r="I632">
        <v>0</v>
      </c>
    </row>
    <row r="633" spans="1:9" x14ac:dyDescent="0.3">
      <c r="A633">
        <v>632</v>
      </c>
      <c r="B633">
        <v>0</v>
      </c>
      <c r="C633" t="s">
        <v>646</v>
      </c>
      <c r="D633" t="s">
        <v>16</v>
      </c>
      <c r="E633">
        <v>9</v>
      </c>
      <c r="F633">
        <v>3</v>
      </c>
      <c r="G633">
        <v>2</v>
      </c>
      <c r="H633">
        <v>3</v>
      </c>
      <c r="I633">
        <v>27.9</v>
      </c>
    </row>
    <row r="634" spans="1:9" x14ac:dyDescent="0.3">
      <c r="A634">
        <v>633</v>
      </c>
      <c r="B634">
        <v>1</v>
      </c>
      <c r="C634" t="s">
        <v>647</v>
      </c>
      <c r="D634" t="s">
        <v>16</v>
      </c>
      <c r="E634">
        <v>28</v>
      </c>
      <c r="F634">
        <v>0</v>
      </c>
      <c r="G634">
        <v>0</v>
      </c>
      <c r="H634">
        <v>2</v>
      </c>
      <c r="I634">
        <v>13</v>
      </c>
    </row>
    <row r="635" spans="1:9" x14ac:dyDescent="0.3">
      <c r="A635">
        <v>634</v>
      </c>
      <c r="B635">
        <v>0</v>
      </c>
      <c r="C635" t="s">
        <v>648</v>
      </c>
      <c r="D635" t="s">
        <v>14</v>
      </c>
      <c r="E635">
        <v>32</v>
      </c>
      <c r="F635">
        <v>0</v>
      </c>
      <c r="G635">
        <v>0</v>
      </c>
      <c r="H635">
        <v>3</v>
      </c>
      <c r="I635">
        <v>7.9249999999999998</v>
      </c>
    </row>
    <row r="636" spans="1:9" x14ac:dyDescent="0.3">
      <c r="A636">
        <v>635</v>
      </c>
      <c r="B636">
        <v>0</v>
      </c>
      <c r="C636" t="s">
        <v>649</v>
      </c>
      <c r="D636" t="s">
        <v>14</v>
      </c>
      <c r="E636">
        <v>31</v>
      </c>
      <c r="F636">
        <v>1</v>
      </c>
      <c r="G636">
        <v>1</v>
      </c>
      <c r="H636">
        <v>2</v>
      </c>
      <c r="I636">
        <v>26.25</v>
      </c>
    </row>
    <row r="637" spans="1:9" x14ac:dyDescent="0.3">
      <c r="A637">
        <v>636</v>
      </c>
      <c r="B637">
        <v>0</v>
      </c>
      <c r="C637" t="s">
        <v>650</v>
      </c>
      <c r="D637" t="s">
        <v>16</v>
      </c>
      <c r="E637">
        <v>41</v>
      </c>
      <c r="F637">
        <v>0</v>
      </c>
      <c r="G637">
        <v>5</v>
      </c>
      <c r="H637">
        <v>3</v>
      </c>
      <c r="I637">
        <v>39.6875</v>
      </c>
    </row>
    <row r="638" spans="1:9" x14ac:dyDescent="0.3">
      <c r="A638">
        <v>637</v>
      </c>
      <c r="B638">
        <v>0</v>
      </c>
      <c r="C638" t="s">
        <v>651</v>
      </c>
      <c r="D638" t="s">
        <v>14</v>
      </c>
      <c r="E638">
        <v>37</v>
      </c>
      <c r="F638">
        <v>1</v>
      </c>
      <c r="G638">
        <v>0</v>
      </c>
      <c r="H638">
        <v>3</v>
      </c>
      <c r="I638">
        <v>16.100000000000001</v>
      </c>
    </row>
    <row r="639" spans="1:9" x14ac:dyDescent="0.3">
      <c r="A639">
        <v>638</v>
      </c>
      <c r="B639">
        <v>0</v>
      </c>
      <c r="C639" t="s">
        <v>652</v>
      </c>
      <c r="D639" t="s">
        <v>14</v>
      </c>
      <c r="E639">
        <v>20</v>
      </c>
      <c r="F639">
        <v>0</v>
      </c>
      <c r="G639">
        <v>0</v>
      </c>
      <c r="H639">
        <v>3</v>
      </c>
      <c r="I639">
        <v>7.8541999999999996</v>
      </c>
    </row>
    <row r="640" spans="1:9" x14ac:dyDescent="0.3">
      <c r="A640">
        <v>639</v>
      </c>
      <c r="B640">
        <v>1</v>
      </c>
      <c r="C640" t="s">
        <v>653</v>
      </c>
      <c r="D640" t="s">
        <v>16</v>
      </c>
      <c r="E640">
        <v>24</v>
      </c>
      <c r="F640">
        <v>0</v>
      </c>
      <c r="G640">
        <v>0</v>
      </c>
      <c r="H640">
        <v>1</v>
      </c>
      <c r="I640">
        <v>69.3</v>
      </c>
    </row>
    <row r="641" spans="1:9" x14ac:dyDescent="0.3">
      <c r="A641">
        <v>640</v>
      </c>
      <c r="B641">
        <v>0</v>
      </c>
      <c r="C641" t="s">
        <v>654</v>
      </c>
      <c r="D641" t="s">
        <v>16</v>
      </c>
      <c r="E641">
        <v>2</v>
      </c>
      <c r="F641">
        <v>3</v>
      </c>
      <c r="G641">
        <v>2</v>
      </c>
      <c r="H641">
        <v>3</v>
      </c>
      <c r="I641">
        <v>27.9</v>
      </c>
    </row>
    <row r="642" spans="1:9" x14ac:dyDescent="0.3">
      <c r="A642">
        <v>641</v>
      </c>
      <c r="B642">
        <v>1</v>
      </c>
      <c r="C642" t="s">
        <v>655</v>
      </c>
      <c r="D642" t="s">
        <v>14</v>
      </c>
      <c r="E642">
        <v>32</v>
      </c>
      <c r="F642">
        <v>0</v>
      </c>
      <c r="G642">
        <v>0</v>
      </c>
      <c r="H642">
        <v>3</v>
      </c>
      <c r="I642">
        <v>56.495800000000003</v>
      </c>
    </row>
    <row r="643" spans="1:9" x14ac:dyDescent="0.3">
      <c r="A643">
        <v>642</v>
      </c>
      <c r="B643">
        <v>1</v>
      </c>
      <c r="C643" t="s">
        <v>656</v>
      </c>
      <c r="D643" t="s">
        <v>16</v>
      </c>
      <c r="E643">
        <v>0.75</v>
      </c>
      <c r="F643">
        <v>2</v>
      </c>
      <c r="G643">
        <v>1</v>
      </c>
      <c r="H643">
        <v>3</v>
      </c>
      <c r="I643">
        <v>19.258299999999998</v>
      </c>
    </row>
    <row r="644" spans="1:9" x14ac:dyDescent="0.3">
      <c r="A644">
        <v>643</v>
      </c>
      <c r="B644">
        <v>1</v>
      </c>
      <c r="C644" t="s">
        <v>657</v>
      </c>
      <c r="D644" t="s">
        <v>14</v>
      </c>
      <c r="E644">
        <v>48</v>
      </c>
      <c r="F644">
        <v>1</v>
      </c>
      <c r="G644">
        <v>0</v>
      </c>
      <c r="H644">
        <v>1</v>
      </c>
      <c r="I644">
        <v>76.729200000000006</v>
      </c>
    </row>
    <row r="645" spans="1:9" x14ac:dyDescent="0.3">
      <c r="A645">
        <v>644</v>
      </c>
      <c r="B645">
        <v>0</v>
      </c>
      <c r="C645" t="s">
        <v>658</v>
      </c>
      <c r="D645" t="s">
        <v>14</v>
      </c>
      <c r="E645">
        <v>19</v>
      </c>
      <c r="F645">
        <v>0</v>
      </c>
      <c r="G645">
        <v>0</v>
      </c>
      <c r="H645">
        <v>3</v>
      </c>
      <c r="I645">
        <v>7.8958000000000004</v>
      </c>
    </row>
    <row r="646" spans="1:9" x14ac:dyDescent="0.3">
      <c r="A646">
        <v>645</v>
      </c>
      <c r="B646">
        <v>1</v>
      </c>
      <c r="C646" t="s">
        <v>659</v>
      </c>
      <c r="D646" t="s">
        <v>14</v>
      </c>
      <c r="E646">
        <v>56</v>
      </c>
      <c r="F646">
        <v>0</v>
      </c>
      <c r="G646">
        <v>0</v>
      </c>
      <c r="H646">
        <v>1</v>
      </c>
      <c r="I646">
        <v>35.5</v>
      </c>
    </row>
    <row r="647" spans="1:9" x14ac:dyDescent="0.3">
      <c r="A647">
        <v>646</v>
      </c>
      <c r="B647">
        <v>0</v>
      </c>
      <c r="C647" t="s">
        <v>660</v>
      </c>
      <c r="D647" t="s">
        <v>14</v>
      </c>
      <c r="E647">
        <v>21</v>
      </c>
      <c r="F647">
        <v>0</v>
      </c>
      <c r="G647">
        <v>0</v>
      </c>
      <c r="H647">
        <v>3</v>
      </c>
      <c r="I647">
        <v>7.55</v>
      </c>
    </row>
    <row r="648" spans="1:9" x14ac:dyDescent="0.3">
      <c r="A648">
        <v>647</v>
      </c>
      <c r="B648">
        <v>1</v>
      </c>
      <c r="C648" t="s">
        <v>661</v>
      </c>
      <c r="D648" t="s">
        <v>16</v>
      </c>
      <c r="E648">
        <v>23</v>
      </c>
      <c r="F648">
        <v>0</v>
      </c>
      <c r="G648">
        <v>0</v>
      </c>
      <c r="H648">
        <v>3</v>
      </c>
      <c r="I648">
        <v>7.55</v>
      </c>
    </row>
    <row r="649" spans="1:9" x14ac:dyDescent="0.3">
      <c r="A649">
        <v>648</v>
      </c>
      <c r="B649">
        <v>0</v>
      </c>
      <c r="C649" t="s">
        <v>662</v>
      </c>
      <c r="D649" t="s">
        <v>14</v>
      </c>
      <c r="E649">
        <v>23</v>
      </c>
      <c r="F649">
        <v>0</v>
      </c>
      <c r="G649">
        <v>0</v>
      </c>
      <c r="H649">
        <v>3</v>
      </c>
      <c r="I649">
        <v>7.8958000000000004</v>
      </c>
    </row>
    <row r="650" spans="1:9" x14ac:dyDescent="0.3">
      <c r="A650">
        <v>649</v>
      </c>
      <c r="B650">
        <v>1</v>
      </c>
      <c r="C650" t="s">
        <v>663</v>
      </c>
      <c r="D650" t="s">
        <v>16</v>
      </c>
      <c r="E650">
        <v>18</v>
      </c>
      <c r="F650">
        <v>0</v>
      </c>
      <c r="G650">
        <v>1</v>
      </c>
      <c r="H650">
        <v>2</v>
      </c>
      <c r="I650">
        <v>23</v>
      </c>
    </row>
    <row r="651" spans="1:9" x14ac:dyDescent="0.3">
      <c r="A651">
        <v>650</v>
      </c>
      <c r="B651">
        <v>0</v>
      </c>
      <c r="C651" t="s">
        <v>664</v>
      </c>
      <c r="D651" t="s">
        <v>14</v>
      </c>
      <c r="E651">
        <v>21</v>
      </c>
      <c r="F651">
        <v>0</v>
      </c>
      <c r="G651">
        <v>0</v>
      </c>
      <c r="H651">
        <v>3</v>
      </c>
      <c r="I651">
        <v>8.4332999999999991</v>
      </c>
    </row>
    <row r="652" spans="1:9" x14ac:dyDescent="0.3">
      <c r="A652">
        <v>651</v>
      </c>
      <c r="B652">
        <v>1</v>
      </c>
      <c r="C652" t="s">
        <v>665</v>
      </c>
      <c r="D652" t="s">
        <v>16</v>
      </c>
      <c r="E652">
        <v>16</v>
      </c>
      <c r="F652">
        <v>0</v>
      </c>
      <c r="G652">
        <v>0</v>
      </c>
      <c r="H652">
        <v>3</v>
      </c>
      <c r="I652">
        <v>7.8292000000000002</v>
      </c>
    </row>
    <row r="653" spans="1:9" x14ac:dyDescent="0.3">
      <c r="A653">
        <v>652</v>
      </c>
      <c r="B653">
        <v>0</v>
      </c>
      <c r="C653" t="s">
        <v>666</v>
      </c>
      <c r="D653" t="s">
        <v>16</v>
      </c>
      <c r="E653">
        <v>18</v>
      </c>
      <c r="F653">
        <v>0</v>
      </c>
      <c r="G653">
        <v>0</v>
      </c>
      <c r="H653">
        <v>3</v>
      </c>
      <c r="I653">
        <v>6.75</v>
      </c>
    </row>
    <row r="654" spans="1:9" x14ac:dyDescent="0.3">
      <c r="A654">
        <v>653</v>
      </c>
      <c r="B654">
        <v>0</v>
      </c>
      <c r="C654" t="s">
        <v>667</v>
      </c>
      <c r="D654" t="s">
        <v>14</v>
      </c>
      <c r="E654">
        <v>24</v>
      </c>
      <c r="F654">
        <v>2</v>
      </c>
      <c r="G654">
        <v>0</v>
      </c>
      <c r="H654">
        <v>2</v>
      </c>
      <c r="I654">
        <v>73.5</v>
      </c>
    </row>
    <row r="655" spans="1:9" x14ac:dyDescent="0.3">
      <c r="A655">
        <v>654</v>
      </c>
      <c r="B655">
        <v>0</v>
      </c>
      <c r="C655" t="s">
        <v>668</v>
      </c>
      <c r="D655" t="s">
        <v>14</v>
      </c>
      <c r="E655">
        <v>27</v>
      </c>
      <c r="F655">
        <v>0</v>
      </c>
      <c r="G655">
        <v>0</v>
      </c>
      <c r="H655">
        <v>3</v>
      </c>
      <c r="I655">
        <v>7.8958000000000004</v>
      </c>
    </row>
    <row r="656" spans="1:9" x14ac:dyDescent="0.3">
      <c r="A656">
        <v>655</v>
      </c>
      <c r="B656">
        <v>0</v>
      </c>
      <c r="C656" t="s">
        <v>669</v>
      </c>
      <c r="D656" t="s">
        <v>16</v>
      </c>
      <c r="E656">
        <v>32</v>
      </c>
      <c r="F656">
        <v>1</v>
      </c>
      <c r="G656">
        <v>1</v>
      </c>
      <c r="H656">
        <v>3</v>
      </c>
      <c r="I656">
        <v>15.5</v>
      </c>
    </row>
    <row r="657" spans="1:9" x14ac:dyDescent="0.3">
      <c r="A657">
        <v>656</v>
      </c>
      <c r="B657">
        <v>0</v>
      </c>
      <c r="C657" t="s">
        <v>670</v>
      </c>
      <c r="D657" t="s">
        <v>14</v>
      </c>
      <c r="E657">
        <v>23</v>
      </c>
      <c r="F657">
        <v>0</v>
      </c>
      <c r="G657">
        <v>0</v>
      </c>
      <c r="H657">
        <v>2</v>
      </c>
      <c r="I657">
        <v>13</v>
      </c>
    </row>
    <row r="658" spans="1:9" x14ac:dyDescent="0.3">
      <c r="A658">
        <v>657</v>
      </c>
      <c r="B658">
        <v>0</v>
      </c>
      <c r="C658" t="s">
        <v>671</v>
      </c>
      <c r="D658" t="s">
        <v>14</v>
      </c>
      <c r="E658">
        <v>58</v>
      </c>
      <c r="F658">
        <v>0</v>
      </c>
      <c r="G658">
        <v>2</v>
      </c>
      <c r="H658">
        <v>1</v>
      </c>
      <c r="I658">
        <v>113.27500000000001</v>
      </c>
    </row>
    <row r="659" spans="1:9" x14ac:dyDescent="0.3">
      <c r="A659">
        <v>658</v>
      </c>
      <c r="B659">
        <v>1</v>
      </c>
      <c r="C659" t="s">
        <v>672</v>
      </c>
      <c r="D659" t="s">
        <v>14</v>
      </c>
      <c r="E659">
        <v>50</v>
      </c>
      <c r="F659">
        <v>2</v>
      </c>
      <c r="G659">
        <v>0</v>
      </c>
      <c r="H659">
        <v>1</v>
      </c>
      <c r="I659">
        <v>133.65</v>
      </c>
    </row>
    <row r="660" spans="1:9" x14ac:dyDescent="0.3">
      <c r="A660">
        <v>659</v>
      </c>
      <c r="B660">
        <v>0</v>
      </c>
      <c r="C660" t="s">
        <v>673</v>
      </c>
      <c r="D660" t="s">
        <v>14</v>
      </c>
      <c r="E660">
        <v>40</v>
      </c>
      <c r="F660">
        <v>0</v>
      </c>
      <c r="G660">
        <v>0</v>
      </c>
      <c r="H660">
        <v>3</v>
      </c>
      <c r="I660">
        <v>7.2249999999999996</v>
      </c>
    </row>
    <row r="661" spans="1:9" x14ac:dyDescent="0.3">
      <c r="A661">
        <v>660</v>
      </c>
      <c r="B661">
        <v>0</v>
      </c>
      <c r="C661" t="s">
        <v>674</v>
      </c>
      <c r="D661" t="s">
        <v>14</v>
      </c>
      <c r="E661">
        <v>47</v>
      </c>
      <c r="F661">
        <v>0</v>
      </c>
      <c r="G661">
        <v>0</v>
      </c>
      <c r="H661">
        <v>1</v>
      </c>
      <c r="I661">
        <v>25.587499999999999</v>
      </c>
    </row>
    <row r="662" spans="1:9" x14ac:dyDescent="0.3">
      <c r="A662">
        <v>661</v>
      </c>
      <c r="B662">
        <v>0</v>
      </c>
      <c r="C662" t="s">
        <v>675</v>
      </c>
      <c r="D662" t="s">
        <v>14</v>
      </c>
      <c r="E662">
        <v>36</v>
      </c>
      <c r="F662">
        <v>0</v>
      </c>
      <c r="G662">
        <v>0</v>
      </c>
      <c r="H662">
        <v>3</v>
      </c>
      <c r="I662">
        <v>7.4958</v>
      </c>
    </row>
    <row r="663" spans="1:9" x14ac:dyDescent="0.3">
      <c r="A663">
        <v>662</v>
      </c>
      <c r="B663">
        <v>1</v>
      </c>
      <c r="C663" t="s">
        <v>676</v>
      </c>
      <c r="D663" t="s">
        <v>14</v>
      </c>
      <c r="E663">
        <v>20</v>
      </c>
      <c r="F663">
        <v>1</v>
      </c>
      <c r="G663">
        <v>0</v>
      </c>
      <c r="H663">
        <v>3</v>
      </c>
      <c r="I663">
        <v>7.9249999999999998</v>
      </c>
    </row>
    <row r="664" spans="1:9" x14ac:dyDescent="0.3">
      <c r="A664">
        <v>663</v>
      </c>
      <c r="B664">
        <v>0</v>
      </c>
      <c r="C664" t="s">
        <v>677</v>
      </c>
      <c r="D664" t="s">
        <v>14</v>
      </c>
      <c r="E664">
        <v>32</v>
      </c>
      <c r="F664">
        <v>2</v>
      </c>
      <c r="G664">
        <v>0</v>
      </c>
      <c r="H664">
        <v>2</v>
      </c>
      <c r="I664">
        <v>73.5</v>
      </c>
    </row>
    <row r="665" spans="1:9" x14ac:dyDescent="0.3">
      <c r="A665">
        <v>664</v>
      </c>
      <c r="B665">
        <v>0</v>
      </c>
      <c r="C665" t="s">
        <v>678</v>
      </c>
      <c r="D665" t="s">
        <v>14</v>
      </c>
      <c r="E665">
        <v>25</v>
      </c>
      <c r="F665">
        <v>0</v>
      </c>
      <c r="G665">
        <v>0</v>
      </c>
      <c r="H665">
        <v>2</v>
      </c>
      <c r="I665">
        <v>13</v>
      </c>
    </row>
    <row r="666" spans="1:9" x14ac:dyDescent="0.3">
      <c r="A666">
        <v>665</v>
      </c>
      <c r="B666">
        <v>0</v>
      </c>
      <c r="C666" t="s">
        <v>679</v>
      </c>
      <c r="D666" t="s">
        <v>14</v>
      </c>
      <c r="E666">
        <v>49</v>
      </c>
      <c r="F666">
        <v>0</v>
      </c>
      <c r="G666">
        <v>0</v>
      </c>
      <c r="H666">
        <v>3</v>
      </c>
      <c r="I666">
        <v>7.7750000000000004</v>
      </c>
    </row>
    <row r="667" spans="1:9" x14ac:dyDescent="0.3">
      <c r="A667">
        <v>666</v>
      </c>
      <c r="B667">
        <v>0</v>
      </c>
      <c r="C667" t="s">
        <v>680</v>
      </c>
      <c r="D667" t="s">
        <v>14</v>
      </c>
      <c r="E667">
        <v>43</v>
      </c>
      <c r="F667">
        <v>0</v>
      </c>
      <c r="G667">
        <v>0</v>
      </c>
      <c r="H667">
        <v>3</v>
      </c>
      <c r="I667">
        <v>8.0500000000000007</v>
      </c>
    </row>
    <row r="668" spans="1:9" x14ac:dyDescent="0.3">
      <c r="A668">
        <v>667</v>
      </c>
      <c r="B668">
        <v>1</v>
      </c>
      <c r="C668" t="s">
        <v>681</v>
      </c>
      <c r="D668" t="s">
        <v>16</v>
      </c>
      <c r="E668">
        <v>48</v>
      </c>
      <c r="F668">
        <v>1</v>
      </c>
      <c r="G668">
        <v>0</v>
      </c>
      <c r="H668">
        <v>1</v>
      </c>
      <c r="I668">
        <v>52</v>
      </c>
    </row>
    <row r="669" spans="1:9" x14ac:dyDescent="0.3">
      <c r="A669">
        <v>668</v>
      </c>
      <c r="B669">
        <v>1</v>
      </c>
      <c r="C669" t="s">
        <v>682</v>
      </c>
      <c r="D669" t="s">
        <v>16</v>
      </c>
      <c r="E669">
        <v>40</v>
      </c>
      <c r="F669">
        <v>1</v>
      </c>
      <c r="G669">
        <v>1</v>
      </c>
      <c r="H669">
        <v>2</v>
      </c>
      <c r="I669">
        <v>39</v>
      </c>
    </row>
    <row r="670" spans="1:9" x14ac:dyDescent="0.3">
      <c r="A670">
        <v>669</v>
      </c>
      <c r="B670">
        <v>0</v>
      </c>
      <c r="C670" t="s">
        <v>683</v>
      </c>
      <c r="D670" t="s">
        <v>14</v>
      </c>
      <c r="E670">
        <v>31</v>
      </c>
      <c r="F670">
        <v>1</v>
      </c>
      <c r="G670">
        <v>0</v>
      </c>
      <c r="H670">
        <v>1</v>
      </c>
      <c r="I670">
        <v>52</v>
      </c>
    </row>
    <row r="671" spans="1:9" x14ac:dyDescent="0.3">
      <c r="A671">
        <v>670</v>
      </c>
      <c r="B671">
        <v>0</v>
      </c>
      <c r="C671" t="s">
        <v>684</v>
      </c>
      <c r="D671" t="s">
        <v>14</v>
      </c>
      <c r="E671">
        <v>70</v>
      </c>
      <c r="F671">
        <v>0</v>
      </c>
      <c r="G671">
        <v>0</v>
      </c>
      <c r="H671">
        <v>2</v>
      </c>
      <c r="I671">
        <v>10.5</v>
      </c>
    </row>
    <row r="672" spans="1:9" x14ac:dyDescent="0.3">
      <c r="A672">
        <v>671</v>
      </c>
      <c r="B672">
        <v>1</v>
      </c>
      <c r="C672" t="s">
        <v>685</v>
      </c>
      <c r="D672" t="s">
        <v>14</v>
      </c>
      <c r="E672">
        <v>31</v>
      </c>
      <c r="F672">
        <v>0</v>
      </c>
      <c r="G672">
        <v>0</v>
      </c>
      <c r="H672">
        <v>2</v>
      </c>
      <c r="I672">
        <v>13</v>
      </c>
    </row>
    <row r="673" spans="1:9" x14ac:dyDescent="0.3">
      <c r="A673">
        <v>672</v>
      </c>
      <c r="B673">
        <v>0</v>
      </c>
      <c r="C673" t="s">
        <v>686</v>
      </c>
      <c r="D673" t="s">
        <v>14</v>
      </c>
      <c r="E673">
        <v>19</v>
      </c>
      <c r="F673">
        <v>0</v>
      </c>
      <c r="G673">
        <v>0</v>
      </c>
      <c r="H673">
        <v>2</v>
      </c>
      <c r="I673">
        <v>0</v>
      </c>
    </row>
    <row r="674" spans="1:9" x14ac:dyDescent="0.3">
      <c r="A674">
        <v>673</v>
      </c>
      <c r="B674">
        <v>0</v>
      </c>
      <c r="C674" t="s">
        <v>687</v>
      </c>
      <c r="D674" t="s">
        <v>14</v>
      </c>
      <c r="E674">
        <v>18</v>
      </c>
      <c r="F674">
        <v>0</v>
      </c>
      <c r="G674">
        <v>0</v>
      </c>
      <c r="H674">
        <v>3</v>
      </c>
      <c r="I674">
        <v>7.7750000000000004</v>
      </c>
    </row>
    <row r="675" spans="1:9" x14ac:dyDescent="0.3">
      <c r="A675">
        <v>674</v>
      </c>
      <c r="B675">
        <v>0</v>
      </c>
      <c r="C675" t="s">
        <v>688</v>
      </c>
      <c r="D675" t="s">
        <v>14</v>
      </c>
      <c r="E675">
        <v>24.5</v>
      </c>
      <c r="F675">
        <v>0</v>
      </c>
      <c r="G675">
        <v>0</v>
      </c>
      <c r="H675">
        <v>3</v>
      </c>
      <c r="I675">
        <v>8.0500000000000007</v>
      </c>
    </row>
    <row r="676" spans="1:9" x14ac:dyDescent="0.3">
      <c r="A676">
        <v>675</v>
      </c>
      <c r="B676">
        <v>1</v>
      </c>
      <c r="C676" t="s">
        <v>689</v>
      </c>
      <c r="D676" t="s">
        <v>16</v>
      </c>
      <c r="E676">
        <v>18</v>
      </c>
      <c r="F676">
        <v>0</v>
      </c>
      <c r="G676">
        <v>0</v>
      </c>
      <c r="H676">
        <v>3</v>
      </c>
      <c r="I676">
        <v>9.8416999999999994</v>
      </c>
    </row>
    <row r="677" spans="1:9" x14ac:dyDescent="0.3">
      <c r="A677">
        <v>676</v>
      </c>
      <c r="B677">
        <v>0</v>
      </c>
      <c r="C677" t="s">
        <v>690</v>
      </c>
      <c r="D677" t="s">
        <v>16</v>
      </c>
      <c r="E677">
        <v>43</v>
      </c>
      <c r="F677">
        <v>1</v>
      </c>
      <c r="G677">
        <v>6</v>
      </c>
      <c r="H677">
        <v>3</v>
      </c>
      <c r="I677">
        <v>46.9</v>
      </c>
    </row>
    <row r="678" spans="1:9" x14ac:dyDescent="0.3">
      <c r="A678">
        <v>677</v>
      </c>
      <c r="B678">
        <v>1</v>
      </c>
      <c r="C678" t="s">
        <v>691</v>
      </c>
      <c r="D678" t="s">
        <v>14</v>
      </c>
      <c r="E678">
        <v>36</v>
      </c>
      <c r="F678">
        <v>0</v>
      </c>
      <c r="G678">
        <v>1</v>
      </c>
      <c r="H678">
        <v>1</v>
      </c>
      <c r="I678">
        <v>512.32920000000001</v>
      </c>
    </row>
    <row r="679" spans="1:9" x14ac:dyDescent="0.3">
      <c r="A679">
        <v>678</v>
      </c>
      <c r="B679">
        <v>0</v>
      </c>
      <c r="C679" t="s">
        <v>692</v>
      </c>
      <c r="D679" t="s">
        <v>16</v>
      </c>
      <c r="E679">
        <v>28</v>
      </c>
      <c r="F679">
        <v>0</v>
      </c>
      <c r="G679">
        <v>0</v>
      </c>
      <c r="H679">
        <v>3</v>
      </c>
      <c r="I679">
        <v>8.1374999999999993</v>
      </c>
    </row>
    <row r="680" spans="1:9" x14ac:dyDescent="0.3">
      <c r="A680">
        <v>679</v>
      </c>
      <c r="B680">
        <v>1</v>
      </c>
      <c r="C680" t="s">
        <v>693</v>
      </c>
      <c r="D680" t="s">
        <v>14</v>
      </c>
      <c r="E680">
        <v>27</v>
      </c>
      <c r="F680">
        <v>0</v>
      </c>
      <c r="G680">
        <v>0</v>
      </c>
      <c r="H680">
        <v>1</v>
      </c>
      <c r="I680">
        <v>76.729200000000006</v>
      </c>
    </row>
    <row r="681" spans="1:9" x14ac:dyDescent="0.3">
      <c r="A681">
        <v>680</v>
      </c>
      <c r="B681">
        <v>0</v>
      </c>
      <c r="C681" t="s">
        <v>694</v>
      </c>
      <c r="D681" t="s">
        <v>14</v>
      </c>
      <c r="E681">
        <v>20</v>
      </c>
      <c r="F681">
        <v>0</v>
      </c>
      <c r="G681">
        <v>0</v>
      </c>
      <c r="H681">
        <v>3</v>
      </c>
      <c r="I681">
        <v>9.2249999999999996</v>
      </c>
    </row>
    <row r="682" spans="1:9" x14ac:dyDescent="0.3">
      <c r="A682">
        <v>681</v>
      </c>
      <c r="B682">
        <v>0</v>
      </c>
      <c r="C682" t="s">
        <v>695</v>
      </c>
      <c r="D682" t="s">
        <v>14</v>
      </c>
      <c r="E682">
        <v>14</v>
      </c>
      <c r="F682">
        <v>5</v>
      </c>
      <c r="G682">
        <v>2</v>
      </c>
      <c r="H682">
        <v>3</v>
      </c>
      <c r="I682">
        <v>46.9</v>
      </c>
    </row>
    <row r="683" spans="1:9" x14ac:dyDescent="0.3">
      <c r="A683">
        <v>682</v>
      </c>
      <c r="B683">
        <v>0</v>
      </c>
      <c r="C683" t="s">
        <v>696</v>
      </c>
      <c r="D683" t="s">
        <v>14</v>
      </c>
      <c r="E683">
        <v>60</v>
      </c>
      <c r="F683">
        <v>1</v>
      </c>
      <c r="G683">
        <v>1</v>
      </c>
      <c r="H683">
        <v>2</v>
      </c>
      <c r="I683">
        <v>39</v>
      </c>
    </row>
    <row r="684" spans="1:9" x14ac:dyDescent="0.3">
      <c r="A684">
        <v>683</v>
      </c>
      <c r="B684">
        <v>0</v>
      </c>
      <c r="C684" t="s">
        <v>697</v>
      </c>
      <c r="D684" t="s">
        <v>14</v>
      </c>
      <c r="E684">
        <v>25</v>
      </c>
      <c r="F684">
        <v>1</v>
      </c>
      <c r="G684">
        <v>2</v>
      </c>
      <c r="H684">
        <v>2</v>
      </c>
      <c r="I684">
        <v>41.5792</v>
      </c>
    </row>
    <row r="685" spans="1:9" x14ac:dyDescent="0.3">
      <c r="A685">
        <v>684</v>
      </c>
      <c r="B685">
        <v>0</v>
      </c>
      <c r="C685" t="s">
        <v>698</v>
      </c>
      <c r="D685" t="s">
        <v>14</v>
      </c>
      <c r="E685">
        <v>14</v>
      </c>
      <c r="F685">
        <v>4</v>
      </c>
      <c r="G685">
        <v>1</v>
      </c>
      <c r="H685">
        <v>3</v>
      </c>
      <c r="I685">
        <v>39.6875</v>
      </c>
    </row>
    <row r="686" spans="1:9" x14ac:dyDescent="0.3">
      <c r="A686">
        <v>685</v>
      </c>
      <c r="B686">
        <v>0</v>
      </c>
      <c r="C686" t="s">
        <v>699</v>
      </c>
      <c r="D686" t="s">
        <v>14</v>
      </c>
      <c r="E686">
        <v>19</v>
      </c>
      <c r="F686">
        <v>0</v>
      </c>
      <c r="G686">
        <v>0</v>
      </c>
      <c r="H686">
        <v>3</v>
      </c>
      <c r="I686">
        <v>10.1708</v>
      </c>
    </row>
    <row r="687" spans="1:9" x14ac:dyDescent="0.3">
      <c r="A687">
        <v>686</v>
      </c>
      <c r="B687">
        <v>0</v>
      </c>
      <c r="C687" t="s">
        <v>700</v>
      </c>
      <c r="D687" t="s">
        <v>14</v>
      </c>
      <c r="E687">
        <v>18</v>
      </c>
      <c r="F687">
        <v>0</v>
      </c>
      <c r="G687">
        <v>0</v>
      </c>
      <c r="H687">
        <v>3</v>
      </c>
      <c r="I687">
        <v>7.7957999999999998</v>
      </c>
    </row>
    <row r="688" spans="1:9" x14ac:dyDescent="0.3">
      <c r="A688">
        <v>687</v>
      </c>
      <c r="B688">
        <v>1</v>
      </c>
      <c r="C688" t="s">
        <v>701</v>
      </c>
      <c r="D688" t="s">
        <v>16</v>
      </c>
      <c r="E688">
        <v>15</v>
      </c>
      <c r="F688">
        <v>0</v>
      </c>
      <c r="G688">
        <v>1</v>
      </c>
      <c r="H688">
        <v>1</v>
      </c>
      <c r="I688">
        <v>211.33750000000001</v>
      </c>
    </row>
    <row r="689" spans="1:9" x14ac:dyDescent="0.3">
      <c r="A689">
        <v>688</v>
      </c>
      <c r="B689">
        <v>1</v>
      </c>
      <c r="C689" t="s">
        <v>702</v>
      </c>
      <c r="D689" t="s">
        <v>14</v>
      </c>
      <c r="E689">
        <v>31</v>
      </c>
      <c r="F689">
        <v>1</v>
      </c>
      <c r="G689">
        <v>0</v>
      </c>
      <c r="H689">
        <v>1</v>
      </c>
      <c r="I689">
        <v>57</v>
      </c>
    </row>
    <row r="690" spans="1:9" x14ac:dyDescent="0.3">
      <c r="A690">
        <v>689</v>
      </c>
      <c r="B690">
        <v>1</v>
      </c>
      <c r="C690" t="s">
        <v>703</v>
      </c>
      <c r="D690" t="s">
        <v>16</v>
      </c>
      <c r="E690">
        <v>4</v>
      </c>
      <c r="F690">
        <v>0</v>
      </c>
      <c r="G690">
        <v>1</v>
      </c>
      <c r="H690">
        <v>3</v>
      </c>
      <c r="I690">
        <v>13.416700000000001</v>
      </c>
    </row>
    <row r="691" spans="1:9" x14ac:dyDescent="0.3">
      <c r="A691">
        <v>690</v>
      </c>
      <c r="B691">
        <v>1</v>
      </c>
      <c r="C691" t="s">
        <v>704</v>
      </c>
      <c r="D691" t="s">
        <v>14</v>
      </c>
      <c r="E691">
        <v>37</v>
      </c>
      <c r="F691">
        <v>0</v>
      </c>
      <c r="G691">
        <v>0</v>
      </c>
      <c r="H691">
        <v>3</v>
      </c>
      <c r="I691">
        <v>56.495800000000003</v>
      </c>
    </row>
    <row r="692" spans="1:9" x14ac:dyDescent="0.3">
      <c r="A692">
        <v>691</v>
      </c>
      <c r="B692">
        <v>0</v>
      </c>
      <c r="C692" t="s">
        <v>705</v>
      </c>
      <c r="D692" t="s">
        <v>14</v>
      </c>
      <c r="E692">
        <v>25</v>
      </c>
      <c r="F692">
        <v>0</v>
      </c>
      <c r="G692">
        <v>0</v>
      </c>
      <c r="H692">
        <v>3</v>
      </c>
      <c r="I692">
        <v>7.2249999999999996</v>
      </c>
    </row>
    <row r="693" spans="1:9" x14ac:dyDescent="0.3">
      <c r="A693">
        <v>692</v>
      </c>
      <c r="B693">
        <v>0</v>
      </c>
      <c r="C693" t="s">
        <v>706</v>
      </c>
      <c r="D693" t="s">
        <v>14</v>
      </c>
      <c r="E693">
        <v>60</v>
      </c>
      <c r="F693">
        <v>0</v>
      </c>
      <c r="G693">
        <v>0</v>
      </c>
      <c r="H693">
        <v>1</v>
      </c>
      <c r="I693">
        <v>26.55</v>
      </c>
    </row>
    <row r="694" spans="1:9" x14ac:dyDescent="0.3">
      <c r="A694">
        <v>693</v>
      </c>
      <c r="B694">
        <v>0</v>
      </c>
      <c r="C694" t="s">
        <v>707</v>
      </c>
      <c r="D694" t="s">
        <v>14</v>
      </c>
      <c r="E694">
        <v>52</v>
      </c>
      <c r="F694">
        <v>0</v>
      </c>
      <c r="G694">
        <v>0</v>
      </c>
      <c r="H694">
        <v>2</v>
      </c>
      <c r="I694">
        <v>13.5</v>
      </c>
    </row>
    <row r="695" spans="1:9" x14ac:dyDescent="0.3">
      <c r="A695">
        <v>694</v>
      </c>
      <c r="B695">
        <v>0</v>
      </c>
      <c r="C695" t="s">
        <v>708</v>
      </c>
      <c r="D695" t="s">
        <v>14</v>
      </c>
      <c r="E695">
        <v>44</v>
      </c>
      <c r="F695">
        <v>0</v>
      </c>
      <c r="G695">
        <v>0</v>
      </c>
      <c r="H695">
        <v>3</v>
      </c>
      <c r="I695">
        <v>8.0500000000000007</v>
      </c>
    </row>
    <row r="696" spans="1:9" x14ac:dyDescent="0.3">
      <c r="A696">
        <v>695</v>
      </c>
      <c r="B696">
        <v>1</v>
      </c>
      <c r="C696" t="s">
        <v>709</v>
      </c>
      <c r="D696" t="s">
        <v>16</v>
      </c>
      <c r="E696">
        <v>19</v>
      </c>
      <c r="F696">
        <v>0</v>
      </c>
      <c r="G696">
        <v>0</v>
      </c>
      <c r="H696">
        <v>3</v>
      </c>
      <c r="I696">
        <v>7.7332999999999998</v>
      </c>
    </row>
    <row r="697" spans="1:9" x14ac:dyDescent="0.3">
      <c r="A697">
        <v>696</v>
      </c>
      <c r="B697">
        <v>0</v>
      </c>
      <c r="C697" t="s">
        <v>710</v>
      </c>
      <c r="D697" t="s">
        <v>14</v>
      </c>
      <c r="E697">
        <v>49</v>
      </c>
      <c r="F697">
        <v>1</v>
      </c>
      <c r="G697">
        <v>1</v>
      </c>
      <c r="H697">
        <v>1</v>
      </c>
      <c r="I697">
        <v>110.88330000000001</v>
      </c>
    </row>
    <row r="698" spans="1:9" x14ac:dyDescent="0.3">
      <c r="A698">
        <v>697</v>
      </c>
      <c r="B698">
        <v>0</v>
      </c>
      <c r="C698" t="s">
        <v>711</v>
      </c>
      <c r="D698" t="s">
        <v>14</v>
      </c>
      <c r="E698">
        <v>42</v>
      </c>
      <c r="F698">
        <v>0</v>
      </c>
      <c r="G698">
        <v>0</v>
      </c>
      <c r="H698">
        <v>3</v>
      </c>
      <c r="I698">
        <v>7.65</v>
      </c>
    </row>
    <row r="699" spans="1:9" x14ac:dyDescent="0.3">
      <c r="A699">
        <v>698</v>
      </c>
      <c r="B699">
        <v>1</v>
      </c>
      <c r="C699" t="s">
        <v>712</v>
      </c>
      <c r="D699" t="s">
        <v>16</v>
      </c>
      <c r="E699">
        <v>18</v>
      </c>
      <c r="F699">
        <v>1</v>
      </c>
      <c r="G699">
        <v>0</v>
      </c>
      <c r="H699">
        <v>1</v>
      </c>
      <c r="I699">
        <v>227.52500000000001</v>
      </c>
    </row>
    <row r="700" spans="1:9" x14ac:dyDescent="0.3">
      <c r="A700">
        <v>699</v>
      </c>
      <c r="B700">
        <v>1</v>
      </c>
      <c r="C700" t="s">
        <v>713</v>
      </c>
      <c r="D700" t="s">
        <v>14</v>
      </c>
      <c r="E700">
        <v>35</v>
      </c>
      <c r="F700">
        <v>0</v>
      </c>
      <c r="G700">
        <v>0</v>
      </c>
      <c r="H700">
        <v>1</v>
      </c>
      <c r="I700">
        <v>26.287500000000001</v>
      </c>
    </row>
    <row r="701" spans="1:9" x14ac:dyDescent="0.3">
      <c r="A701">
        <v>700</v>
      </c>
      <c r="B701">
        <v>0</v>
      </c>
      <c r="C701" t="s">
        <v>714</v>
      </c>
      <c r="D701" t="s">
        <v>16</v>
      </c>
      <c r="E701">
        <v>18</v>
      </c>
      <c r="F701">
        <v>0</v>
      </c>
      <c r="G701">
        <v>1</v>
      </c>
      <c r="H701">
        <v>3</v>
      </c>
      <c r="I701">
        <v>14.4542</v>
      </c>
    </row>
    <row r="702" spans="1:9" x14ac:dyDescent="0.3">
      <c r="A702">
        <v>701</v>
      </c>
      <c r="B702">
        <v>0</v>
      </c>
      <c r="C702" t="s">
        <v>715</v>
      </c>
      <c r="D702" t="s">
        <v>14</v>
      </c>
      <c r="E702">
        <v>25</v>
      </c>
      <c r="F702">
        <v>0</v>
      </c>
      <c r="G702">
        <v>0</v>
      </c>
      <c r="H702">
        <v>3</v>
      </c>
      <c r="I702">
        <v>7.7416999999999998</v>
      </c>
    </row>
    <row r="703" spans="1:9" x14ac:dyDescent="0.3">
      <c r="A703">
        <v>702</v>
      </c>
      <c r="B703">
        <v>0</v>
      </c>
      <c r="C703" t="s">
        <v>716</v>
      </c>
      <c r="D703" t="s">
        <v>14</v>
      </c>
      <c r="E703">
        <v>26</v>
      </c>
      <c r="F703">
        <v>1</v>
      </c>
      <c r="G703">
        <v>0</v>
      </c>
      <c r="H703">
        <v>3</v>
      </c>
      <c r="I703">
        <v>7.8541999999999996</v>
      </c>
    </row>
    <row r="704" spans="1:9" x14ac:dyDescent="0.3">
      <c r="A704">
        <v>703</v>
      </c>
      <c r="B704">
        <v>0</v>
      </c>
      <c r="C704" t="s">
        <v>717</v>
      </c>
      <c r="D704" t="s">
        <v>14</v>
      </c>
      <c r="E704">
        <v>39</v>
      </c>
      <c r="F704">
        <v>0</v>
      </c>
      <c r="G704">
        <v>0</v>
      </c>
      <c r="H704">
        <v>2</v>
      </c>
      <c r="I704">
        <v>26</v>
      </c>
    </row>
    <row r="705" spans="1:9" x14ac:dyDescent="0.3">
      <c r="A705">
        <v>704</v>
      </c>
      <c r="B705">
        <v>1</v>
      </c>
      <c r="C705" t="s">
        <v>718</v>
      </c>
      <c r="D705" t="s">
        <v>16</v>
      </c>
      <c r="E705">
        <v>45</v>
      </c>
      <c r="F705">
        <v>0</v>
      </c>
      <c r="G705">
        <v>0</v>
      </c>
      <c r="H705">
        <v>2</v>
      </c>
      <c r="I705">
        <v>13.5</v>
      </c>
    </row>
    <row r="706" spans="1:9" x14ac:dyDescent="0.3">
      <c r="A706">
        <v>705</v>
      </c>
      <c r="B706">
        <v>1</v>
      </c>
      <c r="C706" t="s">
        <v>719</v>
      </c>
      <c r="D706" t="s">
        <v>14</v>
      </c>
      <c r="E706">
        <v>42</v>
      </c>
      <c r="F706">
        <v>0</v>
      </c>
      <c r="G706">
        <v>0</v>
      </c>
      <c r="H706">
        <v>1</v>
      </c>
      <c r="I706">
        <v>26.287500000000001</v>
      </c>
    </row>
    <row r="707" spans="1:9" x14ac:dyDescent="0.3">
      <c r="A707">
        <v>706</v>
      </c>
      <c r="B707">
        <v>1</v>
      </c>
      <c r="C707" t="s">
        <v>720</v>
      </c>
      <c r="D707" t="s">
        <v>16</v>
      </c>
      <c r="E707">
        <v>22</v>
      </c>
      <c r="F707">
        <v>0</v>
      </c>
      <c r="G707">
        <v>0</v>
      </c>
      <c r="H707">
        <v>1</v>
      </c>
      <c r="I707">
        <v>151.55000000000001</v>
      </c>
    </row>
    <row r="708" spans="1:9" x14ac:dyDescent="0.3">
      <c r="A708">
        <v>707</v>
      </c>
      <c r="B708">
        <v>1</v>
      </c>
      <c r="C708" t="s">
        <v>721</v>
      </c>
      <c r="D708" t="s">
        <v>14</v>
      </c>
      <c r="E708">
        <v>4</v>
      </c>
      <c r="F708">
        <v>1</v>
      </c>
      <c r="G708">
        <v>1</v>
      </c>
      <c r="H708">
        <v>3</v>
      </c>
      <c r="I708">
        <v>15.245799999999999</v>
      </c>
    </row>
    <row r="709" spans="1:9" x14ac:dyDescent="0.3">
      <c r="A709">
        <v>708</v>
      </c>
      <c r="B709">
        <v>1</v>
      </c>
      <c r="C709" t="s">
        <v>722</v>
      </c>
      <c r="D709" t="s">
        <v>16</v>
      </c>
      <c r="E709">
        <v>24</v>
      </c>
      <c r="F709">
        <v>0</v>
      </c>
      <c r="G709">
        <v>0</v>
      </c>
      <c r="H709">
        <v>1</v>
      </c>
      <c r="I709">
        <v>49.504199999999997</v>
      </c>
    </row>
    <row r="710" spans="1:9" x14ac:dyDescent="0.3">
      <c r="A710">
        <v>709</v>
      </c>
      <c r="B710">
        <v>0</v>
      </c>
      <c r="C710" t="s">
        <v>723</v>
      </c>
      <c r="D710" t="s">
        <v>14</v>
      </c>
      <c r="E710">
        <v>41</v>
      </c>
      <c r="F710">
        <v>0</v>
      </c>
      <c r="G710">
        <v>0</v>
      </c>
      <c r="H710">
        <v>1</v>
      </c>
      <c r="I710">
        <v>26.55</v>
      </c>
    </row>
    <row r="711" spans="1:9" x14ac:dyDescent="0.3">
      <c r="A711">
        <v>710</v>
      </c>
      <c r="B711">
        <v>1</v>
      </c>
      <c r="C711" t="s">
        <v>724</v>
      </c>
      <c r="D711" t="s">
        <v>14</v>
      </c>
      <c r="E711">
        <v>48</v>
      </c>
      <c r="F711">
        <v>1</v>
      </c>
      <c r="G711">
        <v>0</v>
      </c>
      <c r="H711">
        <v>1</v>
      </c>
      <c r="I711">
        <v>52</v>
      </c>
    </row>
    <row r="712" spans="1:9" x14ac:dyDescent="0.3">
      <c r="A712">
        <v>711</v>
      </c>
      <c r="B712">
        <v>0</v>
      </c>
      <c r="C712" t="s">
        <v>725</v>
      </c>
      <c r="D712" t="s">
        <v>14</v>
      </c>
      <c r="E712">
        <v>29</v>
      </c>
      <c r="F712">
        <v>0</v>
      </c>
      <c r="G712">
        <v>0</v>
      </c>
      <c r="H712">
        <v>3</v>
      </c>
      <c r="I712">
        <v>9.4832999999999998</v>
      </c>
    </row>
    <row r="713" spans="1:9" x14ac:dyDescent="0.3">
      <c r="A713">
        <v>712</v>
      </c>
      <c r="B713">
        <v>0</v>
      </c>
      <c r="C713" t="s">
        <v>726</v>
      </c>
      <c r="D713" t="s">
        <v>14</v>
      </c>
      <c r="E713">
        <v>52</v>
      </c>
      <c r="F713">
        <v>0</v>
      </c>
      <c r="G713">
        <v>0</v>
      </c>
      <c r="H713">
        <v>2</v>
      </c>
      <c r="I713">
        <v>13</v>
      </c>
    </row>
    <row r="714" spans="1:9" x14ac:dyDescent="0.3">
      <c r="A714">
        <v>713</v>
      </c>
      <c r="B714">
        <v>0</v>
      </c>
      <c r="C714" t="s">
        <v>727</v>
      </c>
      <c r="D714" t="s">
        <v>14</v>
      </c>
      <c r="E714">
        <v>19</v>
      </c>
      <c r="F714">
        <v>0</v>
      </c>
      <c r="G714">
        <v>0</v>
      </c>
      <c r="H714">
        <v>3</v>
      </c>
      <c r="I714">
        <v>7.65</v>
      </c>
    </row>
    <row r="715" spans="1:9" x14ac:dyDescent="0.3">
      <c r="A715">
        <v>714</v>
      </c>
      <c r="B715">
        <v>1</v>
      </c>
      <c r="C715" t="s">
        <v>728</v>
      </c>
      <c r="D715" t="s">
        <v>16</v>
      </c>
      <c r="E715">
        <v>38</v>
      </c>
      <c r="F715">
        <v>0</v>
      </c>
      <c r="G715">
        <v>0</v>
      </c>
      <c r="H715">
        <v>1</v>
      </c>
      <c r="I715">
        <v>227.52500000000001</v>
      </c>
    </row>
    <row r="716" spans="1:9" x14ac:dyDescent="0.3">
      <c r="A716">
        <v>715</v>
      </c>
      <c r="B716">
        <v>1</v>
      </c>
      <c r="C716" t="s">
        <v>729</v>
      </c>
      <c r="D716" t="s">
        <v>16</v>
      </c>
      <c r="E716">
        <v>27</v>
      </c>
      <c r="F716">
        <v>0</v>
      </c>
      <c r="G716">
        <v>0</v>
      </c>
      <c r="H716">
        <v>2</v>
      </c>
      <c r="I716">
        <v>10.5</v>
      </c>
    </row>
    <row r="717" spans="1:9" x14ac:dyDescent="0.3">
      <c r="A717">
        <v>716</v>
      </c>
      <c r="B717">
        <v>0</v>
      </c>
      <c r="C717" t="s">
        <v>730</v>
      </c>
      <c r="D717" t="s">
        <v>14</v>
      </c>
      <c r="E717">
        <v>33</v>
      </c>
      <c r="F717">
        <v>0</v>
      </c>
      <c r="G717">
        <v>0</v>
      </c>
      <c r="H717">
        <v>3</v>
      </c>
      <c r="I717">
        <v>7.7750000000000004</v>
      </c>
    </row>
    <row r="718" spans="1:9" x14ac:dyDescent="0.3">
      <c r="A718">
        <v>717</v>
      </c>
      <c r="B718">
        <v>1</v>
      </c>
      <c r="C718" t="s">
        <v>731</v>
      </c>
      <c r="D718" t="s">
        <v>16</v>
      </c>
      <c r="E718">
        <v>6</v>
      </c>
      <c r="F718">
        <v>0</v>
      </c>
      <c r="G718">
        <v>1</v>
      </c>
      <c r="H718">
        <v>2</v>
      </c>
      <c r="I718">
        <v>33</v>
      </c>
    </row>
    <row r="719" spans="1:9" x14ac:dyDescent="0.3">
      <c r="A719">
        <v>718</v>
      </c>
      <c r="B719">
        <v>0</v>
      </c>
      <c r="C719" t="s">
        <v>732</v>
      </c>
      <c r="D719" t="s">
        <v>14</v>
      </c>
      <c r="E719">
        <v>17</v>
      </c>
      <c r="F719">
        <v>1</v>
      </c>
      <c r="G719">
        <v>0</v>
      </c>
      <c r="H719">
        <v>3</v>
      </c>
      <c r="I719">
        <v>7.0541999999999998</v>
      </c>
    </row>
    <row r="720" spans="1:9" x14ac:dyDescent="0.3">
      <c r="A720">
        <v>719</v>
      </c>
      <c r="B720">
        <v>0</v>
      </c>
      <c r="C720" t="s">
        <v>733</v>
      </c>
      <c r="D720" t="s">
        <v>14</v>
      </c>
      <c r="E720">
        <v>34</v>
      </c>
      <c r="F720">
        <v>0</v>
      </c>
      <c r="G720">
        <v>0</v>
      </c>
      <c r="H720">
        <v>2</v>
      </c>
      <c r="I720">
        <v>13</v>
      </c>
    </row>
    <row r="721" spans="1:9" x14ac:dyDescent="0.3">
      <c r="A721">
        <v>720</v>
      </c>
      <c r="B721">
        <v>0</v>
      </c>
      <c r="C721" t="s">
        <v>734</v>
      </c>
      <c r="D721" t="s">
        <v>14</v>
      </c>
      <c r="E721">
        <v>50</v>
      </c>
      <c r="F721">
        <v>0</v>
      </c>
      <c r="G721">
        <v>0</v>
      </c>
      <c r="H721">
        <v>2</v>
      </c>
      <c r="I721">
        <v>13</v>
      </c>
    </row>
    <row r="722" spans="1:9" x14ac:dyDescent="0.3">
      <c r="A722">
        <v>721</v>
      </c>
      <c r="B722">
        <v>1</v>
      </c>
      <c r="C722" t="s">
        <v>735</v>
      </c>
      <c r="D722" t="s">
        <v>14</v>
      </c>
      <c r="E722">
        <v>27</v>
      </c>
      <c r="F722">
        <v>1</v>
      </c>
      <c r="G722">
        <v>0</v>
      </c>
      <c r="H722">
        <v>1</v>
      </c>
      <c r="I722">
        <v>53.1</v>
      </c>
    </row>
    <row r="723" spans="1:9" x14ac:dyDescent="0.3">
      <c r="A723">
        <v>722</v>
      </c>
      <c r="B723">
        <v>0</v>
      </c>
      <c r="C723" t="s">
        <v>736</v>
      </c>
      <c r="D723" t="s">
        <v>14</v>
      </c>
      <c r="E723">
        <v>20</v>
      </c>
      <c r="F723">
        <v>0</v>
      </c>
      <c r="G723">
        <v>0</v>
      </c>
      <c r="H723">
        <v>3</v>
      </c>
      <c r="I723">
        <v>8.6624999999999996</v>
      </c>
    </row>
    <row r="724" spans="1:9" x14ac:dyDescent="0.3">
      <c r="A724">
        <v>723</v>
      </c>
      <c r="B724">
        <v>1</v>
      </c>
      <c r="C724" t="s">
        <v>737</v>
      </c>
      <c r="D724" t="s">
        <v>16</v>
      </c>
      <c r="E724">
        <v>30</v>
      </c>
      <c r="F724">
        <v>3</v>
      </c>
      <c r="G724">
        <v>0</v>
      </c>
      <c r="H724">
        <v>2</v>
      </c>
      <c r="I724">
        <v>21</v>
      </c>
    </row>
    <row r="725" spans="1:9" x14ac:dyDescent="0.3">
      <c r="A725">
        <v>724</v>
      </c>
      <c r="B725">
        <v>1</v>
      </c>
      <c r="C725" t="s">
        <v>738</v>
      </c>
      <c r="D725" t="s">
        <v>16</v>
      </c>
      <c r="E725">
        <v>28</v>
      </c>
      <c r="F725">
        <v>0</v>
      </c>
      <c r="G725">
        <v>0</v>
      </c>
      <c r="H725">
        <v>3</v>
      </c>
      <c r="I725">
        <v>7.7374999999999998</v>
      </c>
    </row>
    <row r="726" spans="1:9" x14ac:dyDescent="0.3">
      <c r="A726">
        <v>725</v>
      </c>
      <c r="B726">
        <v>0</v>
      </c>
      <c r="C726" t="s">
        <v>739</v>
      </c>
      <c r="D726" t="s">
        <v>14</v>
      </c>
      <c r="E726">
        <v>25</v>
      </c>
      <c r="F726">
        <v>1</v>
      </c>
      <c r="G726">
        <v>0</v>
      </c>
      <c r="H726">
        <v>2</v>
      </c>
      <c r="I726">
        <v>26</v>
      </c>
    </row>
    <row r="727" spans="1:9" x14ac:dyDescent="0.3">
      <c r="A727">
        <v>726</v>
      </c>
      <c r="B727">
        <v>0</v>
      </c>
      <c r="C727" t="s">
        <v>740</v>
      </c>
      <c r="D727" t="s">
        <v>16</v>
      </c>
      <c r="E727">
        <v>25</v>
      </c>
      <c r="F727">
        <v>1</v>
      </c>
      <c r="G727">
        <v>0</v>
      </c>
      <c r="H727">
        <v>3</v>
      </c>
      <c r="I727">
        <v>7.9249999999999998</v>
      </c>
    </row>
    <row r="728" spans="1:9" x14ac:dyDescent="0.3">
      <c r="A728">
        <v>727</v>
      </c>
      <c r="B728">
        <v>1</v>
      </c>
      <c r="C728" t="s">
        <v>741</v>
      </c>
      <c r="D728" t="s">
        <v>16</v>
      </c>
      <c r="E728">
        <v>29</v>
      </c>
      <c r="F728">
        <v>0</v>
      </c>
      <c r="G728">
        <v>0</v>
      </c>
      <c r="H728">
        <v>1</v>
      </c>
      <c r="I728">
        <v>211.33750000000001</v>
      </c>
    </row>
    <row r="729" spans="1:9" x14ac:dyDescent="0.3">
      <c r="A729">
        <v>728</v>
      </c>
      <c r="B729">
        <v>0</v>
      </c>
      <c r="C729" t="s">
        <v>742</v>
      </c>
      <c r="D729" t="s">
        <v>14</v>
      </c>
      <c r="E729">
        <v>11</v>
      </c>
      <c r="F729">
        <v>0</v>
      </c>
      <c r="G729">
        <v>0</v>
      </c>
      <c r="H729">
        <v>3</v>
      </c>
      <c r="I729">
        <v>18.787500000000001</v>
      </c>
    </row>
    <row r="730" spans="1:9" x14ac:dyDescent="0.3">
      <c r="A730">
        <v>729</v>
      </c>
      <c r="B730">
        <v>0</v>
      </c>
      <c r="C730" t="s">
        <v>743</v>
      </c>
      <c r="D730" t="s">
        <v>14</v>
      </c>
      <c r="E730">
        <v>41</v>
      </c>
      <c r="F730">
        <v>0</v>
      </c>
      <c r="G730">
        <v>0</v>
      </c>
      <c r="H730">
        <v>2</v>
      </c>
      <c r="I730">
        <v>0</v>
      </c>
    </row>
    <row r="731" spans="1:9" x14ac:dyDescent="0.3">
      <c r="A731">
        <v>730</v>
      </c>
      <c r="B731">
        <v>0</v>
      </c>
      <c r="C731" t="s">
        <v>744</v>
      </c>
      <c r="D731" t="s">
        <v>14</v>
      </c>
      <c r="E731">
        <v>23</v>
      </c>
      <c r="F731">
        <v>0</v>
      </c>
      <c r="G731">
        <v>0</v>
      </c>
      <c r="H731">
        <v>2</v>
      </c>
      <c r="I731">
        <v>13</v>
      </c>
    </row>
    <row r="732" spans="1:9" x14ac:dyDescent="0.3">
      <c r="A732">
        <v>731</v>
      </c>
      <c r="B732">
        <v>0</v>
      </c>
      <c r="C732" t="s">
        <v>745</v>
      </c>
      <c r="D732" t="s">
        <v>14</v>
      </c>
      <c r="E732">
        <v>23</v>
      </c>
      <c r="F732">
        <v>0</v>
      </c>
      <c r="G732">
        <v>0</v>
      </c>
      <c r="H732">
        <v>2</v>
      </c>
      <c r="I732">
        <v>13</v>
      </c>
    </row>
    <row r="733" spans="1:9" x14ac:dyDescent="0.3">
      <c r="A733">
        <v>732</v>
      </c>
      <c r="B733">
        <v>0</v>
      </c>
      <c r="C733" t="s">
        <v>746</v>
      </c>
      <c r="D733" t="s">
        <v>14</v>
      </c>
      <c r="E733">
        <v>28.5</v>
      </c>
      <c r="F733">
        <v>0</v>
      </c>
      <c r="G733">
        <v>0</v>
      </c>
      <c r="H733">
        <v>3</v>
      </c>
      <c r="I733">
        <v>16.100000000000001</v>
      </c>
    </row>
    <row r="734" spans="1:9" x14ac:dyDescent="0.3">
      <c r="A734">
        <v>733</v>
      </c>
      <c r="B734">
        <v>0</v>
      </c>
      <c r="C734" t="s">
        <v>747</v>
      </c>
      <c r="D734" t="s">
        <v>16</v>
      </c>
      <c r="E734">
        <v>48</v>
      </c>
      <c r="F734">
        <v>1</v>
      </c>
      <c r="G734">
        <v>3</v>
      </c>
      <c r="H734">
        <v>3</v>
      </c>
      <c r="I734">
        <v>34.375</v>
      </c>
    </row>
    <row r="735" spans="1:9" x14ac:dyDescent="0.3">
      <c r="A735">
        <v>734</v>
      </c>
      <c r="B735">
        <v>1</v>
      </c>
      <c r="C735" t="s">
        <v>748</v>
      </c>
      <c r="D735" t="s">
        <v>14</v>
      </c>
      <c r="E735">
        <v>35</v>
      </c>
      <c r="F735">
        <v>0</v>
      </c>
      <c r="G735">
        <v>0</v>
      </c>
      <c r="H735">
        <v>1</v>
      </c>
      <c r="I735">
        <v>512.32920000000001</v>
      </c>
    </row>
    <row r="736" spans="1:9" x14ac:dyDescent="0.3">
      <c r="A736">
        <v>735</v>
      </c>
      <c r="B736">
        <v>0</v>
      </c>
      <c r="C736" t="s">
        <v>749</v>
      </c>
      <c r="D736" t="s">
        <v>14</v>
      </c>
      <c r="E736">
        <v>20</v>
      </c>
      <c r="F736">
        <v>0</v>
      </c>
      <c r="G736">
        <v>0</v>
      </c>
      <c r="H736">
        <v>3</v>
      </c>
      <c r="I736">
        <v>7.8958000000000004</v>
      </c>
    </row>
    <row r="737" spans="1:9" x14ac:dyDescent="0.3">
      <c r="A737">
        <v>736</v>
      </c>
      <c r="B737">
        <v>0</v>
      </c>
      <c r="C737" t="s">
        <v>750</v>
      </c>
      <c r="D737" t="s">
        <v>14</v>
      </c>
      <c r="E737">
        <v>32</v>
      </c>
      <c r="F737">
        <v>0</v>
      </c>
      <c r="G737">
        <v>0</v>
      </c>
      <c r="H737">
        <v>3</v>
      </c>
      <c r="I737">
        <v>7.8958000000000004</v>
      </c>
    </row>
    <row r="738" spans="1:9" x14ac:dyDescent="0.3">
      <c r="A738">
        <v>737</v>
      </c>
      <c r="B738">
        <v>1</v>
      </c>
      <c r="C738" t="s">
        <v>751</v>
      </c>
      <c r="D738" t="s">
        <v>14</v>
      </c>
      <c r="E738">
        <v>45</v>
      </c>
      <c r="F738">
        <v>0</v>
      </c>
      <c r="G738">
        <v>0</v>
      </c>
      <c r="H738">
        <v>1</v>
      </c>
      <c r="I738">
        <v>30</v>
      </c>
    </row>
    <row r="739" spans="1:9" x14ac:dyDescent="0.3">
      <c r="A739">
        <v>738</v>
      </c>
      <c r="B739">
        <v>0</v>
      </c>
      <c r="C739" t="s">
        <v>752</v>
      </c>
      <c r="D739" t="s">
        <v>14</v>
      </c>
      <c r="E739">
        <v>36</v>
      </c>
      <c r="F739">
        <v>1</v>
      </c>
      <c r="G739">
        <v>0</v>
      </c>
      <c r="H739">
        <v>1</v>
      </c>
      <c r="I739">
        <v>78.849999999999994</v>
      </c>
    </row>
    <row r="740" spans="1:9" x14ac:dyDescent="0.3">
      <c r="A740">
        <v>739</v>
      </c>
      <c r="B740">
        <v>1</v>
      </c>
      <c r="C740" t="s">
        <v>753</v>
      </c>
      <c r="D740" t="s">
        <v>16</v>
      </c>
      <c r="E740">
        <v>21</v>
      </c>
      <c r="F740">
        <v>2</v>
      </c>
      <c r="G740">
        <v>2</v>
      </c>
      <c r="H740">
        <v>1</v>
      </c>
      <c r="I740">
        <v>262.375</v>
      </c>
    </row>
    <row r="741" spans="1:9" x14ac:dyDescent="0.3">
      <c r="A741">
        <v>740</v>
      </c>
      <c r="B741">
        <v>0</v>
      </c>
      <c r="C741" t="s">
        <v>754</v>
      </c>
      <c r="D741" t="s">
        <v>14</v>
      </c>
      <c r="E741">
        <v>24</v>
      </c>
      <c r="F741">
        <v>1</v>
      </c>
      <c r="G741">
        <v>0</v>
      </c>
      <c r="H741">
        <v>3</v>
      </c>
      <c r="I741">
        <v>16.100000000000001</v>
      </c>
    </row>
    <row r="742" spans="1:9" x14ac:dyDescent="0.3">
      <c r="A742">
        <v>741</v>
      </c>
      <c r="B742">
        <v>1</v>
      </c>
      <c r="C742" t="s">
        <v>755</v>
      </c>
      <c r="D742" t="s">
        <v>14</v>
      </c>
      <c r="E742">
        <v>31</v>
      </c>
      <c r="F742">
        <v>0</v>
      </c>
      <c r="G742">
        <v>0</v>
      </c>
      <c r="H742">
        <v>3</v>
      </c>
      <c r="I742">
        <v>7.9249999999999998</v>
      </c>
    </row>
    <row r="743" spans="1:9" x14ac:dyDescent="0.3">
      <c r="A743">
        <v>742</v>
      </c>
      <c r="B743">
        <v>0</v>
      </c>
      <c r="C743" t="s">
        <v>756</v>
      </c>
      <c r="D743" t="s">
        <v>14</v>
      </c>
      <c r="E743">
        <v>70</v>
      </c>
      <c r="F743">
        <v>1</v>
      </c>
      <c r="G743">
        <v>1</v>
      </c>
      <c r="H743">
        <v>1</v>
      </c>
      <c r="I743">
        <v>71</v>
      </c>
    </row>
    <row r="744" spans="1:9" x14ac:dyDescent="0.3">
      <c r="A744">
        <v>743</v>
      </c>
      <c r="B744">
        <v>0</v>
      </c>
      <c r="C744" t="s">
        <v>757</v>
      </c>
      <c r="D744" t="s">
        <v>14</v>
      </c>
      <c r="E744">
        <v>16</v>
      </c>
      <c r="F744">
        <v>1</v>
      </c>
      <c r="G744">
        <v>1</v>
      </c>
      <c r="H744">
        <v>3</v>
      </c>
      <c r="I744">
        <v>20.25</v>
      </c>
    </row>
    <row r="745" spans="1:9" x14ac:dyDescent="0.3">
      <c r="A745">
        <v>744</v>
      </c>
      <c r="B745">
        <v>1</v>
      </c>
      <c r="C745" t="s">
        <v>758</v>
      </c>
      <c r="D745" t="s">
        <v>16</v>
      </c>
      <c r="E745">
        <v>30</v>
      </c>
      <c r="F745">
        <v>0</v>
      </c>
      <c r="G745">
        <v>0</v>
      </c>
      <c r="H745">
        <v>2</v>
      </c>
      <c r="I745">
        <v>13</v>
      </c>
    </row>
    <row r="746" spans="1:9" x14ac:dyDescent="0.3">
      <c r="A746">
        <v>745</v>
      </c>
      <c r="B746">
        <v>0</v>
      </c>
      <c r="C746" t="s">
        <v>759</v>
      </c>
      <c r="D746" t="s">
        <v>14</v>
      </c>
      <c r="E746">
        <v>19</v>
      </c>
      <c r="F746">
        <v>1</v>
      </c>
      <c r="G746">
        <v>0</v>
      </c>
      <c r="H746">
        <v>1</v>
      </c>
      <c r="I746">
        <v>53.1</v>
      </c>
    </row>
    <row r="747" spans="1:9" x14ac:dyDescent="0.3">
      <c r="A747">
        <v>746</v>
      </c>
      <c r="B747">
        <v>0</v>
      </c>
      <c r="C747" t="s">
        <v>760</v>
      </c>
      <c r="D747" t="s">
        <v>14</v>
      </c>
      <c r="E747">
        <v>31</v>
      </c>
      <c r="F747">
        <v>0</v>
      </c>
      <c r="G747">
        <v>0</v>
      </c>
      <c r="H747">
        <v>3</v>
      </c>
      <c r="I747">
        <v>7.75</v>
      </c>
    </row>
    <row r="748" spans="1:9" x14ac:dyDescent="0.3">
      <c r="A748">
        <v>747</v>
      </c>
      <c r="B748">
        <v>1</v>
      </c>
      <c r="C748" t="s">
        <v>761</v>
      </c>
      <c r="D748" t="s">
        <v>16</v>
      </c>
      <c r="E748">
        <v>4</v>
      </c>
      <c r="F748">
        <v>1</v>
      </c>
      <c r="G748">
        <v>1</v>
      </c>
      <c r="H748">
        <v>2</v>
      </c>
      <c r="I748">
        <v>23</v>
      </c>
    </row>
    <row r="749" spans="1:9" x14ac:dyDescent="0.3">
      <c r="A749">
        <v>748</v>
      </c>
      <c r="B749">
        <v>1</v>
      </c>
      <c r="C749" t="s">
        <v>762</v>
      </c>
      <c r="D749" t="s">
        <v>14</v>
      </c>
      <c r="E749">
        <v>6</v>
      </c>
      <c r="F749">
        <v>0</v>
      </c>
      <c r="G749">
        <v>1</v>
      </c>
      <c r="H749">
        <v>3</v>
      </c>
      <c r="I749">
        <v>12.475</v>
      </c>
    </row>
    <row r="750" spans="1:9" x14ac:dyDescent="0.3">
      <c r="A750">
        <v>749</v>
      </c>
      <c r="B750">
        <v>0</v>
      </c>
      <c r="C750" t="s">
        <v>763</v>
      </c>
      <c r="D750" t="s">
        <v>14</v>
      </c>
      <c r="E750">
        <v>33</v>
      </c>
      <c r="F750">
        <v>0</v>
      </c>
      <c r="G750">
        <v>0</v>
      </c>
      <c r="H750">
        <v>3</v>
      </c>
      <c r="I750">
        <v>9.5</v>
      </c>
    </row>
    <row r="751" spans="1:9" x14ac:dyDescent="0.3">
      <c r="A751">
        <v>750</v>
      </c>
      <c r="B751">
        <v>0</v>
      </c>
      <c r="C751" t="s">
        <v>764</v>
      </c>
      <c r="D751" t="s">
        <v>14</v>
      </c>
      <c r="E751">
        <v>23</v>
      </c>
      <c r="F751">
        <v>0</v>
      </c>
      <c r="G751">
        <v>0</v>
      </c>
      <c r="H751">
        <v>3</v>
      </c>
      <c r="I751">
        <v>7.8958000000000004</v>
      </c>
    </row>
    <row r="752" spans="1:9" x14ac:dyDescent="0.3">
      <c r="A752">
        <v>751</v>
      </c>
      <c r="B752">
        <v>1</v>
      </c>
      <c r="C752" t="s">
        <v>765</v>
      </c>
      <c r="D752" t="s">
        <v>16</v>
      </c>
      <c r="E752">
        <v>48</v>
      </c>
      <c r="F752">
        <v>1</v>
      </c>
      <c r="G752">
        <v>2</v>
      </c>
      <c r="H752">
        <v>2</v>
      </c>
      <c r="I752">
        <v>65</v>
      </c>
    </row>
    <row r="753" spans="1:9" x14ac:dyDescent="0.3">
      <c r="A753">
        <v>752</v>
      </c>
      <c r="B753">
        <v>1</v>
      </c>
      <c r="C753" t="s">
        <v>766</v>
      </c>
      <c r="D753" t="s">
        <v>14</v>
      </c>
      <c r="E753">
        <v>0.67</v>
      </c>
      <c r="F753">
        <v>1</v>
      </c>
      <c r="G753">
        <v>1</v>
      </c>
      <c r="H753">
        <v>2</v>
      </c>
      <c r="I753">
        <v>14.5</v>
      </c>
    </row>
    <row r="754" spans="1:9" x14ac:dyDescent="0.3">
      <c r="A754">
        <v>753</v>
      </c>
      <c r="B754">
        <v>0</v>
      </c>
      <c r="C754" t="s">
        <v>767</v>
      </c>
      <c r="D754" t="s">
        <v>14</v>
      </c>
      <c r="E754">
        <v>28</v>
      </c>
      <c r="F754">
        <v>0</v>
      </c>
      <c r="G754">
        <v>0</v>
      </c>
      <c r="H754">
        <v>3</v>
      </c>
      <c r="I754">
        <v>7.7957999999999998</v>
      </c>
    </row>
    <row r="755" spans="1:9" x14ac:dyDescent="0.3">
      <c r="A755">
        <v>754</v>
      </c>
      <c r="B755">
        <v>0</v>
      </c>
      <c r="C755" t="s">
        <v>768</v>
      </c>
      <c r="D755" t="s">
        <v>14</v>
      </c>
      <c r="E755">
        <v>18</v>
      </c>
      <c r="F755">
        <v>0</v>
      </c>
      <c r="G755">
        <v>0</v>
      </c>
      <c r="H755">
        <v>2</v>
      </c>
      <c r="I755">
        <v>11.5</v>
      </c>
    </row>
    <row r="756" spans="1:9" x14ac:dyDescent="0.3">
      <c r="A756">
        <v>755</v>
      </c>
      <c r="B756">
        <v>0</v>
      </c>
      <c r="C756" t="s">
        <v>769</v>
      </c>
      <c r="D756" t="s">
        <v>14</v>
      </c>
      <c r="E756">
        <v>34</v>
      </c>
      <c r="F756">
        <v>0</v>
      </c>
      <c r="G756">
        <v>0</v>
      </c>
      <c r="H756">
        <v>3</v>
      </c>
      <c r="I756">
        <v>8.0500000000000007</v>
      </c>
    </row>
    <row r="757" spans="1:9" x14ac:dyDescent="0.3">
      <c r="A757">
        <v>756</v>
      </c>
      <c r="B757">
        <v>1</v>
      </c>
      <c r="C757" t="s">
        <v>770</v>
      </c>
      <c r="D757" t="s">
        <v>16</v>
      </c>
      <c r="E757">
        <v>33</v>
      </c>
      <c r="F757">
        <v>0</v>
      </c>
      <c r="G757">
        <v>0</v>
      </c>
      <c r="H757">
        <v>1</v>
      </c>
      <c r="I757">
        <v>86.5</v>
      </c>
    </row>
    <row r="758" spans="1:9" x14ac:dyDescent="0.3">
      <c r="A758">
        <v>757</v>
      </c>
      <c r="B758">
        <v>0</v>
      </c>
      <c r="C758" t="s">
        <v>771</v>
      </c>
      <c r="D758" t="s">
        <v>14</v>
      </c>
      <c r="E758">
        <v>23</v>
      </c>
      <c r="F758">
        <v>0</v>
      </c>
      <c r="G758">
        <v>0</v>
      </c>
      <c r="H758">
        <v>3</v>
      </c>
      <c r="I758">
        <v>14.5</v>
      </c>
    </row>
    <row r="759" spans="1:9" x14ac:dyDescent="0.3">
      <c r="A759">
        <v>758</v>
      </c>
      <c r="B759">
        <v>0</v>
      </c>
      <c r="C759" t="s">
        <v>772</v>
      </c>
      <c r="D759" t="s">
        <v>14</v>
      </c>
      <c r="E759">
        <v>41</v>
      </c>
      <c r="F759">
        <v>0</v>
      </c>
      <c r="G759">
        <v>0</v>
      </c>
      <c r="H759">
        <v>3</v>
      </c>
      <c r="I759">
        <v>7.125</v>
      </c>
    </row>
    <row r="760" spans="1:9" x14ac:dyDescent="0.3">
      <c r="A760">
        <v>759</v>
      </c>
      <c r="B760">
        <v>1</v>
      </c>
      <c r="C760" t="s">
        <v>773</v>
      </c>
      <c r="D760" t="s">
        <v>14</v>
      </c>
      <c r="E760">
        <v>20</v>
      </c>
      <c r="F760">
        <v>0</v>
      </c>
      <c r="G760">
        <v>0</v>
      </c>
      <c r="H760">
        <v>3</v>
      </c>
      <c r="I760">
        <v>7.2291999999999996</v>
      </c>
    </row>
    <row r="761" spans="1:9" x14ac:dyDescent="0.3">
      <c r="A761">
        <v>760</v>
      </c>
      <c r="B761">
        <v>1</v>
      </c>
      <c r="C761" t="s">
        <v>774</v>
      </c>
      <c r="D761" t="s">
        <v>16</v>
      </c>
      <c r="E761">
        <v>36</v>
      </c>
      <c r="F761">
        <v>1</v>
      </c>
      <c r="G761">
        <v>2</v>
      </c>
      <c r="H761">
        <v>1</v>
      </c>
      <c r="I761">
        <v>120</v>
      </c>
    </row>
    <row r="762" spans="1:9" x14ac:dyDescent="0.3">
      <c r="A762">
        <v>761</v>
      </c>
      <c r="B762">
        <v>0</v>
      </c>
      <c r="C762" t="s">
        <v>775</v>
      </c>
      <c r="D762" t="s">
        <v>14</v>
      </c>
      <c r="E762">
        <v>16</v>
      </c>
      <c r="F762">
        <v>0</v>
      </c>
      <c r="G762">
        <v>0</v>
      </c>
      <c r="H762">
        <v>3</v>
      </c>
      <c r="I762">
        <v>7.7750000000000004</v>
      </c>
    </row>
    <row r="763" spans="1:9" x14ac:dyDescent="0.3">
      <c r="A763">
        <v>762</v>
      </c>
      <c r="B763">
        <v>1</v>
      </c>
      <c r="C763" t="s">
        <v>776</v>
      </c>
      <c r="D763" t="s">
        <v>16</v>
      </c>
      <c r="E763">
        <v>51</v>
      </c>
      <c r="F763">
        <v>1</v>
      </c>
      <c r="G763">
        <v>0</v>
      </c>
      <c r="H763">
        <v>1</v>
      </c>
      <c r="I763">
        <v>77.958299999999994</v>
      </c>
    </row>
    <row r="764" spans="1:9" x14ac:dyDescent="0.3">
      <c r="A764">
        <v>763</v>
      </c>
      <c r="B764">
        <v>0</v>
      </c>
      <c r="C764" t="s">
        <v>777</v>
      </c>
      <c r="D764" t="s">
        <v>14</v>
      </c>
      <c r="E764">
        <v>46</v>
      </c>
      <c r="F764">
        <v>0</v>
      </c>
      <c r="G764">
        <v>0</v>
      </c>
      <c r="H764">
        <v>1</v>
      </c>
      <c r="I764">
        <v>39.6</v>
      </c>
    </row>
    <row r="765" spans="1:9" x14ac:dyDescent="0.3">
      <c r="A765">
        <v>764</v>
      </c>
      <c r="B765">
        <v>0</v>
      </c>
      <c r="C765" t="s">
        <v>778</v>
      </c>
      <c r="D765" t="s">
        <v>16</v>
      </c>
      <c r="E765">
        <v>30.5</v>
      </c>
      <c r="F765">
        <v>0</v>
      </c>
      <c r="G765">
        <v>0</v>
      </c>
      <c r="H765">
        <v>3</v>
      </c>
      <c r="I765">
        <v>7.75</v>
      </c>
    </row>
    <row r="766" spans="1:9" x14ac:dyDescent="0.3">
      <c r="A766">
        <v>765</v>
      </c>
      <c r="B766">
        <v>0</v>
      </c>
      <c r="C766" t="s">
        <v>779</v>
      </c>
      <c r="D766" t="s">
        <v>14</v>
      </c>
      <c r="E766">
        <v>28</v>
      </c>
      <c r="F766">
        <v>1</v>
      </c>
      <c r="G766">
        <v>0</v>
      </c>
      <c r="H766">
        <v>3</v>
      </c>
      <c r="I766">
        <v>24.15</v>
      </c>
    </row>
    <row r="767" spans="1:9" x14ac:dyDescent="0.3">
      <c r="A767">
        <v>766</v>
      </c>
      <c r="B767">
        <v>0</v>
      </c>
      <c r="C767" t="s">
        <v>780</v>
      </c>
      <c r="D767" t="s">
        <v>14</v>
      </c>
      <c r="E767">
        <v>32</v>
      </c>
      <c r="F767">
        <v>0</v>
      </c>
      <c r="G767">
        <v>0</v>
      </c>
      <c r="H767">
        <v>3</v>
      </c>
      <c r="I767">
        <v>8.3625000000000007</v>
      </c>
    </row>
    <row r="768" spans="1:9" x14ac:dyDescent="0.3">
      <c r="A768">
        <v>767</v>
      </c>
      <c r="B768">
        <v>0</v>
      </c>
      <c r="C768" t="s">
        <v>781</v>
      </c>
      <c r="D768" t="s">
        <v>14</v>
      </c>
      <c r="E768">
        <v>24</v>
      </c>
      <c r="F768">
        <v>0</v>
      </c>
      <c r="G768">
        <v>0</v>
      </c>
      <c r="H768">
        <v>3</v>
      </c>
      <c r="I768">
        <v>9.5</v>
      </c>
    </row>
    <row r="769" spans="1:9" x14ac:dyDescent="0.3">
      <c r="A769">
        <v>768</v>
      </c>
      <c r="B769">
        <v>0</v>
      </c>
      <c r="C769" t="s">
        <v>782</v>
      </c>
      <c r="D769" t="s">
        <v>14</v>
      </c>
      <c r="E769">
        <v>48</v>
      </c>
      <c r="F769">
        <v>0</v>
      </c>
      <c r="G769">
        <v>0</v>
      </c>
      <c r="H769">
        <v>3</v>
      </c>
      <c r="I769">
        <v>7.8541999999999996</v>
      </c>
    </row>
    <row r="770" spans="1:9" x14ac:dyDescent="0.3">
      <c r="A770">
        <v>769</v>
      </c>
      <c r="B770">
        <v>0</v>
      </c>
      <c r="C770" t="s">
        <v>783</v>
      </c>
      <c r="D770" t="s">
        <v>16</v>
      </c>
      <c r="E770">
        <v>57</v>
      </c>
      <c r="F770">
        <v>0</v>
      </c>
      <c r="G770">
        <v>0</v>
      </c>
      <c r="H770">
        <v>2</v>
      </c>
      <c r="I770">
        <v>10.5</v>
      </c>
    </row>
    <row r="771" spans="1:9" x14ac:dyDescent="0.3">
      <c r="A771">
        <v>770</v>
      </c>
      <c r="B771">
        <v>0</v>
      </c>
      <c r="C771" t="s">
        <v>784</v>
      </c>
      <c r="D771" t="s">
        <v>14</v>
      </c>
      <c r="E771">
        <v>29</v>
      </c>
      <c r="F771">
        <v>0</v>
      </c>
      <c r="G771">
        <v>0</v>
      </c>
      <c r="H771">
        <v>3</v>
      </c>
      <c r="I771">
        <v>7.2249999999999996</v>
      </c>
    </row>
    <row r="772" spans="1:9" x14ac:dyDescent="0.3">
      <c r="A772">
        <v>771</v>
      </c>
      <c r="B772">
        <v>1</v>
      </c>
      <c r="C772" t="s">
        <v>785</v>
      </c>
      <c r="D772" t="s">
        <v>16</v>
      </c>
      <c r="E772">
        <v>54</v>
      </c>
      <c r="F772">
        <v>1</v>
      </c>
      <c r="G772">
        <v>3</v>
      </c>
      <c r="H772">
        <v>2</v>
      </c>
      <c r="I772">
        <v>23</v>
      </c>
    </row>
    <row r="773" spans="1:9" x14ac:dyDescent="0.3">
      <c r="A773">
        <v>772</v>
      </c>
      <c r="B773">
        <v>0</v>
      </c>
      <c r="C773" t="s">
        <v>786</v>
      </c>
      <c r="D773" t="s">
        <v>14</v>
      </c>
      <c r="E773">
        <v>18</v>
      </c>
      <c r="F773">
        <v>0</v>
      </c>
      <c r="G773">
        <v>0</v>
      </c>
      <c r="H773">
        <v>3</v>
      </c>
      <c r="I773">
        <v>7.75</v>
      </c>
    </row>
    <row r="774" spans="1:9" x14ac:dyDescent="0.3">
      <c r="A774">
        <v>773</v>
      </c>
      <c r="B774">
        <v>0</v>
      </c>
      <c r="C774" t="s">
        <v>787</v>
      </c>
      <c r="D774" t="s">
        <v>14</v>
      </c>
      <c r="E774">
        <v>20</v>
      </c>
      <c r="F774">
        <v>0</v>
      </c>
      <c r="G774">
        <v>0</v>
      </c>
      <c r="H774">
        <v>3</v>
      </c>
      <c r="I774">
        <v>7.75</v>
      </c>
    </row>
    <row r="775" spans="1:9" x14ac:dyDescent="0.3">
      <c r="A775">
        <v>774</v>
      </c>
      <c r="B775">
        <v>1</v>
      </c>
      <c r="C775" t="s">
        <v>788</v>
      </c>
      <c r="D775" t="s">
        <v>16</v>
      </c>
      <c r="E775">
        <v>5</v>
      </c>
      <c r="F775">
        <v>0</v>
      </c>
      <c r="G775">
        <v>0</v>
      </c>
      <c r="H775">
        <v>3</v>
      </c>
      <c r="I775">
        <v>12.475</v>
      </c>
    </row>
    <row r="776" spans="1:9" x14ac:dyDescent="0.3">
      <c r="A776">
        <v>775</v>
      </c>
      <c r="B776">
        <v>0</v>
      </c>
      <c r="C776" t="s">
        <v>789</v>
      </c>
      <c r="D776" t="s">
        <v>14</v>
      </c>
      <c r="E776">
        <v>22</v>
      </c>
      <c r="F776">
        <v>0</v>
      </c>
      <c r="G776">
        <v>0</v>
      </c>
      <c r="H776">
        <v>3</v>
      </c>
      <c r="I776">
        <v>7.7374999999999998</v>
      </c>
    </row>
    <row r="777" spans="1:9" x14ac:dyDescent="0.3">
      <c r="A777">
        <v>776</v>
      </c>
      <c r="B777">
        <v>1</v>
      </c>
      <c r="C777" t="s">
        <v>790</v>
      </c>
      <c r="D777" t="s">
        <v>16</v>
      </c>
      <c r="E777">
        <v>43</v>
      </c>
      <c r="F777">
        <v>0</v>
      </c>
      <c r="G777">
        <v>1</v>
      </c>
      <c r="H777">
        <v>1</v>
      </c>
      <c r="I777">
        <v>211.33750000000001</v>
      </c>
    </row>
    <row r="778" spans="1:9" x14ac:dyDescent="0.3">
      <c r="A778">
        <v>777</v>
      </c>
      <c r="B778">
        <v>1</v>
      </c>
      <c r="C778" t="s">
        <v>791</v>
      </c>
      <c r="D778" t="s">
        <v>16</v>
      </c>
      <c r="E778">
        <v>13</v>
      </c>
      <c r="F778">
        <v>0</v>
      </c>
      <c r="G778">
        <v>0</v>
      </c>
      <c r="H778">
        <v>3</v>
      </c>
      <c r="I778">
        <v>7.2291999999999996</v>
      </c>
    </row>
    <row r="779" spans="1:9" x14ac:dyDescent="0.3">
      <c r="A779">
        <v>778</v>
      </c>
      <c r="B779">
        <v>1</v>
      </c>
      <c r="C779" t="s">
        <v>792</v>
      </c>
      <c r="D779" t="s">
        <v>16</v>
      </c>
      <c r="E779">
        <v>17</v>
      </c>
      <c r="F779">
        <v>1</v>
      </c>
      <c r="G779">
        <v>0</v>
      </c>
      <c r="H779">
        <v>1</v>
      </c>
      <c r="I779">
        <v>57</v>
      </c>
    </row>
    <row r="780" spans="1:9" x14ac:dyDescent="0.3">
      <c r="A780">
        <v>779</v>
      </c>
      <c r="B780">
        <v>0</v>
      </c>
      <c r="C780" t="s">
        <v>793</v>
      </c>
      <c r="D780" t="s">
        <v>14</v>
      </c>
      <c r="E780">
        <v>29</v>
      </c>
      <c r="F780">
        <v>0</v>
      </c>
      <c r="G780">
        <v>0</v>
      </c>
      <c r="H780">
        <v>1</v>
      </c>
      <c r="I780">
        <v>30</v>
      </c>
    </row>
    <row r="781" spans="1:9" x14ac:dyDescent="0.3">
      <c r="A781">
        <v>780</v>
      </c>
      <c r="B781">
        <v>0</v>
      </c>
      <c r="C781" t="s">
        <v>794</v>
      </c>
      <c r="D781" t="s">
        <v>14</v>
      </c>
      <c r="E781">
        <v>35</v>
      </c>
      <c r="F781">
        <v>1</v>
      </c>
      <c r="G781">
        <v>2</v>
      </c>
      <c r="H781">
        <v>3</v>
      </c>
      <c r="I781">
        <v>23.45</v>
      </c>
    </row>
    <row r="782" spans="1:9" x14ac:dyDescent="0.3">
      <c r="A782">
        <v>781</v>
      </c>
      <c r="B782">
        <v>0</v>
      </c>
      <c r="C782" t="s">
        <v>795</v>
      </c>
      <c r="D782" t="s">
        <v>14</v>
      </c>
      <c r="E782">
        <v>25</v>
      </c>
      <c r="F782">
        <v>0</v>
      </c>
      <c r="G782">
        <v>0</v>
      </c>
      <c r="H782">
        <v>3</v>
      </c>
      <c r="I782">
        <v>7.05</v>
      </c>
    </row>
    <row r="783" spans="1:9" x14ac:dyDescent="0.3">
      <c r="A783">
        <v>782</v>
      </c>
      <c r="B783">
        <v>0</v>
      </c>
      <c r="C783" t="s">
        <v>796</v>
      </c>
      <c r="D783" t="s">
        <v>14</v>
      </c>
      <c r="E783">
        <v>25</v>
      </c>
      <c r="F783">
        <v>0</v>
      </c>
      <c r="G783">
        <v>0</v>
      </c>
      <c r="H783">
        <v>3</v>
      </c>
      <c r="I783">
        <v>7.25</v>
      </c>
    </row>
    <row r="784" spans="1:9" x14ac:dyDescent="0.3">
      <c r="A784">
        <v>783</v>
      </c>
      <c r="B784">
        <v>1</v>
      </c>
      <c r="C784" t="s">
        <v>797</v>
      </c>
      <c r="D784" t="s">
        <v>16</v>
      </c>
      <c r="E784">
        <v>18</v>
      </c>
      <c r="F784">
        <v>0</v>
      </c>
      <c r="G784">
        <v>0</v>
      </c>
      <c r="H784">
        <v>3</v>
      </c>
      <c r="I784">
        <v>7.4958</v>
      </c>
    </row>
    <row r="785" spans="1:9" x14ac:dyDescent="0.3">
      <c r="A785">
        <v>784</v>
      </c>
      <c r="B785">
        <v>0</v>
      </c>
      <c r="C785" t="s">
        <v>798</v>
      </c>
      <c r="D785" t="s">
        <v>14</v>
      </c>
      <c r="E785">
        <v>8</v>
      </c>
      <c r="F785">
        <v>4</v>
      </c>
      <c r="G785">
        <v>1</v>
      </c>
      <c r="H785">
        <v>3</v>
      </c>
      <c r="I785">
        <v>29.125</v>
      </c>
    </row>
    <row r="786" spans="1:9" x14ac:dyDescent="0.3">
      <c r="A786">
        <v>785</v>
      </c>
      <c r="B786">
        <v>1</v>
      </c>
      <c r="C786" t="s">
        <v>799</v>
      </c>
      <c r="D786" t="s">
        <v>14</v>
      </c>
      <c r="E786">
        <v>1</v>
      </c>
      <c r="F786">
        <v>1</v>
      </c>
      <c r="G786">
        <v>2</v>
      </c>
      <c r="H786">
        <v>3</v>
      </c>
      <c r="I786">
        <v>20.574999999999999</v>
      </c>
    </row>
    <row r="787" spans="1:9" x14ac:dyDescent="0.3">
      <c r="A787">
        <v>786</v>
      </c>
      <c r="B787">
        <v>0</v>
      </c>
      <c r="C787" t="s">
        <v>800</v>
      </c>
      <c r="D787" t="s">
        <v>14</v>
      </c>
      <c r="E787">
        <v>46</v>
      </c>
      <c r="F787">
        <v>0</v>
      </c>
      <c r="G787">
        <v>0</v>
      </c>
      <c r="H787">
        <v>1</v>
      </c>
      <c r="I787">
        <v>79.2</v>
      </c>
    </row>
    <row r="788" spans="1:9" x14ac:dyDescent="0.3">
      <c r="A788">
        <v>787</v>
      </c>
      <c r="B788">
        <v>0</v>
      </c>
      <c r="C788" t="s">
        <v>801</v>
      </c>
      <c r="D788" t="s">
        <v>14</v>
      </c>
      <c r="E788">
        <v>20</v>
      </c>
      <c r="F788">
        <v>0</v>
      </c>
      <c r="G788">
        <v>0</v>
      </c>
      <c r="H788">
        <v>3</v>
      </c>
      <c r="I788">
        <v>7.75</v>
      </c>
    </row>
    <row r="789" spans="1:9" x14ac:dyDescent="0.3">
      <c r="A789">
        <v>788</v>
      </c>
      <c r="B789">
        <v>0</v>
      </c>
      <c r="C789" t="s">
        <v>802</v>
      </c>
      <c r="D789" t="s">
        <v>14</v>
      </c>
      <c r="E789">
        <v>16</v>
      </c>
      <c r="F789">
        <v>0</v>
      </c>
      <c r="G789">
        <v>0</v>
      </c>
      <c r="H789">
        <v>2</v>
      </c>
      <c r="I789">
        <v>26</v>
      </c>
    </row>
    <row r="790" spans="1:9" x14ac:dyDescent="0.3">
      <c r="A790">
        <v>789</v>
      </c>
      <c r="B790">
        <v>0</v>
      </c>
      <c r="C790" t="s">
        <v>803</v>
      </c>
      <c r="D790" t="s">
        <v>16</v>
      </c>
      <c r="E790">
        <v>21</v>
      </c>
      <c r="F790">
        <v>8</v>
      </c>
      <c r="G790">
        <v>2</v>
      </c>
      <c r="H790">
        <v>3</v>
      </c>
      <c r="I790">
        <v>69.55</v>
      </c>
    </row>
    <row r="791" spans="1:9" x14ac:dyDescent="0.3">
      <c r="A791">
        <v>790</v>
      </c>
      <c r="B791">
        <v>0</v>
      </c>
      <c r="C791" t="s">
        <v>804</v>
      </c>
      <c r="D791" t="s">
        <v>14</v>
      </c>
      <c r="E791">
        <v>43</v>
      </c>
      <c r="F791">
        <v>0</v>
      </c>
      <c r="G791">
        <v>0</v>
      </c>
      <c r="H791">
        <v>1</v>
      </c>
      <c r="I791">
        <v>30.695799999999998</v>
      </c>
    </row>
    <row r="792" spans="1:9" x14ac:dyDescent="0.3">
      <c r="A792">
        <v>791</v>
      </c>
      <c r="B792">
        <v>0</v>
      </c>
      <c r="C792" t="s">
        <v>805</v>
      </c>
      <c r="D792" t="s">
        <v>14</v>
      </c>
      <c r="E792">
        <v>25</v>
      </c>
      <c r="F792">
        <v>0</v>
      </c>
      <c r="G792">
        <v>0</v>
      </c>
      <c r="H792">
        <v>3</v>
      </c>
      <c r="I792">
        <v>7.8958000000000004</v>
      </c>
    </row>
    <row r="793" spans="1:9" x14ac:dyDescent="0.3">
      <c r="A793">
        <v>792</v>
      </c>
      <c r="B793">
        <v>0</v>
      </c>
      <c r="C793" t="s">
        <v>806</v>
      </c>
      <c r="D793" t="s">
        <v>14</v>
      </c>
      <c r="E793">
        <v>39</v>
      </c>
      <c r="F793">
        <v>0</v>
      </c>
      <c r="G793">
        <v>0</v>
      </c>
      <c r="H793">
        <v>2</v>
      </c>
      <c r="I793">
        <v>13</v>
      </c>
    </row>
    <row r="794" spans="1:9" x14ac:dyDescent="0.3">
      <c r="A794">
        <v>793</v>
      </c>
      <c r="B794">
        <v>1</v>
      </c>
      <c r="C794" t="s">
        <v>807</v>
      </c>
      <c r="D794" t="s">
        <v>16</v>
      </c>
      <c r="E794">
        <v>49</v>
      </c>
      <c r="F794">
        <v>0</v>
      </c>
      <c r="G794">
        <v>0</v>
      </c>
      <c r="H794">
        <v>1</v>
      </c>
      <c r="I794">
        <v>25.929200000000002</v>
      </c>
    </row>
    <row r="795" spans="1:9" x14ac:dyDescent="0.3">
      <c r="A795">
        <v>794</v>
      </c>
      <c r="B795">
        <v>1</v>
      </c>
      <c r="C795" t="s">
        <v>808</v>
      </c>
      <c r="D795" t="s">
        <v>16</v>
      </c>
      <c r="E795">
        <v>31</v>
      </c>
      <c r="F795">
        <v>0</v>
      </c>
      <c r="G795">
        <v>0</v>
      </c>
      <c r="H795">
        <v>3</v>
      </c>
      <c r="I795">
        <v>8.6832999999999991</v>
      </c>
    </row>
    <row r="796" spans="1:9" x14ac:dyDescent="0.3">
      <c r="A796">
        <v>795</v>
      </c>
      <c r="B796">
        <v>0</v>
      </c>
      <c r="C796" t="s">
        <v>809</v>
      </c>
      <c r="D796" t="s">
        <v>14</v>
      </c>
      <c r="E796">
        <v>30</v>
      </c>
      <c r="F796">
        <v>0</v>
      </c>
      <c r="G796">
        <v>0</v>
      </c>
      <c r="H796">
        <v>3</v>
      </c>
      <c r="I796">
        <v>7.2291999999999996</v>
      </c>
    </row>
    <row r="797" spans="1:9" x14ac:dyDescent="0.3">
      <c r="A797">
        <v>796</v>
      </c>
      <c r="B797">
        <v>0</v>
      </c>
      <c r="C797" t="s">
        <v>810</v>
      </c>
      <c r="D797" t="s">
        <v>16</v>
      </c>
      <c r="E797">
        <v>30</v>
      </c>
      <c r="F797">
        <v>1</v>
      </c>
      <c r="G797">
        <v>1</v>
      </c>
      <c r="H797">
        <v>3</v>
      </c>
      <c r="I797">
        <v>24.15</v>
      </c>
    </row>
    <row r="798" spans="1:9" x14ac:dyDescent="0.3">
      <c r="A798">
        <v>797</v>
      </c>
      <c r="B798">
        <v>0</v>
      </c>
      <c r="C798" t="s">
        <v>811</v>
      </c>
      <c r="D798" t="s">
        <v>14</v>
      </c>
      <c r="E798">
        <v>34</v>
      </c>
      <c r="F798">
        <v>0</v>
      </c>
      <c r="G798">
        <v>0</v>
      </c>
      <c r="H798">
        <v>2</v>
      </c>
      <c r="I798">
        <v>13</v>
      </c>
    </row>
    <row r="799" spans="1:9" x14ac:dyDescent="0.3">
      <c r="A799">
        <v>798</v>
      </c>
      <c r="B799">
        <v>1</v>
      </c>
      <c r="C799" t="s">
        <v>812</v>
      </c>
      <c r="D799" t="s">
        <v>16</v>
      </c>
      <c r="E799">
        <v>31</v>
      </c>
      <c r="F799">
        <v>1</v>
      </c>
      <c r="G799">
        <v>1</v>
      </c>
      <c r="H799">
        <v>2</v>
      </c>
      <c r="I799">
        <v>26.25</v>
      </c>
    </row>
    <row r="800" spans="1:9" x14ac:dyDescent="0.3">
      <c r="A800">
        <v>799</v>
      </c>
      <c r="B800">
        <v>1</v>
      </c>
      <c r="C800" t="s">
        <v>813</v>
      </c>
      <c r="D800" t="s">
        <v>14</v>
      </c>
      <c r="E800">
        <v>11</v>
      </c>
      <c r="F800">
        <v>1</v>
      </c>
      <c r="G800">
        <v>2</v>
      </c>
      <c r="H800">
        <v>1</v>
      </c>
      <c r="I800">
        <v>120</v>
      </c>
    </row>
    <row r="801" spans="1:9" x14ac:dyDescent="0.3">
      <c r="A801">
        <v>800</v>
      </c>
      <c r="B801">
        <v>1</v>
      </c>
      <c r="C801" t="s">
        <v>814</v>
      </c>
      <c r="D801" t="s">
        <v>14</v>
      </c>
      <c r="E801">
        <v>0.42</v>
      </c>
      <c r="F801">
        <v>0</v>
      </c>
      <c r="G801">
        <v>1</v>
      </c>
      <c r="H801">
        <v>3</v>
      </c>
      <c r="I801">
        <v>8.5167000000000002</v>
      </c>
    </row>
    <row r="802" spans="1:9" x14ac:dyDescent="0.3">
      <c r="A802">
        <v>801</v>
      </c>
      <c r="B802">
        <v>1</v>
      </c>
      <c r="C802" t="s">
        <v>815</v>
      </c>
      <c r="D802" t="s">
        <v>14</v>
      </c>
      <c r="E802">
        <v>27</v>
      </c>
      <c r="F802">
        <v>0</v>
      </c>
      <c r="G802">
        <v>0</v>
      </c>
      <c r="H802">
        <v>3</v>
      </c>
      <c r="I802">
        <v>6.9749999999999996</v>
      </c>
    </row>
    <row r="803" spans="1:9" x14ac:dyDescent="0.3">
      <c r="A803">
        <v>802</v>
      </c>
      <c r="B803">
        <v>0</v>
      </c>
      <c r="C803" t="s">
        <v>816</v>
      </c>
      <c r="D803" t="s">
        <v>14</v>
      </c>
      <c r="E803">
        <v>31</v>
      </c>
      <c r="F803">
        <v>0</v>
      </c>
      <c r="G803">
        <v>0</v>
      </c>
      <c r="H803">
        <v>3</v>
      </c>
      <c r="I803">
        <v>7.7750000000000004</v>
      </c>
    </row>
    <row r="804" spans="1:9" x14ac:dyDescent="0.3">
      <c r="A804">
        <v>803</v>
      </c>
      <c r="B804">
        <v>0</v>
      </c>
      <c r="C804" t="s">
        <v>817</v>
      </c>
      <c r="D804" t="s">
        <v>14</v>
      </c>
      <c r="E804">
        <v>39</v>
      </c>
      <c r="F804">
        <v>0</v>
      </c>
      <c r="G804">
        <v>0</v>
      </c>
      <c r="H804">
        <v>1</v>
      </c>
      <c r="I804">
        <v>0</v>
      </c>
    </row>
    <row r="805" spans="1:9" x14ac:dyDescent="0.3">
      <c r="A805">
        <v>804</v>
      </c>
      <c r="B805">
        <v>0</v>
      </c>
      <c r="C805" t="s">
        <v>818</v>
      </c>
      <c r="D805" t="s">
        <v>16</v>
      </c>
      <c r="E805">
        <v>18</v>
      </c>
      <c r="F805">
        <v>0</v>
      </c>
      <c r="G805">
        <v>0</v>
      </c>
      <c r="H805">
        <v>3</v>
      </c>
      <c r="I805">
        <v>7.7750000000000004</v>
      </c>
    </row>
    <row r="806" spans="1:9" x14ac:dyDescent="0.3">
      <c r="A806">
        <v>805</v>
      </c>
      <c r="B806">
        <v>0</v>
      </c>
      <c r="C806" t="s">
        <v>819</v>
      </c>
      <c r="D806" t="s">
        <v>14</v>
      </c>
      <c r="E806">
        <v>39</v>
      </c>
      <c r="F806">
        <v>0</v>
      </c>
      <c r="G806">
        <v>0</v>
      </c>
      <c r="H806">
        <v>2</v>
      </c>
      <c r="I806">
        <v>13</v>
      </c>
    </row>
    <row r="807" spans="1:9" x14ac:dyDescent="0.3">
      <c r="A807">
        <v>806</v>
      </c>
      <c r="B807">
        <v>1</v>
      </c>
      <c r="C807" t="s">
        <v>820</v>
      </c>
      <c r="D807" t="s">
        <v>16</v>
      </c>
      <c r="E807">
        <v>33</v>
      </c>
      <c r="F807">
        <v>1</v>
      </c>
      <c r="G807">
        <v>0</v>
      </c>
      <c r="H807">
        <v>1</v>
      </c>
      <c r="I807">
        <v>53.1</v>
      </c>
    </row>
    <row r="808" spans="1:9" x14ac:dyDescent="0.3">
      <c r="A808">
        <v>807</v>
      </c>
      <c r="B808">
        <v>0</v>
      </c>
      <c r="C808" t="s">
        <v>821</v>
      </c>
      <c r="D808" t="s">
        <v>14</v>
      </c>
      <c r="E808">
        <v>26</v>
      </c>
      <c r="F808">
        <v>0</v>
      </c>
      <c r="G808">
        <v>0</v>
      </c>
      <c r="H808">
        <v>3</v>
      </c>
      <c r="I808">
        <v>7.8875000000000002</v>
      </c>
    </row>
    <row r="809" spans="1:9" x14ac:dyDescent="0.3">
      <c r="A809">
        <v>808</v>
      </c>
      <c r="B809">
        <v>0</v>
      </c>
      <c r="C809" t="s">
        <v>822</v>
      </c>
      <c r="D809" t="s">
        <v>14</v>
      </c>
      <c r="E809">
        <v>39</v>
      </c>
      <c r="F809">
        <v>0</v>
      </c>
      <c r="G809">
        <v>0</v>
      </c>
      <c r="H809">
        <v>3</v>
      </c>
      <c r="I809">
        <v>24.15</v>
      </c>
    </row>
    <row r="810" spans="1:9" x14ac:dyDescent="0.3">
      <c r="A810">
        <v>809</v>
      </c>
      <c r="B810">
        <v>0</v>
      </c>
      <c r="C810" t="s">
        <v>823</v>
      </c>
      <c r="D810" t="s">
        <v>14</v>
      </c>
      <c r="E810">
        <v>35</v>
      </c>
      <c r="F810">
        <v>0</v>
      </c>
      <c r="G810">
        <v>0</v>
      </c>
      <c r="H810">
        <v>2</v>
      </c>
      <c r="I810">
        <v>10.5</v>
      </c>
    </row>
    <row r="811" spans="1:9" x14ac:dyDescent="0.3">
      <c r="A811">
        <v>810</v>
      </c>
      <c r="B811">
        <v>0</v>
      </c>
      <c r="C811" t="s">
        <v>824</v>
      </c>
      <c r="D811" t="s">
        <v>16</v>
      </c>
      <c r="E811">
        <v>6</v>
      </c>
      <c r="F811">
        <v>4</v>
      </c>
      <c r="G811">
        <v>2</v>
      </c>
      <c r="H811">
        <v>3</v>
      </c>
      <c r="I811">
        <v>31.274999999999999</v>
      </c>
    </row>
    <row r="812" spans="1:9" x14ac:dyDescent="0.3">
      <c r="A812">
        <v>811</v>
      </c>
      <c r="B812">
        <v>0</v>
      </c>
      <c r="C812" t="s">
        <v>825</v>
      </c>
      <c r="D812" t="s">
        <v>14</v>
      </c>
      <c r="E812">
        <v>30.5</v>
      </c>
      <c r="F812">
        <v>0</v>
      </c>
      <c r="G812">
        <v>0</v>
      </c>
      <c r="H812">
        <v>3</v>
      </c>
      <c r="I812">
        <v>8.0500000000000007</v>
      </c>
    </row>
    <row r="813" spans="1:9" x14ac:dyDescent="0.3">
      <c r="A813">
        <v>812</v>
      </c>
      <c r="B813">
        <v>0</v>
      </c>
      <c r="C813" t="s">
        <v>826</v>
      </c>
      <c r="D813" t="s">
        <v>14</v>
      </c>
      <c r="E813">
        <v>39</v>
      </c>
      <c r="F813">
        <v>0</v>
      </c>
      <c r="G813">
        <v>0</v>
      </c>
      <c r="H813">
        <v>1</v>
      </c>
      <c r="I813">
        <v>0</v>
      </c>
    </row>
    <row r="814" spans="1:9" x14ac:dyDescent="0.3">
      <c r="A814">
        <v>813</v>
      </c>
      <c r="B814">
        <v>0</v>
      </c>
      <c r="C814" t="s">
        <v>827</v>
      </c>
      <c r="D814" t="s">
        <v>16</v>
      </c>
      <c r="E814">
        <v>23</v>
      </c>
      <c r="F814">
        <v>0</v>
      </c>
      <c r="G814">
        <v>0</v>
      </c>
      <c r="H814">
        <v>3</v>
      </c>
      <c r="I814">
        <v>7.9249999999999998</v>
      </c>
    </row>
    <row r="815" spans="1:9" x14ac:dyDescent="0.3">
      <c r="A815">
        <v>814</v>
      </c>
      <c r="B815">
        <v>0</v>
      </c>
      <c r="C815" t="s">
        <v>828</v>
      </c>
      <c r="D815" t="s">
        <v>14</v>
      </c>
      <c r="E815">
        <v>31</v>
      </c>
      <c r="F815">
        <v>1</v>
      </c>
      <c r="G815">
        <v>1</v>
      </c>
      <c r="H815">
        <v>2</v>
      </c>
      <c r="I815">
        <v>37.004199999999997</v>
      </c>
    </row>
    <row r="816" spans="1:9" x14ac:dyDescent="0.3">
      <c r="A816">
        <v>815</v>
      </c>
      <c r="B816">
        <v>0</v>
      </c>
      <c r="C816" t="s">
        <v>829</v>
      </c>
      <c r="D816" t="s">
        <v>14</v>
      </c>
      <c r="E816">
        <v>43</v>
      </c>
      <c r="F816">
        <v>0</v>
      </c>
      <c r="G816">
        <v>0</v>
      </c>
      <c r="H816">
        <v>3</v>
      </c>
      <c r="I816">
        <v>6.45</v>
      </c>
    </row>
    <row r="817" spans="1:9" x14ac:dyDescent="0.3">
      <c r="A817">
        <v>816</v>
      </c>
      <c r="B817">
        <v>0</v>
      </c>
      <c r="C817" t="s">
        <v>830</v>
      </c>
      <c r="D817" t="s">
        <v>14</v>
      </c>
      <c r="E817">
        <v>10</v>
      </c>
      <c r="F817">
        <v>3</v>
      </c>
      <c r="G817">
        <v>2</v>
      </c>
      <c r="H817">
        <v>3</v>
      </c>
      <c r="I817">
        <v>27.9</v>
      </c>
    </row>
    <row r="818" spans="1:9" x14ac:dyDescent="0.3">
      <c r="A818">
        <v>817</v>
      </c>
      <c r="B818">
        <v>1</v>
      </c>
      <c r="C818" t="s">
        <v>831</v>
      </c>
      <c r="D818" t="s">
        <v>16</v>
      </c>
      <c r="E818">
        <v>52</v>
      </c>
      <c r="F818">
        <v>1</v>
      </c>
      <c r="G818">
        <v>1</v>
      </c>
      <c r="H818">
        <v>1</v>
      </c>
      <c r="I818">
        <v>93.5</v>
      </c>
    </row>
    <row r="819" spans="1:9" x14ac:dyDescent="0.3">
      <c r="A819">
        <v>818</v>
      </c>
      <c r="B819">
        <v>1</v>
      </c>
      <c r="C819" t="s">
        <v>832</v>
      </c>
      <c r="D819" t="s">
        <v>14</v>
      </c>
      <c r="E819">
        <v>27</v>
      </c>
      <c r="F819">
        <v>0</v>
      </c>
      <c r="G819">
        <v>0</v>
      </c>
      <c r="H819">
        <v>3</v>
      </c>
      <c r="I819">
        <v>8.6624999999999996</v>
      </c>
    </row>
    <row r="820" spans="1:9" x14ac:dyDescent="0.3">
      <c r="A820">
        <v>819</v>
      </c>
      <c r="B820">
        <v>0</v>
      </c>
      <c r="C820" t="s">
        <v>833</v>
      </c>
      <c r="D820" t="s">
        <v>14</v>
      </c>
      <c r="E820">
        <v>38</v>
      </c>
      <c r="F820">
        <v>0</v>
      </c>
      <c r="G820">
        <v>0</v>
      </c>
      <c r="H820">
        <v>1</v>
      </c>
      <c r="I820">
        <v>0</v>
      </c>
    </row>
    <row r="821" spans="1:9" x14ac:dyDescent="0.3">
      <c r="A821">
        <v>820</v>
      </c>
      <c r="B821">
        <v>1</v>
      </c>
      <c r="C821" t="s">
        <v>834</v>
      </c>
      <c r="D821" t="s">
        <v>16</v>
      </c>
      <c r="E821">
        <v>27</v>
      </c>
      <c r="F821">
        <v>0</v>
      </c>
      <c r="G821">
        <v>1</v>
      </c>
      <c r="H821">
        <v>3</v>
      </c>
      <c r="I821">
        <v>12.475</v>
      </c>
    </row>
    <row r="822" spans="1:9" x14ac:dyDescent="0.3">
      <c r="A822">
        <v>821</v>
      </c>
      <c r="B822">
        <v>0</v>
      </c>
      <c r="C822" t="s">
        <v>835</v>
      </c>
      <c r="D822" t="s">
        <v>14</v>
      </c>
      <c r="E822">
        <v>2</v>
      </c>
      <c r="F822">
        <v>4</v>
      </c>
      <c r="G822">
        <v>1</v>
      </c>
      <c r="H822">
        <v>3</v>
      </c>
      <c r="I822">
        <v>39.6875</v>
      </c>
    </row>
    <row r="823" spans="1:9" x14ac:dyDescent="0.3">
      <c r="A823">
        <v>822</v>
      </c>
      <c r="B823">
        <v>0</v>
      </c>
      <c r="C823" t="s">
        <v>836</v>
      </c>
      <c r="D823" t="s">
        <v>14</v>
      </c>
      <c r="E823">
        <v>36</v>
      </c>
      <c r="F823">
        <v>0</v>
      </c>
      <c r="G823">
        <v>0</v>
      </c>
      <c r="H823">
        <v>3</v>
      </c>
      <c r="I823">
        <v>6.95</v>
      </c>
    </row>
    <row r="824" spans="1:9" x14ac:dyDescent="0.3">
      <c r="A824">
        <v>823</v>
      </c>
      <c r="B824">
        <v>0</v>
      </c>
      <c r="C824" t="s">
        <v>837</v>
      </c>
      <c r="D824" t="s">
        <v>14</v>
      </c>
      <c r="E824">
        <v>23</v>
      </c>
      <c r="F824">
        <v>0</v>
      </c>
      <c r="G824">
        <v>0</v>
      </c>
      <c r="H824">
        <v>3</v>
      </c>
      <c r="I824">
        <v>56.495800000000003</v>
      </c>
    </row>
    <row r="825" spans="1:9" x14ac:dyDescent="0.3">
      <c r="A825">
        <v>824</v>
      </c>
      <c r="B825">
        <v>1</v>
      </c>
      <c r="C825" t="s">
        <v>838</v>
      </c>
      <c r="D825" t="s">
        <v>14</v>
      </c>
      <c r="E825">
        <v>1</v>
      </c>
      <c r="F825">
        <v>0</v>
      </c>
      <c r="G825">
        <v>2</v>
      </c>
      <c r="H825">
        <v>2</v>
      </c>
      <c r="I825">
        <v>37.004199999999997</v>
      </c>
    </row>
    <row r="826" spans="1:9" x14ac:dyDescent="0.3">
      <c r="A826">
        <v>825</v>
      </c>
      <c r="B826">
        <v>1</v>
      </c>
      <c r="C826" t="s">
        <v>839</v>
      </c>
      <c r="D826" t="s">
        <v>14</v>
      </c>
      <c r="E826">
        <v>19</v>
      </c>
      <c r="F826">
        <v>0</v>
      </c>
      <c r="G826">
        <v>0</v>
      </c>
      <c r="H826">
        <v>3</v>
      </c>
      <c r="I826">
        <v>7.75</v>
      </c>
    </row>
    <row r="827" spans="1:9" x14ac:dyDescent="0.3">
      <c r="A827">
        <v>826</v>
      </c>
      <c r="B827">
        <v>1</v>
      </c>
      <c r="C827" t="s">
        <v>840</v>
      </c>
      <c r="D827" t="s">
        <v>16</v>
      </c>
      <c r="E827">
        <v>62</v>
      </c>
      <c r="F827">
        <v>0</v>
      </c>
      <c r="G827">
        <v>0</v>
      </c>
      <c r="H827">
        <v>1</v>
      </c>
      <c r="I827">
        <v>80</v>
      </c>
    </row>
    <row r="828" spans="1:9" x14ac:dyDescent="0.3">
      <c r="A828">
        <v>827</v>
      </c>
      <c r="B828">
        <v>1</v>
      </c>
      <c r="C828" t="s">
        <v>841</v>
      </c>
      <c r="D828" t="s">
        <v>16</v>
      </c>
      <c r="E828">
        <v>15</v>
      </c>
      <c r="F828">
        <v>1</v>
      </c>
      <c r="G828">
        <v>0</v>
      </c>
      <c r="H828">
        <v>3</v>
      </c>
      <c r="I828">
        <v>14.4542</v>
      </c>
    </row>
    <row r="829" spans="1:9" x14ac:dyDescent="0.3">
      <c r="A829">
        <v>828</v>
      </c>
      <c r="B829">
        <v>1</v>
      </c>
      <c r="C829" t="s">
        <v>842</v>
      </c>
      <c r="D829" t="s">
        <v>14</v>
      </c>
      <c r="E829">
        <v>0.83</v>
      </c>
      <c r="F829">
        <v>1</v>
      </c>
      <c r="G829">
        <v>1</v>
      </c>
      <c r="H829">
        <v>2</v>
      </c>
      <c r="I829">
        <v>18.75</v>
      </c>
    </row>
    <row r="830" spans="1:9" x14ac:dyDescent="0.3">
      <c r="A830">
        <v>829</v>
      </c>
      <c r="B830">
        <v>0</v>
      </c>
      <c r="C830" t="s">
        <v>843</v>
      </c>
      <c r="D830" t="s">
        <v>14</v>
      </c>
      <c r="E830">
        <v>30</v>
      </c>
      <c r="F830">
        <v>0</v>
      </c>
      <c r="G830">
        <v>0</v>
      </c>
      <c r="H830">
        <v>3</v>
      </c>
      <c r="I830">
        <v>7.2291999999999996</v>
      </c>
    </row>
    <row r="831" spans="1:9" x14ac:dyDescent="0.3">
      <c r="A831">
        <v>830</v>
      </c>
      <c r="B831">
        <v>0</v>
      </c>
      <c r="C831" t="s">
        <v>844</v>
      </c>
      <c r="D831" t="s">
        <v>14</v>
      </c>
      <c r="E831">
        <v>23</v>
      </c>
      <c r="F831">
        <v>0</v>
      </c>
      <c r="G831">
        <v>0</v>
      </c>
      <c r="H831">
        <v>3</v>
      </c>
      <c r="I831">
        <v>7.8541999999999996</v>
      </c>
    </row>
    <row r="832" spans="1:9" x14ac:dyDescent="0.3">
      <c r="A832">
        <v>831</v>
      </c>
      <c r="B832">
        <v>0</v>
      </c>
      <c r="C832" t="s">
        <v>845</v>
      </c>
      <c r="D832" t="s">
        <v>14</v>
      </c>
      <c r="E832">
        <v>18</v>
      </c>
      <c r="F832">
        <v>0</v>
      </c>
      <c r="G832">
        <v>0</v>
      </c>
      <c r="H832">
        <v>3</v>
      </c>
      <c r="I832">
        <v>8.3000000000000007</v>
      </c>
    </row>
    <row r="833" spans="1:9" x14ac:dyDescent="0.3">
      <c r="A833">
        <v>832</v>
      </c>
      <c r="B833">
        <v>1</v>
      </c>
      <c r="C833" t="s">
        <v>846</v>
      </c>
      <c r="D833" t="s">
        <v>16</v>
      </c>
      <c r="E833">
        <v>39</v>
      </c>
      <c r="F833">
        <v>1</v>
      </c>
      <c r="G833">
        <v>1</v>
      </c>
      <c r="H833">
        <v>1</v>
      </c>
      <c r="I833">
        <v>83.158299999999997</v>
      </c>
    </row>
    <row r="834" spans="1:9" x14ac:dyDescent="0.3">
      <c r="A834">
        <v>833</v>
      </c>
      <c r="B834">
        <v>0</v>
      </c>
      <c r="C834" t="s">
        <v>847</v>
      </c>
      <c r="D834" t="s">
        <v>14</v>
      </c>
      <c r="E834">
        <v>21</v>
      </c>
      <c r="F834">
        <v>0</v>
      </c>
      <c r="G834">
        <v>0</v>
      </c>
      <c r="H834">
        <v>3</v>
      </c>
      <c r="I834">
        <v>8.6624999999999996</v>
      </c>
    </row>
    <row r="835" spans="1:9" x14ac:dyDescent="0.3">
      <c r="A835">
        <v>834</v>
      </c>
      <c r="B835">
        <v>0</v>
      </c>
      <c r="C835" t="s">
        <v>848</v>
      </c>
      <c r="D835" t="s">
        <v>14</v>
      </c>
      <c r="E835">
        <v>20</v>
      </c>
      <c r="F835">
        <v>0</v>
      </c>
      <c r="G835">
        <v>0</v>
      </c>
      <c r="H835">
        <v>3</v>
      </c>
      <c r="I835">
        <v>8.0500000000000007</v>
      </c>
    </row>
    <row r="836" spans="1:9" x14ac:dyDescent="0.3">
      <c r="A836">
        <v>835</v>
      </c>
      <c r="B836">
        <v>1</v>
      </c>
      <c r="C836" t="s">
        <v>849</v>
      </c>
      <c r="D836" t="s">
        <v>14</v>
      </c>
      <c r="E836">
        <v>32</v>
      </c>
      <c r="F836">
        <v>0</v>
      </c>
      <c r="G836">
        <v>0</v>
      </c>
      <c r="H836">
        <v>3</v>
      </c>
      <c r="I836">
        <v>56.495800000000003</v>
      </c>
    </row>
    <row r="837" spans="1:9" x14ac:dyDescent="0.3">
      <c r="A837">
        <v>836</v>
      </c>
      <c r="B837">
        <v>1</v>
      </c>
      <c r="C837" t="s">
        <v>850</v>
      </c>
      <c r="D837" t="s">
        <v>14</v>
      </c>
      <c r="E837">
        <v>29</v>
      </c>
      <c r="F837">
        <v>0</v>
      </c>
      <c r="G837">
        <v>0</v>
      </c>
      <c r="H837">
        <v>1</v>
      </c>
      <c r="I837">
        <v>29.7</v>
      </c>
    </row>
    <row r="838" spans="1:9" x14ac:dyDescent="0.3">
      <c r="A838">
        <v>837</v>
      </c>
      <c r="B838">
        <v>0</v>
      </c>
      <c r="C838" t="s">
        <v>851</v>
      </c>
      <c r="D838" t="s">
        <v>14</v>
      </c>
      <c r="E838">
        <v>20</v>
      </c>
      <c r="F838">
        <v>0</v>
      </c>
      <c r="G838">
        <v>0</v>
      </c>
      <c r="H838">
        <v>3</v>
      </c>
      <c r="I838">
        <v>7.9249999999999998</v>
      </c>
    </row>
    <row r="839" spans="1:9" x14ac:dyDescent="0.3">
      <c r="A839">
        <v>838</v>
      </c>
      <c r="B839">
        <v>0</v>
      </c>
      <c r="C839" t="s">
        <v>852</v>
      </c>
      <c r="D839" t="s">
        <v>14</v>
      </c>
      <c r="E839">
        <v>16</v>
      </c>
      <c r="F839">
        <v>0</v>
      </c>
      <c r="G839">
        <v>0</v>
      </c>
      <c r="H839">
        <v>2</v>
      </c>
      <c r="I839">
        <v>10.5</v>
      </c>
    </row>
    <row r="840" spans="1:9" x14ac:dyDescent="0.3">
      <c r="A840">
        <v>839</v>
      </c>
      <c r="B840">
        <v>1</v>
      </c>
      <c r="C840" t="s">
        <v>853</v>
      </c>
      <c r="D840" t="s">
        <v>16</v>
      </c>
      <c r="E840">
        <v>30</v>
      </c>
      <c r="F840">
        <v>0</v>
      </c>
      <c r="G840">
        <v>0</v>
      </c>
      <c r="H840">
        <v>1</v>
      </c>
      <c r="I840">
        <v>31</v>
      </c>
    </row>
    <row r="841" spans="1:9" x14ac:dyDescent="0.3">
      <c r="A841">
        <v>840</v>
      </c>
      <c r="B841">
        <v>0</v>
      </c>
      <c r="C841" t="s">
        <v>854</v>
      </c>
      <c r="D841" t="s">
        <v>14</v>
      </c>
      <c r="E841">
        <v>34.5</v>
      </c>
      <c r="F841">
        <v>0</v>
      </c>
      <c r="G841">
        <v>0</v>
      </c>
      <c r="H841">
        <v>3</v>
      </c>
      <c r="I841">
        <v>6.4375</v>
      </c>
    </row>
    <row r="842" spans="1:9" x14ac:dyDescent="0.3">
      <c r="A842">
        <v>841</v>
      </c>
      <c r="B842">
        <v>0</v>
      </c>
      <c r="C842" t="s">
        <v>855</v>
      </c>
      <c r="D842" t="s">
        <v>14</v>
      </c>
      <c r="E842">
        <v>17</v>
      </c>
      <c r="F842">
        <v>0</v>
      </c>
      <c r="G842">
        <v>0</v>
      </c>
      <c r="H842">
        <v>3</v>
      </c>
      <c r="I842">
        <v>8.6624999999999996</v>
      </c>
    </row>
    <row r="843" spans="1:9" x14ac:dyDescent="0.3">
      <c r="A843">
        <v>842</v>
      </c>
      <c r="B843">
        <v>0</v>
      </c>
      <c r="C843" t="s">
        <v>856</v>
      </c>
      <c r="D843" t="s">
        <v>14</v>
      </c>
      <c r="E843">
        <v>42</v>
      </c>
      <c r="F843">
        <v>0</v>
      </c>
      <c r="G843">
        <v>0</v>
      </c>
      <c r="H843">
        <v>3</v>
      </c>
      <c r="I843">
        <v>7.55</v>
      </c>
    </row>
    <row r="844" spans="1:9" x14ac:dyDescent="0.3">
      <c r="A844">
        <v>843</v>
      </c>
      <c r="B844">
        <v>0</v>
      </c>
      <c r="C844" t="s">
        <v>857</v>
      </c>
      <c r="D844" t="s">
        <v>14</v>
      </c>
      <c r="E844">
        <v>18</v>
      </c>
      <c r="F844">
        <v>8</v>
      </c>
      <c r="G844">
        <v>2</v>
      </c>
      <c r="H844">
        <v>3</v>
      </c>
      <c r="I844">
        <v>69.55</v>
      </c>
    </row>
    <row r="845" spans="1:9" x14ac:dyDescent="0.3">
      <c r="A845">
        <v>844</v>
      </c>
      <c r="B845">
        <v>0</v>
      </c>
      <c r="C845" t="s">
        <v>858</v>
      </c>
      <c r="D845" t="s">
        <v>14</v>
      </c>
      <c r="E845">
        <v>35</v>
      </c>
      <c r="F845">
        <v>0</v>
      </c>
      <c r="G845">
        <v>0</v>
      </c>
      <c r="H845">
        <v>3</v>
      </c>
      <c r="I845">
        <v>7.8958000000000004</v>
      </c>
    </row>
    <row r="846" spans="1:9" x14ac:dyDescent="0.3">
      <c r="A846">
        <v>845</v>
      </c>
      <c r="B846">
        <v>0</v>
      </c>
      <c r="C846" t="s">
        <v>859</v>
      </c>
      <c r="D846" t="s">
        <v>14</v>
      </c>
      <c r="E846">
        <v>28</v>
      </c>
      <c r="F846">
        <v>0</v>
      </c>
      <c r="G846">
        <v>1</v>
      </c>
      <c r="H846">
        <v>2</v>
      </c>
      <c r="I846">
        <v>33</v>
      </c>
    </row>
    <row r="847" spans="1:9" x14ac:dyDescent="0.3">
      <c r="A847">
        <v>846</v>
      </c>
      <c r="B847">
        <v>1</v>
      </c>
      <c r="C847" t="s">
        <v>860</v>
      </c>
      <c r="D847" t="s">
        <v>16</v>
      </c>
      <c r="E847">
        <v>40</v>
      </c>
      <c r="F847">
        <v>1</v>
      </c>
      <c r="G847">
        <v>0</v>
      </c>
      <c r="H847">
        <v>1</v>
      </c>
      <c r="I847">
        <v>89.104200000000006</v>
      </c>
    </row>
    <row r="848" spans="1:9" x14ac:dyDescent="0.3">
      <c r="A848">
        <v>847</v>
      </c>
      <c r="B848">
        <v>0</v>
      </c>
      <c r="C848" t="s">
        <v>861</v>
      </c>
      <c r="D848" t="s">
        <v>14</v>
      </c>
      <c r="E848">
        <v>4</v>
      </c>
      <c r="F848">
        <v>4</v>
      </c>
      <c r="G848">
        <v>2</v>
      </c>
      <c r="H848">
        <v>3</v>
      </c>
      <c r="I848">
        <v>31.274999999999999</v>
      </c>
    </row>
    <row r="849" spans="1:9" x14ac:dyDescent="0.3">
      <c r="A849">
        <v>848</v>
      </c>
      <c r="B849">
        <v>0</v>
      </c>
      <c r="C849" t="s">
        <v>862</v>
      </c>
      <c r="D849" t="s">
        <v>14</v>
      </c>
      <c r="E849">
        <v>74</v>
      </c>
      <c r="F849">
        <v>0</v>
      </c>
      <c r="G849">
        <v>0</v>
      </c>
      <c r="H849">
        <v>3</v>
      </c>
      <c r="I849">
        <v>7.7750000000000004</v>
      </c>
    </row>
    <row r="850" spans="1:9" x14ac:dyDescent="0.3">
      <c r="A850">
        <v>849</v>
      </c>
      <c r="B850">
        <v>0</v>
      </c>
      <c r="C850" t="s">
        <v>863</v>
      </c>
      <c r="D850" t="s">
        <v>16</v>
      </c>
      <c r="E850">
        <v>9</v>
      </c>
      <c r="F850">
        <v>1</v>
      </c>
      <c r="G850">
        <v>1</v>
      </c>
      <c r="H850">
        <v>3</v>
      </c>
      <c r="I850">
        <v>15.245799999999999</v>
      </c>
    </row>
    <row r="851" spans="1:9" x14ac:dyDescent="0.3">
      <c r="A851">
        <v>850</v>
      </c>
      <c r="B851">
        <v>1</v>
      </c>
      <c r="C851" t="s">
        <v>864</v>
      </c>
      <c r="D851" t="s">
        <v>16</v>
      </c>
      <c r="E851">
        <v>16</v>
      </c>
      <c r="F851">
        <v>0</v>
      </c>
      <c r="G851">
        <v>1</v>
      </c>
      <c r="H851">
        <v>1</v>
      </c>
      <c r="I851">
        <v>39.4</v>
      </c>
    </row>
    <row r="852" spans="1:9" x14ac:dyDescent="0.3">
      <c r="A852">
        <v>851</v>
      </c>
      <c r="B852">
        <v>0</v>
      </c>
      <c r="C852" t="s">
        <v>865</v>
      </c>
      <c r="D852" t="s">
        <v>16</v>
      </c>
      <c r="E852">
        <v>44</v>
      </c>
      <c r="F852">
        <v>1</v>
      </c>
      <c r="G852">
        <v>0</v>
      </c>
      <c r="H852">
        <v>2</v>
      </c>
      <c r="I852">
        <v>26</v>
      </c>
    </row>
    <row r="853" spans="1:9" x14ac:dyDescent="0.3">
      <c r="A853">
        <v>852</v>
      </c>
      <c r="B853">
        <v>1</v>
      </c>
      <c r="C853" t="s">
        <v>866</v>
      </c>
      <c r="D853" t="s">
        <v>16</v>
      </c>
      <c r="E853">
        <v>18</v>
      </c>
      <c r="F853">
        <v>0</v>
      </c>
      <c r="G853">
        <v>1</v>
      </c>
      <c r="H853">
        <v>3</v>
      </c>
      <c r="I853">
        <v>9.35</v>
      </c>
    </row>
    <row r="854" spans="1:9" x14ac:dyDescent="0.3">
      <c r="A854">
        <v>853</v>
      </c>
      <c r="B854">
        <v>1</v>
      </c>
      <c r="C854" t="s">
        <v>867</v>
      </c>
      <c r="D854" t="s">
        <v>16</v>
      </c>
      <c r="E854">
        <v>45</v>
      </c>
      <c r="F854">
        <v>1</v>
      </c>
      <c r="G854">
        <v>1</v>
      </c>
      <c r="H854">
        <v>1</v>
      </c>
      <c r="I854">
        <v>164.86670000000001</v>
      </c>
    </row>
    <row r="855" spans="1:9" x14ac:dyDescent="0.3">
      <c r="A855">
        <v>854</v>
      </c>
      <c r="B855">
        <v>1</v>
      </c>
      <c r="C855" t="s">
        <v>868</v>
      </c>
      <c r="D855" t="s">
        <v>14</v>
      </c>
      <c r="E855">
        <v>51</v>
      </c>
      <c r="F855">
        <v>0</v>
      </c>
      <c r="G855">
        <v>0</v>
      </c>
      <c r="H855">
        <v>1</v>
      </c>
      <c r="I855">
        <v>26.55</v>
      </c>
    </row>
    <row r="856" spans="1:9" x14ac:dyDescent="0.3">
      <c r="A856">
        <v>855</v>
      </c>
      <c r="B856">
        <v>1</v>
      </c>
      <c r="C856" t="s">
        <v>869</v>
      </c>
      <c r="D856" t="s">
        <v>16</v>
      </c>
      <c r="E856">
        <v>24</v>
      </c>
      <c r="F856">
        <v>0</v>
      </c>
      <c r="G856">
        <v>3</v>
      </c>
      <c r="H856">
        <v>3</v>
      </c>
      <c r="I856">
        <v>19.258299999999998</v>
      </c>
    </row>
    <row r="857" spans="1:9" x14ac:dyDescent="0.3">
      <c r="A857">
        <v>856</v>
      </c>
      <c r="B857">
        <v>0</v>
      </c>
      <c r="C857" t="s">
        <v>870</v>
      </c>
      <c r="D857" t="s">
        <v>14</v>
      </c>
      <c r="E857">
        <v>30</v>
      </c>
      <c r="F857">
        <v>0</v>
      </c>
      <c r="G857">
        <v>0</v>
      </c>
      <c r="H857">
        <v>3</v>
      </c>
      <c r="I857">
        <v>7.2291999999999996</v>
      </c>
    </row>
    <row r="858" spans="1:9" x14ac:dyDescent="0.3">
      <c r="A858">
        <v>857</v>
      </c>
      <c r="B858">
        <v>0</v>
      </c>
      <c r="C858" t="s">
        <v>871</v>
      </c>
      <c r="D858" t="s">
        <v>14</v>
      </c>
      <c r="E858">
        <v>41</v>
      </c>
      <c r="F858">
        <v>2</v>
      </c>
      <c r="G858">
        <v>0</v>
      </c>
      <c r="H858">
        <v>3</v>
      </c>
      <c r="I858">
        <v>14.1083</v>
      </c>
    </row>
    <row r="859" spans="1:9" x14ac:dyDescent="0.3">
      <c r="A859">
        <v>858</v>
      </c>
      <c r="B859">
        <v>0</v>
      </c>
      <c r="C859" t="s">
        <v>872</v>
      </c>
      <c r="D859" t="s">
        <v>14</v>
      </c>
      <c r="E859">
        <v>21</v>
      </c>
      <c r="F859">
        <v>1</v>
      </c>
      <c r="G859">
        <v>0</v>
      </c>
      <c r="H859">
        <v>2</v>
      </c>
      <c r="I859">
        <v>11.5</v>
      </c>
    </row>
    <row r="860" spans="1:9" x14ac:dyDescent="0.3">
      <c r="A860">
        <v>859</v>
      </c>
      <c r="B860">
        <v>1</v>
      </c>
      <c r="C860" t="s">
        <v>873</v>
      </c>
      <c r="D860" t="s">
        <v>16</v>
      </c>
      <c r="E860">
        <v>48</v>
      </c>
      <c r="F860">
        <v>0</v>
      </c>
      <c r="G860">
        <v>0</v>
      </c>
      <c r="H860">
        <v>1</v>
      </c>
      <c r="I860">
        <v>25.929200000000002</v>
      </c>
    </row>
    <row r="861" spans="1:9" x14ac:dyDescent="0.3">
      <c r="A861">
        <v>860</v>
      </c>
      <c r="B861">
        <v>0</v>
      </c>
      <c r="C861" t="s">
        <v>874</v>
      </c>
      <c r="D861" t="s">
        <v>16</v>
      </c>
      <c r="E861">
        <v>14</v>
      </c>
      <c r="F861">
        <v>8</v>
      </c>
      <c r="G861">
        <v>2</v>
      </c>
      <c r="H861">
        <v>3</v>
      </c>
      <c r="I861">
        <v>69.55</v>
      </c>
    </row>
    <row r="862" spans="1:9" x14ac:dyDescent="0.3">
      <c r="A862">
        <v>861</v>
      </c>
      <c r="B862">
        <v>0</v>
      </c>
      <c r="C862" t="s">
        <v>875</v>
      </c>
      <c r="D862" t="s">
        <v>14</v>
      </c>
      <c r="E862">
        <v>24</v>
      </c>
      <c r="F862">
        <v>0</v>
      </c>
      <c r="G862">
        <v>0</v>
      </c>
      <c r="H862">
        <v>2</v>
      </c>
      <c r="I862">
        <v>13</v>
      </c>
    </row>
    <row r="863" spans="1:9" x14ac:dyDescent="0.3">
      <c r="A863">
        <v>862</v>
      </c>
      <c r="B863">
        <v>1</v>
      </c>
      <c r="C863" t="s">
        <v>876</v>
      </c>
      <c r="D863" t="s">
        <v>16</v>
      </c>
      <c r="E863">
        <v>42</v>
      </c>
      <c r="F863">
        <v>0</v>
      </c>
      <c r="G863">
        <v>0</v>
      </c>
      <c r="H863">
        <v>2</v>
      </c>
      <c r="I863">
        <v>13</v>
      </c>
    </row>
    <row r="864" spans="1:9" x14ac:dyDescent="0.3">
      <c r="A864">
        <v>863</v>
      </c>
      <c r="B864">
        <v>1</v>
      </c>
      <c r="C864" t="s">
        <v>877</v>
      </c>
      <c r="D864" t="s">
        <v>16</v>
      </c>
      <c r="E864">
        <v>27</v>
      </c>
      <c r="F864">
        <v>1</v>
      </c>
      <c r="G864">
        <v>0</v>
      </c>
      <c r="H864">
        <v>2</v>
      </c>
      <c r="I864">
        <v>13.8583</v>
      </c>
    </row>
    <row r="865" spans="1:9" x14ac:dyDescent="0.3">
      <c r="A865">
        <v>864</v>
      </c>
      <c r="B865">
        <v>0</v>
      </c>
      <c r="C865" t="s">
        <v>878</v>
      </c>
      <c r="D865" t="s">
        <v>14</v>
      </c>
      <c r="E865">
        <v>31</v>
      </c>
      <c r="F865">
        <v>0</v>
      </c>
      <c r="G865">
        <v>0</v>
      </c>
      <c r="H865">
        <v>1</v>
      </c>
      <c r="I865">
        <v>50.495800000000003</v>
      </c>
    </row>
    <row r="866" spans="1:9" x14ac:dyDescent="0.3">
      <c r="A866">
        <v>865</v>
      </c>
      <c r="B866">
        <v>0</v>
      </c>
      <c r="C866" t="s">
        <v>879</v>
      </c>
      <c r="D866" t="s">
        <v>14</v>
      </c>
      <c r="E866">
        <v>23</v>
      </c>
      <c r="F866">
        <v>0</v>
      </c>
      <c r="G866">
        <v>0</v>
      </c>
      <c r="H866">
        <v>3</v>
      </c>
      <c r="I866">
        <v>9.5</v>
      </c>
    </row>
    <row r="867" spans="1:9" x14ac:dyDescent="0.3">
      <c r="A867">
        <v>866</v>
      </c>
      <c r="B867">
        <v>1</v>
      </c>
      <c r="C867" t="s">
        <v>880</v>
      </c>
      <c r="D867" t="s">
        <v>14</v>
      </c>
      <c r="E867">
        <v>4</v>
      </c>
      <c r="F867">
        <v>1</v>
      </c>
      <c r="G867">
        <v>1</v>
      </c>
      <c r="H867">
        <v>3</v>
      </c>
      <c r="I867">
        <v>11.1333</v>
      </c>
    </row>
    <row r="868" spans="1:9" x14ac:dyDescent="0.3">
      <c r="A868">
        <v>867</v>
      </c>
      <c r="B868">
        <v>0</v>
      </c>
      <c r="C868" t="s">
        <v>881</v>
      </c>
      <c r="D868" t="s">
        <v>14</v>
      </c>
      <c r="E868">
        <v>26</v>
      </c>
      <c r="F868">
        <v>0</v>
      </c>
      <c r="G868">
        <v>0</v>
      </c>
      <c r="H868">
        <v>3</v>
      </c>
      <c r="I868">
        <v>7.8958000000000004</v>
      </c>
    </row>
    <row r="869" spans="1:9" x14ac:dyDescent="0.3">
      <c r="A869">
        <v>868</v>
      </c>
      <c r="B869">
        <v>1</v>
      </c>
      <c r="C869" t="s">
        <v>882</v>
      </c>
      <c r="D869" t="s">
        <v>16</v>
      </c>
      <c r="E869">
        <v>47</v>
      </c>
      <c r="F869">
        <v>1</v>
      </c>
      <c r="G869">
        <v>1</v>
      </c>
      <c r="H869">
        <v>1</v>
      </c>
      <c r="I869">
        <v>52.554200000000002</v>
      </c>
    </row>
    <row r="870" spans="1:9" x14ac:dyDescent="0.3">
      <c r="A870">
        <v>869</v>
      </c>
      <c r="B870">
        <v>0</v>
      </c>
      <c r="C870" t="s">
        <v>883</v>
      </c>
      <c r="D870" t="s">
        <v>14</v>
      </c>
      <c r="E870">
        <v>33</v>
      </c>
      <c r="F870">
        <v>0</v>
      </c>
      <c r="G870">
        <v>0</v>
      </c>
      <c r="H870">
        <v>1</v>
      </c>
      <c r="I870">
        <v>5</v>
      </c>
    </row>
    <row r="871" spans="1:9" x14ac:dyDescent="0.3">
      <c r="A871">
        <v>870</v>
      </c>
      <c r="B871">
        <v>0</v>
      </c>
      <c r="C871" t="s">
        <v>884</v>
      </c>
      <c r="D871" t="s">
        <v>14</v>
      </c>
      <c r="E871">
        <v>47</v>
      </c>
      <c r="F871">
        <v>0</v>
      </c>
      <c r="G871">
        <v>0</v>
      </c>
      <c r="H871">
        <v>3</v>
      </c>
      <c r="I871">
        <v>9</v>
      </c>
    </row>
    <row r="872" spans="1:9" x14ac:dyDescent="0.3">
      <c r="A872">
        <v>871</v>
      </c>
      <c r="B872">
        <v>1</v>
      </c>
      <c r="C872" t="s">
        <v>885</v>
      </c>
      <c r="D872" t="s">
        <v>16</v>
      </c>
      <c r="E872">
        <v>28</v>
      </c>
      <c r="F872">
        <v>1</v>
      </c>
      <c r="G872">
        <v>0</v>
      </c>
      <c r="H872">
        <v>2</v>
      </c>
      <c r="I872">
        <v>24</v>
      </c>
    </row>
    <row r="873" spans="1:9" x14ac:dyDescent="0.3">
      <c r="A873">
        <v>872</v>
      </c>
      <c r="B873">
        <v>1</v>
      </c>
      <c r="C873" t="s">
        <v>886</v>
      </c>
      <c r="D873" t="s">
        <v>16</v>
      </c>
      <c r="E873">
        <v>15</v>
      </c>
      <c r="F873">
        <v>0</v>
      </c>
      <c r="G873">
        <v>0</v>
      </c>
      <c r="H873">
        <v>3</v>
      </c>
      <c r="I873">
        <v>7.2249999999999996</v>
      </c>
    </row>
    <row r="874" spans="1:9" x14ac:dyDescent="0.3">
      <c r="A874">
        <v>873</v>
      </c>
      <c r="B874">
        <v>0</v>
      </c>
      <c r="C874" t="s">
        <v>887</v>
      </c>
      <c r="D874" t="s">
        <v>14</v>
      </c>
      <c r="E874">
        <v>20</v>
      </c>
      <c r="F874">
        <v>0</v>
      </c>
      <c r="G874">
        <v>0</v>
      </c>
      <c r="H874">
        <v>3</v>
      </c>
      <c r="I874">
        <v>9.8458000000000006</v>
      </c>
    </row>
    <row r="875" spans="1:9" x14ac:dyDescent="0.3">
      <c r="A875">
        <v>874</v>
      </c>
      <c r="B875">
        <v>0</v>
      </c>
      <c r="C875" t="s">
        <v>888</v>
      </c>
      <c r="D875" t="s">
        <v>14</v>
      </c>
      <c r="E875">
        <v>19</v>
      </c>
      <c r="F875">
        <v>0</v>
      </c>
      <c r="G875">
        <v>0</v>
      </c>
      <c r="H875">
        <v>3</v>
      </c>
      <c r="I875">
        <v>7.8958000000000004</v>
      </c>
    </row>
    <row r="876" spans="1:9" x14ac:dyDescent="0.3">
      <c r="A876">
        <v>875</v>
      </c>
      <c r="B876">
        <v>0</v>
      </c>
      <c r="C876" t="s">
        <v>889</v>
      </c>
      <c r="D876" t="s">
        <v>14</v>
      </c>
      <c r="E876">
        <v>23</v>
      </c>
      <c r="F876">
        <v>0</v>
      </c>
      <c r="G876">
        <v>0</v>
      </c>
      <c r="H876">
        <v>3</v>
      </c>
      <c r="I876">
        <v>7.8958000000000004</v>
      </c>
    </row>
    <row r="877" spans="1:9" x14ac:dyDescent="0.3">
      <c r="A877">
        <v>876</v>
      </c>
      <c r="B877">
        <v>1</v>
      </c>
      <c r="C877" t="s">
        <v>890</v>
      </c>
      <c r="D877" t="s">
        <v>16</v>
      </c>
      <c r="E877">
        <v>56</v>
      </c>
      <c r="F877">
        <v>0</v>
      </c>
      <c r="G877">
        <v>1</v>
      </c>
      <c r="H877">
        <v>1</v>
      </c>
      <c r="I877">
        <v>83.158299999999997</v>
      </c>
    </row>
    <row r="878" spans="1:9" x14ac:dyDescent="0.3">
      <c r="A878">
        <v>877</v>
      </c>
      <c r="B878">
        <v>1</v>
      </c>
      <c r="C878" t="s">
        <v>891</v>
      </c>
      <c r="D878" t="s">
        <v>16</v>
      </c>
      <c r="E878">
        <v>25</v>
      </c>
      <c r="F878">
        <v>0</v>
      </c>
      <c r="G878">
        <v>1</v>
      </c>
      <c r="H878">
        <v>2</v>
      </c>
      <c r="I878">
        <v>26</v>
      </c>
    </row>
    <row r="879" spans="1:9" x14ac:dyDescent="0.3">
      <c r="A879">
        <v>878</v>
      </c>
      <c r="B879">
        <v>0</v>
      </c>
      <c r="C879" t="s">
        <v>892</v>
      </c>
      <c r="D879" t="s">
        <v>14</v>
      </c>
      <c r="E879">
        <v>33</v>
      </c>
      <c r="F879">
        <v>0</v>
      </c>
      <c r="G879">
        <v>0</v>
      </c>
      <c r="H879">
        <v>3</v>
      </c>
      <c r="I879">
        <v>7.8958000000000004</v>
      </c>
    </row>
    <row r="880" spans="1:9" x14ac:dyDescent="0.3">
      <c r="A880">
        <v>879</v>
      </c>
      <c r="B880">
        <v>0</v>
      </c>
      <c r="C880" t="s">
        <v>893</v>
      </c>
      <c r="D880" t="s">
        <v>16</v>
      </c>
      <c r="E880">
        <v>22</v>
      </c>
      <c r="F880">
        <v>0</v>
      </c>
      <c r="G880">
        <v>0</v>
      </c>
      <c r="H880">
        <v>3</v>
      </c>
      <c r="I880">
        <v>10.5167</v>
      </c>
    </row>
    <row r="881" spans="1:9" x14ac:dyDescent="0.3">
      <c r="A881">
        <v>880</v>
      </c>
      <c r="B881">
        <v>0</v>
      </c>
      <c r="C881" t="s">
        <v>894</v>
      </c>
      <c r="D881" t="s">
        <v>14</v>
      </c>
      <c r="E881">
        <v>28</v>
      </c>
      <c r="F881">
        <v>0</v>
      </c>
      <c r="G881">
        <v>0</v>
      </c>
      <c r="H881">
        <v>2</v>
      </c>
      <c r="I881">
        <v>10.5</v>
      </c>
    </row>
    <row r="882" spans="1:9" x14ac:dyDescent="0.3">
      <c r="A882">
        <v>881</v>
      </c>
      <c r="B882">
        <v>0</v>
      </c>
      <c r="C882" t="s">
        <v>895</v>
      </c>
      <c r="D882" t="s">
        <v>14</v>
      </c>
      <c r="E882">
        <v>25</v>
      </c>
      <c r="F882">
        <v>0</v>
      </c>
      <c r="G882">
        <v>0</v>
      </c>
      <c r="H882">
        <v>3</v>
      </c>
      <c r="I882">
        <v>7.05</v>
      </c>
    </row>
    <row r="883" spans="1:9" x14ac:dyDescent="0.3">
      <c r="A883">
        <v>882</v>
      </c>
      <c r="B883">
        <v>0</v>
      </c>
      <c r="C883" t="s">
        <v>896</v>
      </c>
      <c r="D883" t="s">
        <v>16</v>
      </c>
      <c r="E883">
        <v>39</v>
      </c>
      <c r="F883">
        <v>0</v>
      </c>
      <c r="G883">
        <v>5</v>
      </c>
      <c r="H883">
        <v>3</v>
      </c>
      <c r="I883">
        <v>29.125</v>
      </c>
    </row>
    <row r="884" spans="1:9" x14ac:dyDescent="0.3">
      <c r="A884">
        <v>883</v>
      </c>
      <c r="B884">
        <v>0</v>
      </c>
      <c r="C884" t="s">
        <v>897</v>
      </c>
      <c r="D884" t="s">
        <v>14</v>
      </c>
      <c r="E884">
        <v>27</v>
      </c>
      <c r="F884">
        <v>0</v>
      </c>
      <c r="G884">
        <v>0</v>
      </c>
      <c r="H884">
        <v>2</v>
      </c>
      <c r="I884">
        <v>13</v>
      </c>
    </row>
    <row r="885" spans="1:9" x14ac:dyDescent="0.3">
      <c r="A885">
        <v>884</v>
      </c>
      <c r="B885">
        <v>1</v>
      </c>
      <c r="C885" t="s">
        <v>898</v>
      </c>
      <c r="D885" t="s">
        <v>16</v>
      </c>
      <c r="E885">
        <v>19</v>
      </c>
      <c r="F885">
        <v>0</v>
      </c>
      <c r="G885">
        <v>0</v>
      </c>
      <c r="H885">
        <v>1</v>
      </c>
      <c r="I885">
        <v>30</v>
      </c>
    </row>
    <row r="886" spans="1:9" x14ac:dyDescent="0.3">
      <c r="A886">
        <v>885</v>
      </c>
      <c r="B886">
        <v>0</v>
      </c>
      <c r="C886" t="s">
        <v>899</v>
      </c>
      <c r="D886" t="s">
        <v>16</v>
      </c>
      <c r="E886">
        <v>7</v>
      </c>
      <c r="F886">
        <v>1</v>
      </c>
      <c r="G886">
        <v>2</v>
      </c>
      <c r="H886">
        <v>3</v>
      </c>
      <c r="I886">
        <v>23.45</v>
      </c>
    </row>
    <row r="887" spans="1:9" x14ac:dyDescent="0.3">
      <c r="A887">
        <v>886</v>
      </c>
      <c r="B887">
        <v>1</v>
      </c>
      <c r="C887" t="s">
        <v>900</v>
      </c>
      <c r="D887" t="s">
        <v>14</v>
      </c>
      <c r="E887">
        <v>26</v>
      </c>
      <c r="F887">
        <v>0</v>
      </c>
      <c r="G887">
        <v>0</v>
      </c>
      <c r="H887">
        <v>1</v>
      </c>
      <c r="I887">
        <v>30</v>
      </c>
    </row>
    <row r="888" spans="1:9" x14ac:dyDescent="0.3">
      <c r="A888">
        <v>887</v>
      </c>
      <c r="B888">
        <v>0</v>
      </c>
      <c r="C888" t="s">
        <v>901</v>
      </c>
      <c r="D888" t="s">
        <v>14</v>
      </c>
      <c r="E888">
        <v>32</v>
      </c>
      <c r="F888">
        <v>0</v>
      </c>
      <c r="G888">
        <v>0</v>
      </c>
      <c r="H888">
        <v>3</v>
      </c>
      <c r="I888">
        <v>7.75</v>
      </c>
    </row>
  </sheetData>
  <hyperlinks>
    <hyperlink ref="M1" r:id="rId1" xr:uid="{B11CAFBF-5210-419E-B21A-3DFC2E4EFF86}"/>
    <hyperlink ref="M2" r:id="rId2" xr:uid="{0F1063EB-5A15-4BA3-985A-70D7F72506D7}"/>
    <hyperlink ref="M3" r:id="rId3" xr:uid="{83B87D49-3CCD-4DBA-82DA-51CACC1F59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F3FBF-C971-454E-91B2-DB73C4B292DB}">
  <dimension ref="A1:W888"/>
  <sheetViews>
    <sheetView topLeftCell="B7" workbookViewId="0">
      <selection activeCell="Q25" sqref="Q25"/>
    </sheetView>
  </sheetViews>
  <sheetFormatPr defaultRowHeight="14.4" x14ac:dyDescent="0.3"/>
  <sheetData>
    <row r="1" spans="1:23" x14ac:dyDescent="0.3">
      <c r="A1" t="s">
        <v>4</v>
      </c>
      <c r="B1" t="s">
        <v>5</v>
      </c>
      <c r="C1" t="s">
        <v>1878</v>
      </c>
      <c r="D1" t="s">
        <v>1861</v>
      </c>
      <c r="E1" t="s">
        <v>6</v>
      </c>
      <c r="F1" t="s">
        <v>7</v>
      </c>
      <c r="G1" t="s">
        <v>8</v>
      </c>
      <c r="H1" t="s">
        <v>9</v>
      </c>
      <c r="I1" t="s">
        <v>10</v>
      </c>
      <c r="J1" t="s">
        <v>11</v>
      </c>
      <c r="K1" t="s">
        <v>12</v>
      </c>
      <c r="L1" t="s">
        <v>1867</v>
      </c>
      <c r="M1" t="s">
        <v>1869</v>
      </c>
      <c r="N1" t="s">
        <v>1870</v>
      </c>
      <c r="O1" t="s">
        <v>1871</v>
      </c>
      <c r="Q1" s="7" t="s">
        <v>939</v>
      </c>
    </row>
    <row r="2" spans="1:23" x14ac:dyDescent="0.3">
      <c r="A2">
        <v>1</v>
      </c>
      <c r="B2">
        <v>0</v>
      </c>
      <c r="C2" t="str">
        <f>IF(B2=0,"No","Yes")</f>
        <v>No</v>
      </c>
      <c r="D2" t="s">
        <v>956</v>
      </c>
      <c r="E2" t="s">
        <v>957</v>
      </c>
      <c r="F2" t="str" cm="1">
        <f t="array" ref="F2">IF(OR(COUNTIF(D2,"*"&amp;$T$9:$T$15&amp;"*")),"Female","Male")</f>
        <v>Male</v>
      </c>
      <c r="G2">
        <v>22</v>
      </c>
      <c r="H2">
        <v>1</v>
      </c>
      <c r="I2">
        <v>0</v>
      </c>
      <c r="J2">
        <v>3</v>
      </c>
      <c r="K2">
        <v>7.25</v>
      </c>
      <c r="L2">
        <f>IF(F2 = "Male", 0, 1)</f>
        <v>0</v>
      </c>
      <c r="M2">
        <f>ROUND(G2, 0)</f>
        <v>22</v>
      </c>
      <c r="N2" t="str">
        <f>IF(G2&lt;=16,"Child","Adult")</f>
        <v>Adult</v>
      </c>
      <c r="O2">
        <f>ROUND(K2, 2)</f>
        <v>7.25</v>
      </c>
      <c r="Q2" s="7" t="s">
        <v>954</v>
      </c>
    </row>
    <row r="3" spans="1:23" x14ac:dyDescent="0.3">
      <c r="A3">
        <v>2</v>
      </c>
      <c r="B3">
        <v>1</v>
      </c>
      <c r="C3" t="str">
        <f t="shared" ref="C3:C66" si="0">IF(B3=0,"No","Yes")</f>
        <v>Yes</v>
      </c>
      <c r="D3" t="s">
        <v>958</v>
      </c>
      <c r="E3" t="s">
        <v>959</v>
      </c>
      <c r="F3" t="str" cm="1">
        <f t="array" ref="F3">IF(OR(COUNTIF(D3,"*"&amp;$T$9:$T$15&amp;"*")),"Female","Male")</f>
        <v>Female</v>
      </c>
      <c r="G3">
        <v>38</v>
      </c>
      <c r="H3">
        <v>1</v>
      </c>
      <c r="I3">
        <v>0</v>
      </c>
      <c r="J3">
        <v>1</v>
      </c>
      <c r="K3">
        <v>71.283299999999997</v>
      </c>
      <c r="L3">
        <f t="shared" ref="L3:L66" si="1">IF(F3 = "Male", 0, 1)</f>
        <v>1</v>
      </c>
      <c r="M3">
        <f t="shared" ref="M3:M66" si="2">ROUND(G3, 0)</f>
        <v>38</v>
      </c>
      <c r="N3" t="str">
        <f t="shared" ref="N3:N66" si="3">IF(G3&lt;=16,"Child","Adult")</f>
        <v>Adult</v>
      </c>
      <c r="O3">
        <f t="shared" ref="O3:O66" si="4">ROUND(K3, 2)</f>
        <v>71.28</v>
      </c>
      <c r="Q3" s="7" t="s">
        <v>955</v>
      </c>
    </row>
    <row r="4" spans="1:23" x14ac:dyDescent="0.3">
      <c r="A4">
        <v>3</v>
      </c>
      <c r="B4">
        <v>1</v>
      </c>
      <c r="C4" t="str">
        <f t="shared" si="0"/>
        <v>Yes</v>
      </c>
      <c r="D4" t="s">
        <v>960</v>
      </c>
      <c r="E4" t="s">
        <v>961</v>
      </c>
      <c r="F4" t="str" cm="1">
        <f t="array" ref="F4">IF(OR(COUNTIF(D4,"*"&amp;$T$9:$T$15&amp;"*")),"Female","Male")</f>
        <v>Female</v>
      </c>
      <c r="G4">
        <v>26</v>
      </c>
      <c r="H4">
        <v>0</v>
      </c>
      <c r="I4">
        <v>0</v>
      </c>
      <c r="J4">
        <v>3</v>
      </c>
      <c r="K4">
        <v>7.9249999999999998</v>
      </c>
      <c r="L4">
        <f t="shared" si="1"/>
        <v>1</v>
      </c>
      <c r="M4">
        <f t="shared" si="2"/>
        <v>26</v>
      </c>
      <c r="N4" t="str">
        <f t="shared" si="3"/>
        <v>Adult</v>
      </c>
      <c r="O4">
        <f t="shared" si="4"/>
        <v>7.93</v>
      </c>
    </row>
    <row r="5" spans="1:23" x14ac:dyDescent="0.3">
      <c r="A5">
        <v>4</v>
      </c>
      <c r="B5">
        <v>1</v>
      </c>
      <c r="C5" t="str">
        <f t="shared" si="0"/>
        <v>Yes</v>
      </c>
      <c r="D5" t="s">
        <v>958</v>
      </c>
      <c r="E5" t="s">
        <v>962</v>
      </c>
      <c r="F5" t="str" cm="1">
        <f t="array" ref="F5">IF(OR(COUNTIF(D5,"*"&amp;$T$9:$T$15&amp;"*")),"Female","Male")</f>
        <v>Female</v>
      </c>
      <c r="G5">
        <v>35</v>
      </c>
      <c r="H5">
        <v>1</v>
      </c>
      <c r="I5">
        <v>0</v>
      </c>
      <c r="J5">
        <v>1</v>
      </c>
      <c r="K5">
        <v>53.1</v>
      </c>
      <c r="L5">
        <f t="shared" si="1"/>
        <v>1</v>
      </c>
      <c r="M5">
        <f t="shared" si="2"/>
        <v>35</v>
      </c>
      <c r="N5" t="str">
        <f t="shared" si="3"/>
        <v>Adult</v>
      </c>
      <c r="O5">
        <f t="shared" si="4"/>
        <v>53.1</v>
      </c>
      <c r="Q5" t="s">
        <v>1860</v>
      </c>
    </row>
    <row r="6" spans="1:23" x14ac:dyDescent="0.3">
      <c r="A6">
        <v>5</v>
      </c>
      <c r="B6">
        <v>0</v>
      </c>
      <c r="C6" t="str">
        <f t="shared" si="0"/>
        <v>No</v>
      </c>
      <c r="D6" t="s">
        <v>956</v>
      </c>
      <c r="E6" t="s">
        <v>963</v>
      </c>
      <c r="F6" t="str" cm="1">
        <f t="array" ref="F6">IF(OR(COUNTIF(D6,"*"&amp;$T$9:$T$15&amp;"*")),"Female","Male")</f>
        <v>Male</v>
      </c>
      <c r="G6">
        <v>35</v>
      </c>
      <c r="H6">
        <v>0</v>
      </c>
      <c r="I6">
        <v>0</v>
      </c>
      <c r="J6">
        <v>3</v>
      </c>
      <c r="K6">
        <v>8.0500000000000007</v>
      </c>
      <c r="L6">
        <f t="shared" si="1"/>
        <v>0</v>
      </c>
      <c r="M6">
        <f t="shared" si="2"/>
        <v>35</v>
      </c>
      <c r="N6" t="str">
        <f t="shared" si="3"/>
        <v>Adult</v>
      </c>
      <c r="O6">
        <f t="shared" si="4"/>
        <v>8.0500000000000007</v>
      </c>
    </row>
    <row r="7" spans="1:23" x14ac:dyDescent="0.3">
      <c r="A7">
        <v>6</v>
      </c>
      <c r="B7">
        <v>0</v>
      </c>
      <c r="C7" t="str">
        <f t="shared" si="0"/>
        <v>No</v>
      </c>
      <c r="D7" t="s">
        <v>956</v>
      </c>
      <c r="E7" t="s">
        <v>964</v>
      </c>
      <c r="F7" t="str" cm="1">
        <f t="array" ref="F7">IF(OR(COUNTIF(D7,"*"&amp;$T$9:$T$15&amp;"*")),"Female","Male")</f>
        <v>Male</v>
      </c>
      <c r="G7">
        <v>27</v>
      </c>
      <c r="H7">
        <v>0</v>
      </c>
      <c r="I7">
        <v>0</v>
      </c>
      <c r="J7">
        <v>3</v>
      </c>
      <c r="K7">
        <v>8.4582999999999995</v>
      </c>
      <c r="L7">
        <f t="shared" si="1"/>
        <v>0</v>
      </c>
      <c r="M7">
        <f t="shared" si="2"/>
        <v>27</v>
      </c>
      <c r="N7" t="str">
        <f t="shared" si="3"/>
        <v>Adult</v>
      </c>
      <c r="O7">
        <f t="shared" si="4"/>
        <v>8.4600000000000009</v>
      </c>
    </row>
    <row r="8" spans="1:23" x14ac:dyDescent="0.3">
      <c r="A8">
        <v>7</v>
      </c>
      <c r="B8">
        <v>0</v>
      </c>
      <c r="C8" t="str">
        <f t="shared" si="0"/>
        <v>No</v>
      </c>
      <c r="D8" t="s">
        <v>956</v>
      </c>
      <c r="E8" t="s">
        <v>965</v>
      </c>
      <c r="F8" t="str" cm="1">
        <f t="array" ref="F8">IF(OR(COUNTIF(D8,"*"&amp;$T$9:$T$15&amp;"*")),"Female","Male")</f>
        <v>Male</v>
      </c>
      <c r="G8">
        <v>54</v>
      </c>
      <c r="H8">
        <v>0</v>
      </c>
      <c r="I8">
        <v>0</v>
      </c>
      <c r="J8">
        <v>1</v>
      </c>
      <c r="K8">
        <v>51.862499999999997</v>
      </c>
      <c r="L8">
        <f t="shared" si="1"/>
        <v>0</v>
      </c>
      <c r="M8">
        <f t="shared" si="2"/>
        <v>54</v>
      </c>
      <c r="N8" t="str">
        <f t="shared" si="3"/>
        <v>Adult</v>
      </c>
      <c r="O8">
        <f t="shared" si="4"/>
        <v>51.86</v>
      </c>
      <c r="Q8" t="s">
        <v>1862</v>
      </c>
      <c r="T8" t="s">
        <v>1864</v>
      </c>
      <c r="W8" t="s">
        <v>1865</v>
      </c>
    </row>
    <row r="9" spans="1:23" x14ac:dyDescent="0.3">
      <c r="A9">
        <v>8</v>
      </c>
      <c r="B9">
        <v>0</v>
      </c>
      <c r="C9" t="str">
        <f t="shared" si="0"/>
        <v>No</v>
      </c>
      <c r="D9" t="s">
        <v>966</v>
      </c>
      <c r="E9" t="s">
        <v>967</v>
      </c>
      <c r="F9" t="str" cm="1">
        <f t="array" ref="F9">IF(OR(COUNTIF(D9,"*"&amp;$T$9:$T$15&amp;"*")),"Female","Male")</f>
        <v>Male</v>
      </c>
      <c r="G9">
        <v>2</v>
      </c>
      <c r="H9">
        <v>3</v>
      </c>
      <c r="I9">
        <v>1</v>
      </c>
      <c r="J9">
        <v>3</v>
      </c>
      <c r="K9">
        <v>21.074999999999999</v>
      </c>
      <c r="L9">
        <f t="shared" si="1"/>
        <v>0</v>
      </c>
      <c r="M9">
        <f t="shared" si="2"/>
        <v>2</v>
      </c>
      <c r="N9" t="str">
        <f t="shared" si="3"/>
        <v>Child</v>
      </c>
      <c r="O9">
        <f t="shared" si="4"/>
        <v>21.08</v>
      </c>
      <c r="Q9" t="str" cm="1">
        <f t="array" ref="Q9:Q25">_xlfn.UNIQUE(D2:D888)</f>
        <v>Mr</v>
      </c>
      <c r="T9" t="s">
        <v>958</v>
      </c>
      <c r="W9" t="s">
        <v>1866</v>
      </c>
    </row>
    <row r="10" spans="1:23" x14ac:dyDescent="0.3">
      <c r="A10">
        <v>9</v>
      </c>
      <c r="B10">
        <v>1</v>
      </c>
      <c r="C10" t="str">
        <f t="shared" si="0"/>
        <v>Yes</v>
      </c>
      <c r="D10" t="s">
        <v>958</v>
      </c>
      <c r="E10" t="s">
        <v>968</v>
      </c>
      <c r="F10" t="str" cm="1">
        <f t="array" ref="F10">IF(OR(COUNTIF(D10,"*"&amp;$T$9:$T$15&amp;"*")),"Female","Male")</f>
        <v>Female</v>
      </c>
      <c r="G10">
        <v>27</v>
      </c>
      <c r="H10">
        <v>0</v>
      </c>
      <c r="I10">
        <v>2</v>
      </c>
      <c r="J10">
        <v>3</v>
      </c>
      <c r="K10">
        <v>11.1333</v>
      </c>
      <c r="L10">
        <f t="shared" si="1"/>
        <v>1</v>
      </c>
      <c r="M10">
        <f t="shared" si="2"/>
        <v>27</v>
      </c>
      <c r="N10" t="str">
        <f t="shared" si="3"/>
        <v>Adult</v>
      </c>
      <c r="O10">
        <f t="shared" si="4"/>
        <v>11.13</v>
      </c>
      <c r="Q10" t="str">
        <v>Mrs</v>
      </c>
      <c r="T10" t="s">
        <v>960</v>
      </c>
    </row>
    <row r="11" spans="1:23" x14ac:dyDescent="0.3">
      <c r="A11">
        <v>10</v>
      </c>
      <c r="B11">
        <v>1</v>
      </c>
      <c r="C11" t="str">
        <f t="shared" si="0"/>
        <v>Yes</v>
      </c>
      <c r="D11" t="s">
        <v>958</v>
      </c>
      <c r="E11" t="s">
        <v>969</v>
      </c>
      <c r="F11" t="str" cm="1">
        <f t="array" ref="F11">IF(OR(COUNTIF(D11,"*"&amp;$T$9:$T$15&amp;"*")),"Female","Male")</f>
        <v>Female</v>
      </c>
      <c r="G11">
        <v>14</v>
      </c>
      <c r="H11">
        <v>1</v>
      </c>
      <c r="I11">
        <v>0</v>
      </c>
      <c r="J11">
        <v>2</v>
      </c>
      <c r="K11">
        <v>30.070799999999998</v>
      </c>
      <c r="L11">
        <f t="shared" si="1"/>
        <v>1</v>
      </c>
      <c r="M11">
        <f t="shared" si="2"/>
        <v>14</v>
      </c>
      <c r="N11" t="str">
        <f t="shared" si="3"/>
        <v>Child</v>
      </c>
      <c r="O11">
        <f t="shared" si="4"/>
        <v>30.07</v>
      </c>
      <c r="Q11" t="str">
        <v>Miss</v>
      </c>
      <c r="T11" t="s">
        <v>1330</v>
      </c>
      <c r="W11" t="s">
        <v>1868</v>
      </c>
    </row>
    <row r="12" spans="1:23" x14ac:dyDescent="0.3">
      <c r="A12">
        <v>11</v>
      </c>
      <c r="B12">
        <v>1</v>
      </c>
      <c r="C12" t="str">
        <f t="shared" si="0"/>
        <v>Yes</v>
      </c>
      <c r="D12" t="s">
        <v>960</v>
      </c>
      <c r="E12" t="s">
        <v>970</v>
      </c>
      <c r="F12" t="str" cm="1">
        <f t="array" ref="F12">IF(OR(COUNTIF(D12,"*"&amp;$T$9:$T$15&amp;"*")),"Female","Male")</f>
        <v>Female</v>
      </c>
      <c r="G12">
        <v>4</v>
      </c>
      <c r="H12">
        <v>1</v>
      </c>
      <c r="I12">
        <v>1</v>
      </c>
      <c r="J12">
        <v>3</v>
      </c>
      <c r="K12">
        <v>16.7</v>
      </c>
      <c r="L12">
        <f t="shared" si="1"/>
        <v>1</v>
      </c>
      <c r="M12">
        <f t="shared" si="2"/>
        <v>4</v>
      </c>
      <c r="N12" t="str">
        <f t="shared" si="3"/>
        <v>Child</v>
      </c>
      <c r="O12">
        <f t="shared" si="4"/>
        <v>16.7</v>
      </c>
      <c r="Q12" t="str">
        <v>Master</v>
      </c>
      <c r="T12" t="s">
        <v>1404</v>
      </c>
    </row>
    <row r="13" spans="1:23" x14ac:dyDescent="0.3">
      <c r="A13">
        <v>12</v>
      </c>
      <c r="B13">
        <v>1</v>
      </c>
      <c r="C13" t="str">
        <f t="shared" si="0"/>
        <v>Yes</v>
      </c>
      <c r="D13" t="s">
        <v>960</v>
      </c>
      <c r="E13" t="s">
        <v>971</v>
      </c>
      <c r="F13" t="str" cm="1">
        <f t="array" ref="F13">IF(OR(COUNTIF(D13,"*"&amp;$T$9:$T$15&amp;"*")),"Female","Male")</f>
        <v>Female</v>
      </c>
      <c r="G13">
        <v>58</v>
      </c>
      <c r="H13">
        <v>0</v>
      </c>
      <c r="I13">
        <v>0</v>
      </c>
      <c r="J13">
        <v>1</v>
      </c>
      <c r="K13">
        <v>26.55</v>
      </c>
      <c r="L13">
        <f t="shared" si="1"/>
        <v>1</v>
      </c>
      <c r="M13">
        <f t="shared" si="2"/>
        <v>58</v>
      </c>
      <c r="N13" t="str">
        <f t="shared" si="3"/>
        <v>Adult</v>
      </c>
      <c r="O13">
        <f t="shared" si="4"/>
        <v>26.55</v>
      </c>
      <c r="Q13" t="str">
        <v>Don</v>
      </c>
      <c r="T13" t="s">
        <v>1519</v>
      </c>
    </row>
    <row r="14" spans="1:23" x14ac:dyDescent="0.3">
      <c r="A14">
        <v>13</v>
      </c>
      <c r="B14">
        <v>0</v>
      </c>
      <c r="C14" t="str">
        <f t="shared" si="0"/>
        <v>No</v>
      </c>
      <c r="D14" t="s">
        <v>956</v>
      </c>
      <c r="E14" t="s">
        <v>972</v>
      </c>
      <c r="F14" t="str" cm="1">
        <f t="array" ref="F14">IF(OR(COUNTIF(D14,"*"&amp;$T$9:$T$15&amp;"*")),"Female","Male")</f>
        <v>Male</v>
      </c>
      <c r="G14">
        <v>20</v>
      </c>
      <c r="H14">
        <v>0</v>
      </c>
      <c r="I14">
        <v>0</v>
      </c>
      <c r="J14">
        <v>3</v>
      </c>
      <c r="K14">
        <v>8.0500000000000007</v>
      </c>
      <c r="L14">
        <f t="shared" si="1"/>
        <v>0</v>
      </c>
      <c r="M14">
        <f t="shared" si="2"/>
        <v>20</v>
      </c>
      <c r="N14" t="str">
        <f t="shared" si="3"/>
        <v>Adult</v>
      </c>
      <c r="O14">
        <f t="shared" si="4"/>
        <v>8.0500000000000007</v>
      </c>
      <c r="Q14" t="str">
        <v>Rev</v>
      </c>
      <c r="T14" t="s">
        <v>1606</v>
      </c>
    </row>
    <row r="15" spans="1:23" x14ac:dyDescent="0.3">
      <c r="A15">
        <v>14</v>
      </c>
      <c r="B15">
        <v>0</v>
      </c>
      <c r="C15" t="str">
        <f t="shared" si="0"/>
        <v>No</v>
      </c>
      <c r="D15" t="s">
        <v>956</v>
      </c>
      <c r="E15" t="s">
        <v>973</v>
      </c>
      <c r="F15" t="str" cm="1">
        <f t="array" ref="F15">IF(OR(COUNTIF(D15,"*"&amp;$T$9:$T$15&amp;"*")),"Female","Male")</f>
        <v>Male</v>
      </c>
      <c r="G15">
        <v>39</v>
      </c>
      <c r="H15">
        <v>1</v>
      </c>
      <c r="I15">
        <v>5</v>
      </c>
      <c r="J15">
        <v>3</v>
      </c>
      <c r="K15">
        <v>31.274999999999999</v>
      </c>
      <c r="L15">
        <f t="shared" si="1"/>
        <v>0</v>
      </c>
      <c r="M15">
        <f t="shared" si="2"/>
        <v>39</v>
      </c>
      <c r="N15" t="str">
        <f t="shared" si="3"/>
        <v>Adult</v>
      </c>
      <c r="O15">
        <f t="shared" si="4"/>
        <v>31.28</v>
      </c>
      <c r="Q15" t="str">
        <v>Dr</v>
      </c>
      <c r="T15" t="s">
        <v>1726</v>
      </c>
    </row>
    <row r="16" spans="1:23" x14ac:dyDescent="0.3">
      <c r="A16">
        <v>15</v>
      </c>
      <c r="B16">
        <v>0</v>
      </c>
      <c r="C16" t="str">
        <f t="shared" si="0"/>
        <v>No</v>
      </c>
      <c r="D16" t="s">
        <v>960</v>
      </c>
      <c r="E16" t="s">
        <v>974</v>
      </c>
      <c r="F16" t="str" cm="1">
        <f t="array" ref="F16">IF(OR(COUNTIF(D16,"*"&amp;$T$9:$T$15&amp;"*")),"Female","Male")</f>
        <v>Female</v>
      </c>
      <c r="G16">
        <v>14</v>
      </c>
      <c r="H16">
        <v>0</v>
      </c>
      <c r="I16">
        <v>0</v>
      </c>
      <c r="J16">
        <v>3</v>
      </c>
      <c r="K16">
        <v>7.8541999999999996</v>
      </c>
      <c r="L16">
        <f t="shared" si="1"/>
        <v>1</v>
      </c>
      <c r="M16">
        <f t="shared" si="2"/>
        <v>14</v>
      </c>
      <c r="N16" t="str">
        <f t="shared" si="3"/>
        <v>Child</v>
      </c>
      <c r="O16">
        <f t="shared" si="4"/>
        <v>7.85</v>
      </c>
      <c r="Q16" t="str">
        <v>Mme</v>
      </c>
    </row>
    <row r="17" spans="1:19" x14ac:dyDescent="0.3">
      <c r="A17">
        <v>16</v>
      </c>
      <c r="B17">
        <v>1</v>
      </c>
      <c r="C17" t="str">
        <f t="shared" si="0"/>
        <v>Yes</v>
      </c>
      <c r="D17" t="s">
        <v>958</v>
      </c>
      <c r="E17" t="s">
        <v>975</v>
      </c>
      <c r="F17" t="str" cm="1">
        <f t="array" ref="F17">IF(OR(COUNTIF(D17,"*"&amp;$T$9:$T$15&amp;"*")),"Female","Male")</f>
        <v>Female</v>
      </c>
      <c r="G17">
        <v>55</v>
      </c>
      <c r="H17">
        <v>0</v>
      </c>
      <c r="I17">
        <v>0</v>
      </c>
      <c r="J17">
        <v>2</v>
      </c>
      <c r="K17">
        <v>16</v>
      </c>
      <c r="L17">
        <f t="shared" si="1"/>
        <v>1</v>
      </c>
      <c r="M17">
        <f t="shared" si="2"/>
        <v>55</v>
      </c>
      <c r="N17" t="str">
        <f t="shared" si="3"/>
        <v>Adult</v>
      </c>
      <c r="O17">
        <f t="shared" si="4"/>
        <v>16</v>
      </c>
      <c r="Q17" t="str">
        <v>Ms</v>
      </c>
    </row>
    <row r="18" spans="1:19" x14ac:dyDescent="0.3">
      <c r="A18">
        <v>17</v>
      </c>
      <c r="B18">
        <v>0</v>
      </c>
      <c r="C18" t="str">
        <f t="shared" si="0"/>
        <v>No</v>
      </c>
      <c r="D18" t="s">
        <v>966</v>
      </c>
      <c r="E18" t="s">
        <v>976</v>
      </c>
      <c r="F18" t="str" cm="1">
        <f t="array" ref="F18">IF(OR(COUNTIF(D18,"*"&amp;$T$9:$T$15&amp;"*")),"Female","Male")</f>
        <v>Male</v>
      </c>
      <c r="G18">
        <v>2</v>
      </c>
      <c r="H18">
        <v>4</v>
      </c>
      <c r="I18">
        <v>1</v>
      </c>
      <c r="J18">
        <v>3</v>
      </c>
      <c r="K18">
        <v>29.125</v>
      </c>
      <c r="L18">
        <f t="shared" si="1"/>
        <v>0</v>
      </c>
      <c r="M18">
        <f t="shared" si="2"/>
        <v>2</v>
      </c>
      <c r="N18" t="str">
        <f t="shared" si="3"/>
        <v>Child</v>
      </c>
      <c r="O18">
        <f t="shared" si="4"/>
        <v>29.13</v>
      </c>
      <c r="Q18" t="str">
        <v>Major</v>
      </c>
    </row>
    <row r="19" spans="1:19" x14ac:dyDescent="0.3">
      <c r="A19">
        <v>18</v>
      </c>
      <c r="B19">
        <v>1</v>
      </c>
      <c r="C19" t="str">
        <f t="shared" si="0"/>
        <v>Yes</v>
      </c>
      <c r="D19" t="s">
        <v>956</v>
      </c>
      <c r="E19" t="s">
        <v>977</v>
      </c>
      <c r="F19" t="str" cm="1">
        <f t="array" ref="F19">IF(OR(COUNTIF(D19,"*"&amp;$T$9:$T$15&amp;"*")),"Female","Male")</f>
        <v>Male</v>
      </c>
      <c r="G19">
        <v>23</v>
      </c>
      <c r="H19">
        <v>0</v>
      </c>
      <c r="I19">
        <v>0</v>
      </c>
      <c r="J19">
        <v>2</v>
      </c>
      <c r="K19">
        <v>13</v>
      </c>
      <c r="L19">
        <f t="shared" si="1"/>
        <v>0</v>
      </c>
      <c r="M19">
        <f t="shared" si="2"/>
        <v>23</v>
      </c>
      <c r="N19" t="str">
        <f t="shared" si="3"/>
        <v>Adult</v>
      </c>
      <c r="O19">
        <f t="shared" si="4"/>
        <v>13</v>
      </c>
      <c r="Q19" t="str">
        <v>Lady</v>
      </c>
    </row>
    <row r="20" spans="1:19" x14ac:dyDescent="0.3">
      <c r="A20">
        <v>19</v>
      </c>
      <c r="B20">
        <v>0</v>
      </c>
      <c r="C20" t="str">
        <f t="shared" si="0"/>
        <v>No</v>
      </c>
      <c r="D20" t="s">
        <v>958</v>
      </c>
      <c r="E20" t="s">
        <v>978</v>
      </c>
      <c r="F20" t="str" cm="1">
        <f t="array" ref="F20">IF(OR(COUNTIF(D20,"*"&amp;$T$9:$T$15&amp;"*")),"Female","Male")</f>
        <v>Female</v>
      </c>
      <c r="G20">
        <v>31</v>
      </c>
      <c r="H20">
        <v>1</v>
      </c>
      <c r="I20">
        <v>0</v>
      </c>
      <c r="J20">
        <v>3</v>
      </c>
      <c r="K20">
        <v>18</v>
      </c>
      <c r="L20">
        <f t="shared" si="1"/>
        <v>1</v>
      </c>
      <c r="M20">
        <f t="shared" si="2"/>
        <v>31</v>
      </c>
      <c r="N20" t="str">
        <f t="shared" si="3"/>
        <v>Adult</v>
      </c>
      <c r="O20">
        <f t="shared" si="4"/>
        <v>18</v>
      </c>
      <c r="Q20" t="str">
        <v>Sir</v>
      </c>
    </row>
    <row r="21" spans="1:19" x14ac:dyDescent="0.3">
      <c r="A21">
        <v>20</v>
      </c>
      <c r="B21">
        <v>1</v>
      </c>
      <c r="C21" t="str">
        <f t="shared" si="0"/>
        <v>Yes</v>
      </c>
      <c r="D21" t="s">
        <v>958</v>
      </c>
      <c r="E21" t="s">
        <v>979</v>
      </c>
      <c r="F21" t="str" cm="1">
        <f t="array" ref="F21">IF(OR(COUNTIF(D21,"*"&amp;$T$9:$T$15&amp;"*")),"Female","Male")</f>
        <v>Female</v>
      </c>
      <c r="G21">
        <v>22</v>
      </c>
      <c r="H21">
        <v>0</v>
      </c>
      <c r="I21">
        <v>0</v>
      </c>
      <c r="J21">
        <v>3</v>
      </c>
      <c r="K21">
        <v>7.2249999999999996</v>
      </c>
      <c r="L21">
        <f t="shared" si="1"/>
        <v>1</v>
      </c>
      <c r="M21">
        <f t="shared" si="2"/>
        <v>22</v>
      </c>
      <c r="N21" t="str">
        <f t="shared" si="3"/>
        <v>Adult</v>
      </c>
      <c r="O21">
        <f t="shared" si="4"/>
        <v>7.23</v>
      </c>
      <c r="Q21" t="str">
        <v>Mlle</v>
      </c>
    </row>
    <row r="22" spans="1:19" x14ac:dyDescent="0.3">
      <c r="A22">
        <v>21</v>
      </c>
      <c r="B22">
        <v>0</v>
      </c>
      <c r="C22" t="str">
        <f t="shared" si="0"/>
        <v>No</v>
      </c>
      <c r="D22" t="s">
        <v>956</v>
      </c>
      <c r="E22" t="s">
        <v>980</v>
      </c>
      <c r="F22" t="str" cm="1">
        <f t="array" ref="F22">IF(OR(COUNTIF(D22,"*"&amp;$T$9:$T$15&amp;"*")),"Female","Male")</f>
        <v>Male</v>
      </c>
      <c r="G22">
        <v>35</v>
      </c>
      <c r="H22">
        <v>0</v>
      </c>
      <c r="I22">
        <v>0</v>
      </c>
      <c r="J22">
        <v>2</v>
      </c>
      <c r="K22">
        <v>26</v>
      </c>
      <c r="L22">
        <f t="shared" si="1"/>
        <v>0</v>
      </c>
      <c r="M22">
        <f t="shared" si="2"/>
        <v>35</v>
      </c>
      <c r="N22" t="str">
        <f t="shared" si="3"/>
        <v>Adult</v>
      </c>
      <c r="O22">
        <f t="shared" si="4"/>
        <v>26</v>
      </c>
      <c r="Q22" t="str">
        <v>Col</v>
      </c>
    </row>
    <row r="23" spans="1:19" x14ac:dyDescent="0.3">
      <c r="A23">
        <v>22</v>
      </c>
      <c r="B23">
        <v>1</v>
      </c>
      <c r="C23" t="str">
        <f t="shared" si="0"/>
        <v>Yes</v>
      </c>
      <c r="D23" t="s">
        <v>956</v>
      </c>
      <c r="E23" t="s">
        <v>981</v>
      </c>
      <c r="F23" t="str" cm="1">
        <f t="array" ref="F23">IF(OR(COUNTIF(D23,"*"&amp;$T$9:$T$15&amp;"*")),"Female","Male")</f>
        <v>Male</v>
      </c>
      <c r="G23">
        <v>34</v>
      </c>
      <c r="H23">
        <v>0</v>
      </c>
      <c r="I23">
        <v>0</v>
      </c>
      <c r="J23">
        <v>2</v>
      </c>
      <c r="K23">
        <v>13</v>
      </c>
      <c r="L23">
        <f t="shared" si="1"/>
        <v>0</v>
      </c>
      <c r="M23">
        <f t="shared" si="2"/>
        <v>34</v>
      </c>
      <c r="N23" t="str">
        <f t="shared" si="3"/>
        <v>Adult</v>
      </c>
      <c r="O23">
        <f t="shared" si="4"/>
        <v>13</v>
      </c>
      <c r="Q23" t="str">
        <v>Capt</v>
      </c>
    </row>
    <row r="24" spans="1:19" x14ac:dyDescent="0.3">
      <c r="A24">
        <v>23</v>
      </c>
      <c r="B24">
        <v>1</v>
      </c>
      <c r="C24" t="str">
        <f t="shared" si="0"/>
        <v>Yes</v>
      </c>
      <c r="D24" t="s">
        <v>960</v>
      </c>
      <c r="E24" t="s">
        <v>982</v>
      </c>
      <c r="F24" t="str" cm="1">
        <f t="array" ref="F24">IF(OR(COUNTIF(D24,"*"&amp;$T$9:$T$15&amp;"*")),"Female","Male")</f>
        <v>Female</v>
      </c>
      <c r="G24">
        <v>15</v>
      </c>
      <c r="H24">
        <v>0</v>
      </c>
      <c r="I24">
        <v>0</v>
      </c>
      <c r="J24">
        <v>3</v>
      </c>
      <c r="K24">
        <v>8.0291999999999994</v>
      </c>
      <c r="L24">
        <f t="shared" si="1"/>
        <v>1</v>
      </c>
      <c r="M24">
        <f t="shared" si="2"/>
        <v>15</v>
      </c>
      <c r="N24" t="str">
        <f t="shared" si="3"/>
        <v>Child</v>
      </c>
      <c r="O24">
        <f t="shared" si="4"/>
        <v>8.0299999999999994</v>
      </c>
      <c r="Q24" t="str">
        <v>the Countess</v>
      </c>
    </row>
    <row r="25" spans="1:19" x14ac:dyDescent="0.3">
      <c r="A25">
        <v>24</v>
      </c>
      <c r="B25">
        <v>1</v>
      </c>
      <c r="C25" t="str">
        <f t="shared" si="0"/>
        <v>Yes</v>
      </c>
      <c r="D25" t="s">
        <v>956</v>
      </c>
      <c r="E25" t="s">
        <v>983</v>
      </c>
      <c r="F25" t="str" cm="1">
        <f t="array" ref="F25">IF(OR(COUNTIF(D25,"*"&amp;$T$9:$T$15&amp;"*")),"Female","Male")</f>
        <v>Male</v>
      </c>
      <c r="G25">
        <v>28</v>
      </c>
      <c r="H25">
        <v>0</v>
      </c>
      <c r="I25">
        <v>0</v>
      </c>
      <c r="J25">
        <v>1</v>
      </c>
      <c r="K25">
        <v>35.5</v>
      </c>
      <c r="L25">
        <f t="shared" si="1"/>
        <v>0</v>
      </c>
      <c r="M25">
        <f t="shared" si="2"/>
        <v>28</v>
      </c>
      <c r="N25" t="str">
        <f t="shared" si="3"/>
        <v>Adult</v>
      </c>
      <c r="O25">
        <f t="shared" si="4"/>
        <v>35.5</v>
      </c>
      <c r="Q25" t="str">
        <v>Jonkheer</v>
      </c>
      <c r="S25" t="s">
        <v>1863</v>
      </c>
    </row>
    <row r="26" spans="1:19" x14ac:dyDescent="0.3">
      <c r="A26">
        <v>25</v>
      </c>
      <c r="B26">
        <v>0</v>
      </c>
      <c r="C26" t="str">
        <f t="shared" si="0"/>
        <v>No</v>
      </c>
      <c r="D26" t="s">
        <v>960</v>
      </c>
      <c r="E26" t="s">
        <v>984</v>
      </c>
      <c r="F26" t="str" cm="1">
        <f t="array" ref="F26">IF(OR(COUNTIF(D26,"*"&amp;$T$9:$T$15&amp;"*")),"Female","Male")</f>
        <v>Female</v>
      </c>
      <c r="G26">
        <v>8</v>
      </c>
      <c r="H26">
        <v>3</v>
      </c>
      <c r="I26">
        <v>1</v>
      </c>
      <c r="J26">
        <v>3</v>
      </c>
      <c r="K26">
        <v>21.074999999999999</v>
      </c>
      <c r="L26">
        <f t="shared" si="1"/>
        <v>1</v>
      </c>
      <c r="M26">
        <f t="shared" si="2"/>
        <v>8</v>
      </c>
      <c r="N26" t="str">
        <f t="shared" si="3"/>
        <v>Child</v>
      </c>
      <c r="O26">
        <f t="shared" si="4"/>
        <v>21.08</v>
      </c>
    </row>
    <row r="27" spans="1:19" x14ac:dyDescent="0.3">
      <c r="A27">
        <v>26</v>
      </c>
      <c r="B27">
        <v>1</v>
      </c>
      <c r="C27" t="str">
        <f t="shared" si="0"/>
        <v>Yes</v>
      </c>
      <c r="D27" t="s">
        <v>958</v>
      </c>
      <c r="E27" t="s">
        <v>985</v>
      </c>
      <c r="F27" t="str" cm="1">
        <f t="array" ref="F27">IF(OR(COUNTIF(D27,"*"&amp;$T$9:$T$15&amp;"*")),"Female","Male")</f>
        <v>Female</v>
      </c>
      <c r="G27">
        <v>38</v>
      </c>
      <c r="H27">
        <v>1</v>
      </c>
      <c r="I27">
        <v>5</v>
      </c>
      <c r="J27">
        <v>3</v>
      </c>
      <c r="K27">
        <v>31.387499999999999</v>
      </c>
      <c r="L27">
        <f t="shared" si="1"/>
        <v>1</v>
      </c>
      <c r="M27">
        <f t="shared" si="2"/>
        <v>38</v>
      </c>
      <c r="N27" t="str">
        <f t="shared" si="3"/>
        <v>Adult</v>
      </c>
      <c r="O27">
        <f t="shared" si="4"/>
        <v>31.39</v>
      </c>
    </row>
    <row r="28" spans="1:19" x14ac:dyDescent="0.3">
      <c r="A28">
        <v>27</v>
      </c>
      <c r="B28">
        <v>0</v>
      </c>
      <c r="C28" t="str">
        <f t="shared" si="0"/>
        <v>No</v>
      </c>
      <c r="D28" t="s">
        <v>956</v>
      </c>
      <c r="E28" t="s">
        <v>986</v>
      </c>
      <c r="F28" t="str" cm="1">
        <f t="array" ref="F28">IF(OR(COUNTIF(D28,"*"&amp;$T$9:$T$15&amp;"*")),"Female","Male")</f>
        <v>Male</v>
      </c>
      <c r="G28">
        <v>26</v>
      </c>
      <c r="H28">
        <v>0</v>
      </c>
      <c r="I28">
        <v>0</v>
      </c>
      <c r="J28">
        <v>3</v>
      </c>
      <c r="K28">
        <v>7.2249999999999996</v>
      </c>
      <c r="L28">
        <f t="shared" si="1"/>
        <v>0</v>
      </c>
      <c r="M28">
        <f t="shared" si="2"/>
        <v>26</v>
      </c>
      <c r="N28" t="str">
        <f t="shared" si="3"/>
        <v>Adult</v>
      </c>
      <c r="O28">
        <f t="shared" si="4"/>
        <v>7.23</v>
      </c>
    </row>
    <row r="29" spans="1:19" x14ac:dyDescent="0.3">
      <c r="A29">
        <v>28</v>
      </c>
      <c r="B29">
        <v>0</v>
      </c>
      <c r="C29" t="str">
        <f t="shared" si="0"/>
        <v>No</v>
      </c>
      <c r="D29" t="s">
        <v>956</v>
      </c>
      <c r="E29" t="s">
        <v>987</v>
      </c>
      <c r="F29" t="str" cm="1">
        <f t="array" ref="F29">IF(OR(COUNTIF(D29,"*"&amp;$T$9:$T$15&amp;"*")),"Female","Male")</f>
        <v>Male</v>
      </c>
      <c r="G29">
        <v>19</v>
      </c>
      <c r="H29">
        <v>3</v>
      </c>
      <c r="I29">
        <v>2</v>
      </c>
      <c r="J29">
        <v>1</v>
      </c>
      <c r="K29">
        <v>263</v>
      </c>
      <c r="L29">
        <f t="shared" si="1"/>
        <v>0</v>
      </c>
      <c r="M29">
        <f t="shared" si="2"/>
        <v>19</v>
      </c>
      <c r="N29" t="str">
        <f t="shared" si="3"/>
        <v>Adult</v>
      </c>
      <c r="O29">
        <f t="shared" si="4"/>
        <v>263</v>
      </c>
    </row>
    <row r="30" spans="1:19" x14ac:dyDescent="0.3">
      <c r="A30">
        <v>29</v>
      </c>
      <c r="B30">
        <v>1</v>
      </c>
      <c r="C30" t="str">
        <f t="shared" si="0"/>
        <v>Yes</v>
      </c>
      <c r="D30" t="s">
        <v>960</v>
      </c>
      <c r="E30" t="s">
        <v>988</v>
      </c>
      <c r="F30" t="str" cm="1">
        <f t="array" ref="F30">IF(OR(COUNTIF(D30,"*"&amp;$T$9:$T$15&amp;"*")),"Female","Male")</f>
        <v>Female</v>
      </c>
      <c r="G30">
        <v>24</v>
      </c>
      <c r="H30">
        <v>0</v>
      </c>
      <c r="I30">
        <v>0</v>
      </c>
      <c r="J30">
        <v>3</v>
      </c>
      <c r="K30">
        <v>7.8792</v>
      </c>
      <c r="L30">
        <f t="shared" si="1"/>
        <v>1</v>
      </c>
      <c r="M30">
        <f t="shared" si="2"/>
        <v>24</v>
      </c>
      <c r="N30" t="str">
        <f t="shared" si="3"/>
        <v>Adult</v>
      </c>
      <c r="O30">
        <f t="shared" si="4"/>
        <v>7.88</v>
      </c>
    </row>
    <row r="31" spans="1:19" x14ac:dyDescent="0.3">
      <c r="A31">
        <v>30</v>
      </c>
      <c r="B31">
        <v>0</v>
      </c>
      <c r="C31" t="str">
        <f t="shared" si="0"/>
        <v>No</v>
      </c>
      <c r="D31" t="s">
        <v>956</v>
      </c>
      <c r="E31" t="s">
        <v>989</v>
      </c>
      <c r="F31" t="str" cm="1">
        <f t="array" ref="F31">IF(OR(COUNTIF(D31,"*"&amp;$T$9:$T$15&amp;"*")),"Female","Male")</f>
        <v>Male</v>
      </c>
      <c r="G31">
        <v>23</v>
      </c>
      <c r="H31">
        <v>0</v>
      </c>
      <c r="I31">
        <v>0</v>
      </c>
      <c r="J31">
        <v>3</v>
      </c>
      <c r="K31">
        <v>7.8958000000000004</v>
      </c>
      <c r="L31">
        <f t="shared" si="1"/>
        <v>0</v>
      </c>
      <c r="M31">
        <f t="shared" si="2"/>
        <v>23</v>
      </c>
      <c r="N31" t="str">
        <f t="shared" si="3"/>
        <v>Adult</v>
      </c>
      <c r="O31">
        <f t="shared" si="4"/>
        <v>7.9</v>
      </c>
    </row>
    <row r="32" spans="1:19" x14ac:dyDescent="0.3">
      <c r="A32">
        <v>31</v>
      </c>
      <c r="B32">
        <v>0</v>
      </c>
      <c r="C32" t="str">
        <f t="shared" si="0"/>
        <v>No</v>
      </c>
      <c r="D32" t="s">
        <v>990</v>
      </c>
      <c r="E32" t="s">
        <v>991</v>
      </c>
      <c r="F32" t="str" cm="1">
        <f t="array" ref="F32">IF(OR(COUNTIF(D32,"*"&amp;$T$9:$T$15&amp;"*")),"Female","Male")</f>
        <v>Male</v>
      </c>
      <c r="G32">
        <v>40</v>
      </c>
      <c r="H32">
        <v>0</v>
      </c>
      <c r="I32">
        <v>0</v>
      </c>
      <c r="J32">
        <v>1</v>
      </c>
      <c r="K32">
        <v>27.720800000000001</v>
      </c>
      <c r="L32">
        <f t="shared" si="1"/>
        <v>0</v>
      </c>
      <c r="M32">
        <f t="shared" si="2"/>
        <v>40</v>
      </c>
      <c r="N32" t="str">
        <f t="shared" si="3"/>
        <v>Adult</v>
      </c>
      <c r="O32">
        <f t="shared" si="4"/>
        <v>27.72</v>
      </c>
    </row>
    <row r="33" spans="1:15" x14ac:dyDescent="0.3">
      <c r="A33">
        <v>32</v>
      </c>
      <c r="B33">
        <v>1</v>
      </c>
      <c r="C33" t="str">
        <f t="shared" si="0"/>
        <v>Yes</v>
      </c>
      <c r="D33" t="s">
        <v>958</v>
      </c>
      <c r="E33" t="s">
        <v>992</v>
      </c>
      <c r="F33" t="str" cm="1">
        <f t="array" ref="F33">IF(OR(COUNTIF(D33,"*"&amp;$T$9:$T$15&amp;"*")),"Female","Male")</f>
        <v>Female</v>
      </c>
      <c r="G33">
        <v>48</v>
      </c>
      <c r="H33">
        <v>1</v>
      </c>
      <c r="I33">
        <v>0</v>
      </c>
      <c r="J33">
        <v>1</v>
      </c>
      <c r="K33">
        <v>146.52080000000001</v>
      </c>
      <c r="L33">
        <f t="shared" si="1"/>
        <v>1</v>
      </c>
      <c r="M33">
        <f t="shared" si="2"/>
        <v>48</v>
      </c>
      <c r="N33" t="str">
        <f t="shared" si="3"/>
        <v>Adult</v>
      </c>
      <c r="O33">
        <f t="shared" si="4"/>
        <v>146.52000000000001</v>
      </c>
    </row>
    <row r="34" spans="1:15" x14ac:dyDescent="0.3">
      <c r="A34">
        <v>33</v>
      </c>
      <c r="B34">
        <v>1</v>
      </c>
      <c r="C34" t="str">
        <f t="shared" si="0"/>
        <v>Yes</v>
      </c>
      <c r="D34" t="s">
        <v>960</v>
      </c>
      <c r="E34" t="s">
        <v>993</v>
      </c>
      <c r="F34" t="str" cm="1">
        <f t="array" ref="F34">IF(OR(COUNTIF(D34,"*"&amp;$T$9:$T$15&amp;"*")),"Female","Male")</f>
        <v>Female</v>
      </c>
      <c r="G34">
        <v>18</v>
      </c>
      <c r="H34">
        <v>0</v>
      </c>
      <c r="I34">
        <v>0</v>
      </c>
      <c r="J34">
        <v>3</v>
      </c>
      <c r="K34">
        <v>7.75</v>
      </c>
      <c r="L34">
        <f t="shared" si="1"/>
        <v>1</v>
      </c>
      <c r="M34">
        <f t="shared" si="2"/>
        <v>18</v>
      </c>
      <c r="N34" t="str">
        <f t="shared" si="3"/>
        <v>Adult</v>
      </c>
      <c r="O34">
        <f t="shared" si="4"/>
        <v>7.75</v>
      </c>
    </row>
    <row r="35" spans="1:15" x14ac:dyDescent="0.3">
      <c r="A35">
        <v>34</v>
      </c>
      <c r="B35">
        <v>0</v>
      </c>
      <c r="C35" t="str">
        <f t="shared" si="0"/>
        <v>No</v>
      </c>
      <c r="D35" t="s">
        <v>956</v>
      </c>
      <c r="E35" t="s">
        <v>994</v>
      </c>
      <c r="F35" t="str" cm="1">
        <f t="array" ref="F35">IF(OR(COUNTIF(D35,"*"&amp;$T$9:$T$15&amp;"*")),"Female","Male")</f>
        <v>Male</v>
      </c>
      <c r="G35">
        <v>66</v>
      </c>
      <c r="H35">
        <v>0</v>
      </c>
      <c r="I35">
        <v>0</v>
      </c>
      <c r="J35">
        <v>2</v>
      </c>
      <c r="K35">
        <v>10.5</v>
      </c>
      <c r="L35">
        <f t="shared" si="1"/>
        <v>0</v>
      </c>
      <c r="M35">
        <f t="shared" si="2"/>
        <v>66</v>
      </c>
      <c r="N35" t="str">
        <f t="shared" si="3"/>
        <v>Adult</v>
      </c>
      <c r="O35">
        <f t="shared" si="4"/>
        <v>10.5</v>
      </c>
    </row>
    <row r="36" spans="1:15" x14ac:dyDescent="0.3">
      <c r="A36">
        <v>35</v>
      </c>
      <c r="B36">
        <v>0</v>
      </c>
      <c r="C36" t="str">
        <f t="shared" si="0"/>
        <v>No</v>
      </c>
      <c r="D36" t="s">
        <v>956</v>
      </c>
      <c r="E36" t="s">
        <v>995</v>
      </c>
      <c r="F36" t="str" cm="1">
        <f t="array" ref="F36">IF(OR(COUNTIF(D36,"*"&amp;$T$9:$T$15&amp;"*")),"Female","Male")</f>
        <v>Male</v>
      </c>
      <c r="G36">
        <v>28</v>
      </c>
      <c r="H36">
        <v>1</v>
      </c>
      <c r="I36">
        <v>0</v>
      </c>
      <c r="J36">
        <v>1</v>
      </c>
      <c r="K36">
        <v>82.1708</v>
      </c>
      <c r="L36">
        <f t="shared" si="1"/>
        <v>0</v>
      </c>
      <c r="M36">
        <f t="shared" si="2"/>
        <v>28</v>
      </c>
      <c r="N36" t="str">
        <f t="shared" si="3"/>
        <v>Adult</v>
      </c>
      <c r="O36">
        <f t="shared" si="4"/>
        <v>82.17</v>
      </c>
    </row>
    <row r="37" spans="1:15" x14ac:dyDescent="0.3">
      <c r="A37">
        <v>36</v>
      </c>
      <c r="B37">
        <v>0</v>
      </c>
      <c r="C37" t="str">
        <f t="shared" si="0"/>
        <v>No</v>
      </c>
      <c r="D37" t="s">
        <v>956</v>
      </c>
      <c r="E37" t="s">
        <v>996</v>
      </c>
      <c r="F37" t="str" cm="1">
        <f t="array" ref="F37">IF(OR(COUNTIF(D37,"*"&amp;$T$9:$T$15&amp;"*")),"Female","Male")</f>
        <v>Male</v>
      </c>
      <c r="G37">
        <v>42</v>
      </c>
      <c r="H37">
        <v>1</v>
      </c>
      <c r="I37">
        <v>0</v>
      </c>
      <c r="J37">
        <v>1</v>
      </c>
      <c r="K37">
        <v>52</v>
      </c>
      <c r="L37">
        <f t="shared" si="1"/>
        <v>0</v>
      </c>
      <c r="M37">
        <f t="shared" si="2"/>
        <v>42</v>
      </c>
      <c r="N37" t="str">
        <f t="shared" si="3"/>
        <v>Adult</v>
      </c>
      <c r="O37">
        <f t="shared" si="4"/>
        <v>52</v>
      </c>
    </row>
    <row r="38" spans="1:15" x14ac:dyDescent="0.3">
      <c r="A38">
        <v>37</v>
      </c>
      <c r="B38">
        <v>1</v>
      </c>
      <c r="C38" t="str">
        <f t="shared" si="0"/>
        <v>Yes</v>
      </c>
      <c r="D38" t="s">
        <v>956</v>
      </c>
      <c r="E38" t="s">
        <v>997</v>
      </c>
      <c r="F38" t="str" cm="1">
        <f t="array" ref="F38">IF(OR(COUNTIF(D38,"*"&amp;$T$9:$T$15&amp;"*")),"Female","Male")</f>
        <v>Male</v>
      </c>
      <c r="G38">
        <v>18</v>
      </c>
      <c r="H38">
        <v>0</v>
      </c>
      <c r="I38">
        <v>0</v>
      </c>
      <c r="J38">
        <v>3</v>
      </c>
      <c r="K38">
        <v>7.2291999999999996</v>
      </c>
      <c r="L38">
        <f t="shared" si="1"/>
        <v>0</v>
      </c>
      <c r="M38">
        <f t="shared" si="2"/>
        <v>18</v>
      </c>
      <c r="N38" t="str">
        <f t="shared" si="3"/>
        <v>Adult</v>
      </c>
      <c r="O38">
        <f t="shared" si="4"/>
        <v>7.23</v>
      </c>
    </row>
    <row r="39" spans="1:15" x14ac:dyDescent="0.3">
      <c r="A39">
        <v>38</v>
      </c>
      <c r="B39">
        <v>0</v>
      </c>
      <c r="C39" t="str">
        <f t="shared" si="0"/>
        <v>No</v>
      </c>
      <c r="D39" t="s">
        <v>956</v>
      </c>
      <c r="E39" t="s">
        <v>998</v>
      </c>
      <c r="F39" t="str" cm="1">
        <f t="array" ref="F39">IF(OR(COUNTIF(D39,"*"&amp;$T$9:$T$15&amp;"*")),"Female","Male")</f>
        <v>Male</v>
      </c>
      <c r="G39">
        <v>21</v>
      </c>
      <c r="H39">
        <v>0</v>
      </c>
      <c r="I39">
        <v>0</v>
      </c>
      <c r="J39">
        <v>3</v>
      </c>
      <c r="K39">
        <v>8.0500000000000007</v>
      </c>
      <c r="L39">
        <f t="shared" si="1"/>
        <v>0</v>
      </c>
      <c r="M39">
        <f t="shared" si="2"/>
        <v>21</v>
      </c>
      <c r="N39" t="str">
        <f t="shared" si="3"/>
        <v>Adult</v>
      </c>
      <c r="O39">
        <f t="shared" si="4"/>
        <v>8.0500000000000007</v>
      </c>
    </row>
    <row r="40" spans="1:15" x14ac:dyDescent="0.3">
      <c r="A40">
        <v>39</v>
      </c>
      <c r="B40">
        <v>0</v>
      </c>
      <c r="C40" t="str">
        <f t="shared" si="0"/>
        <v>No</v>
      </c>
      <c r="D40" t="s">
        <v>960</v>
      </c>
      <c r="E40" t="s">
        <v>999</v>
      </c>
      <c r="F40" t="str" cm="1">
        <f t="array" ref="F40">IF(OR(COUNTIF(D40,"*"&amp;$T$9:$T$15&amp;"*")),"Female","Male")</f>
        <v>Female</v>
      </c>
      <c r="G40">
        <v>18</v>
      </c>
      <c r="H40">
        <v>2</v>
      </c>
      <c r="I40">
        <v>0</v>
      </c>
      <c r="J40">
        <v>3</v>
      </c>
      <c r="K40">
        <v>18</v>
      </c>
      <c r="L40">
        <f t="shared" si="1"/>
        <v>1</v>
      </c>
      <c r="M40">
        <f t="shared" si="2"/>
        <v>18</v>
      </c>
      <c r="N40" t="str">
        <f t="shared" si="3"/>
        <v>Adult</v>
      </c>
      <c r="O40">
        <f t="shared" si="4"/>
        <v>18</v>
      </c>
    </row>
    <row r="41" spans="1:15" x14ac:dyDescent="0.3">
      <c r="A41">
        <v>40</v>
      </c>
      <c r="B41">
        <v>1</v>
      </c>
      <c r="C41" t="str">
        <f t="shared" si="0"/>
        <v>Yes</v>
      </c>
      <c r="D41" t="s">
        <v>960</v>
      </c>
      <c r="E41" t="s">
        <v>1000</v>
      </c>
      <c r="F41" t="str" cm="1">
        <f t="array" ref="F41">IF(OR(COUNTIF(D41,"*"&amp;$T$9:$T$15&amp;"*")),"Female","Male")</f>
        <v>Female</v>
      </c>
      <c r="G41">
        <v>14</v>
      </c>
      <c r="H41">
        <v>1</v>
      </c>
      <c r="I41">
        <v>0</v>
      </c>
      <c r="J41">
        <v>3</v>
      </c>
      <c r="K41">
        <v>11.2417</v>
      </c>
      <c r="L41">
        <f t="shared" si="1"/>
        <v>1</v>
      </c>
      <c r="M41">
        <f t="shared" si="2"/>
        <v>14</v>
      </c>
      <c r="N41" t="str">
        <f t="shared" si="3"/>
        <v>Child</v>
      </c>
      <c r="O41">
        <f t="shared" si="4"/>
        <v>11.24</v>
      </c>
    </row>
    <row r="42" spans="1:15" x14ac:dyDescent="0.3">
      <c r="A42">
        <v>41</v>
      </c>
      <c r="B42">
        <v>0</v>
      </c>
      <c r="C42" t="str">
        <f t="shared" si="0"/>
        <v>No</v>
      </c>
      <c r="D42" t="s">
        <v>958</v>
      </c>
      <c r="E42" t="s">
        <v>1001</v>
      </c>
      <c r="F42" t="str" cm="1">
        <f t="array" ref="F42">IF(OR(COUNTIF(D42,"*"&amp;$T$9:$T$15&amp;"*")),"Female","Male")</f>
        <v>Female</v>
      </c>
      <c r="G42">
        <v>40</v>
      </c>
      <c r="H42">
        <v>1</v>
      </c>
      <c r="I42">
        <v>0</v>
      </c>
      <c r="J42">
        <v>3</v>
      </c>
      <c r="K42">
        <v>9.4749999999999996</v>
      </c>
      <c r="L42">
        <f t="shared" si="1"/>
        <v>1</v>
      </c>
      <c r="M42">
        <f t="shared" si="2"/>
        <v>40</v>
      </c>
      <c r="N42" t="str">
        <f t="shared" si="3"/>
        <v>Adult</v>
      </c>
      <c r="O42">
        <f t="shared" si="4"/>
        <v>9.48</v>
      </c>
    </row>
    <row r="43" spans="1:15" x14ac:dyDescent="0.3">
      <c r="A43">
        <v>42</v>
      </c>
      <c r="B43">
        <v>0</v>
      </c>
      <c r="C43" t="str">
        <f t="shared" si="0"/>
        <v>No</v>
      </c>
      <c r="D43" t="s">
        <v>958</v>
      </c>
      <c r="E43" t="s">
        <v>1002</v>
      </c>
      <c r="F43" t="str" cm="1">
        <f t="array" ref="F43">IF(OR(COUNTIF(D43,"*"&amp;$T$9:$T$15&amp;"*")),"Female","Male")</f>
        <v>Female</v>
      </c>
      <c r="G43">
        <v>27</v>
      </c>
      <c r="H43">
        <v>1</v>
      </c>
      <c r="I43">
        <v>0</v>
      </c>
      <c r="J43">
        <v>2</v>
      </c>
      <c r="K43">
        <v>21</v>
      </c>
      <c r="L43">
        <f t="shared" si="1"/>
        <v>1</v>
      </c>
      <c r="M43">
        <f t="shared" si="2"/>
        <v>27</v>
      </c>
      <c r="N43" t="str">
        <f t="shared" si="3"/>
        <v>Adult</v>
      </c>
      <c r="O43">
        <f t="shared" si="4"/>
        <v>21</v>
      </c>
    </row>
    <row r="44" spans="1:15" x14ac:dyDescent="0.3">
      <c r="A44">
        <v>43</v>
      </c>
      <c r="B44">
        <v>1</v>
      </c>
      <c r="C44" t="str">
        <f t="shared" si="0"/>
        <v>Yes</v>
      </c>
      <c r="D44" t="s">
        <v>960</v>
      </c>
      <c r="E44" t="s">
        <v>1003</v>
      </c>
      <c r="F44" t="str" cm="1">
        <f t="array" ref="F44">IF(OR(COUNTIF(D44,"*"&amp;$T$9:$T$15&amp;"*")),"Female","Male")</f>
        <v>Female</v>
      </c>
      <c r="G44">
        <v>3</v>
      </c>
      <c r="H44">
        <v>1</v>
      </c>
      <c r="I44">
        <v>2</v>
      </c>
      <c r="J44">
        <v>2</v>
      </c>
      <c r="K44">
        <v>41.5792</v>
      </c>
      <c r="L44">
        <f t="shared" si="1"/>
        <v>1</v>
      </c>
      <c r="M44">
        <f t="shared" si="2"/>
        <v>3</v>
      </c>
      <c r="N44" t="str">
        <f t="shared" si="3"/>
        <v>Child</v>
      </c>
      <c r="O44">
        <f t="shared" si="4"/>
        <v>41.58</v>
      </c>
    </row>
    <row r="45" spans="1:15" x14ac:dyDescent="0.3">
      <c r="A45">
        <v>44</v>
      </c>
      <c r="B45">
        <v>1</v>
      </c>
      <c r="C45" t="str">
        <f t="shared" si="0"/>
        <v>Yes</v>
      </c>
      <c r="D45" t="s">
        <v>960</v>
      </c>
      <c r="E45" t="s">
        <v>1004</v>
      </c>
      <c r="F45" t="str" cm="1">
        <f t="array" ref="F45">IF(OR(COUNTIF(D45,"*"&amp;$T$9:$T$15&amp;"*")),"Female","Male")</f>
        <v>Female</v>
      </c>
      <c r="G45">
        <v>19</v>
      </c>
      <c r="H45">
        <v>0</v>
      </c>
      <c r="I45">
        <v>0</v>
      </c>
      <c r="J45">
        <v>3</v>
      </c>
      <c r="K45">
        <v>7.8792</v>
      </c>
      <c r="L45">
        <f t="shared" si="1"/>
        <v>1</v>
      </c>
      <c r="M45">
        <f t="shared" si="2"/>
        <v>19</v>
      </c>
      <c r="N45" t="str">
        <f t="shared" si="3"/>
        <v>Adult</v>
      </c>
      <c r="O45">
        <f t="shared" si="4"/>
        <v>7.88</v>
      </c>
    </row>
    <row r="46" spans="1:15" x14ac:dyDescent="0.3">
      <c r="A46">
        <v>45</v>
      </c>
      <c r="B46">
        <v>0</v>
      </c>
      <c r="C46" t="str">
        <f t="shared" si="0"/>
        <v>No</v>
      </c>
      <c r="D46" t="s">
        <v>956</v>
      </c>
      <c r="E46" t="s">
        <v>1005</v>
      </c>
      <c r="F46" t="str" cm="1">
        <f t="array" ref="F46">IF(OR(COUNTIF(D46,"*"&amp;$T$9:$T$15&amp;"*")),"Female","Male")</f>
        <v>Male</v>
      </c>
      <c r="G46">
        <v>30</v>
      </c>
      <c r="H46">
        <v>0</v>
      </c>
      <c r="I46">
        <v>0</v>
      </c>
      <c r="J46">
        <v>3</v>
      </c>
      <c r="K46">
        <v>8.0500000000000007</v>
      </c>
      <c r="L46">
        <f t="shared" si="1"/>
        <v>0</v>
      </c>
      <c r="M46">
        <f t="shared" si="2"/>
        <v>30</v>
      </c>
      <c r="N46" t="str">
        <f t="shared" si="3"/>
        <v>Adult</v>
      </c>
      <c r="O46">
        <f t="shared" si="4"/>
        <v>8.0500000000000007</v>
      </c>
    </row>
    <row r="47" spans="1:15" x14ac:dyDescent="0.3">
      <c r="A47">
        <v>46</v>
      </c>
      <c r="B47">
        <v>0</v>
      </c>
      <c r="C47" t="str">
        <f t="shared" si="0"/>
        <v>No</v>
      </c>
      <c r="D47" t="s">
        <v>956</v>
      </c>
      <c r="E47" t="s">
        <v>1006</v>
      </c>
      <c r="F47" t="str" cm="1">
        <f t="array" ref="F47">IF(OR(COUNTIF(D47,"*"&amp;$T$9:$T$15&amp;"*")),"Female","Male")</f>
        <v>Male</v>
      </c>
      <c r="G47">
        <v>20</v>
      </c>
      <c r="H47">
        <v>1</v>
      </c>
      <c r="I47">
        <v>0</v>
      </c>
      <c r="J47">
        <v>3</v>
      </c>
      <c r="K47">
        <v>15.5</v>
      </c>
      <c r="L47">
        <f t="shared" si="1"/>
        <v>0</v>
      </c>
      <c r="M47">
        <f t="shared" si="2"/>
        <v>20</v>
      </c>
      <c r="N47" t="str">
        <f t="shared" si="3"/>
        <v>Adult</v>
      </c>
      <c r="O47">
        <f t="shared" si="4"/>
        <v>15.5</v>
      </c>
    </row>
    <row r="48" spans="1:15" x14ac:dyDescent="0.3">
      <c r="A48">
        <v>47</v>
      </c>
      <c r="B48">
        <v>1</v>
      </c>
      <c r="C48" t="str">
        <f t="shared" si="0"/>
        <v>Yes</v>
      </c>
      <c r="D48" t="s">
        <v>960</v>
      </c>
      <c r="E48" t="s">
        <v>1007</v>
      </c>
      <c r="F48" t="str" cm="1">
        <f t="array" ref="F48">IF(OR(COUNTIF(D48,"*"&amp;$T$9:$T$15&amp;"*")),"Female","Male")</f>
        <v>Female</v>
      </c>
      <c r="G48">
        <v>27</v>
      </c>
      <c r="H48">
        <v>0</v>
      </c>
      <c r="I48">
        <v>0</v>
      </c>
      <c r="J48">
        <v>3</v>
      </c>
      <c r="K48">
        <v>7.75</v>
      </c>
      <c r="L48">
        <f t="shared" si="1"/>
        <v>1</v>
      </c>
      <c r="M48">
        <f t="shared" si="2"/>
        <v>27</v>
      </c>
      <c r="N48" t="str">
        <f t="shared" si="3"/>
        <v>Adult</v>
      </c>
      <c r="O48">
        <f t="shared" si="4"/>
        <v>7.75</v>
      </c>
    </row>
    <row r="49" spans="1:15" x14ac:dyDescent="0.3">
      <c r="A49">
        <v>48</v>
      </c>
      <c r="B49">
        <v>0</v>
      </c>
      <c r="C49" t="str">
        <f t="shared" si="0"/>
        <v>No</v>
      </c>
      <c r="D49" t="s">
        <v>956</v>
      </c>
      <c r="E49" t="s">
        <v>1008</v>
      </c>
      <c r="F49" t="str" cm="1">
        <f t="array" ref="F49">IF(OR(COUNTIF(D49,"*"&amp;$T$9:$T$15&amp;"*")),"Female","Male")</f>
        <v>Male</v>
      </c>
      <c r="G49">
        <v>16</v>
      </c>
      <c r="H49">
        <v>2</v>
      </c>
      <c r="I49">
        <v>0</v>
      </c>
      <c r="J49">
        <v>3</v>
      </c>
      <c r="K49">
        <v>21.679200000000002</v>
      </c>
      <c r="L49">
        <f t="shared" si="1"/>
        <v>0</v>
      </c>
      <c r="M49">
        <f t="shared" si="2"/>
        <v>16</v>
      </c>
      <c r="N49" t="str">
        <f t="shared" si="3"/>
        <v>Child</v>
      </c>
      <c r="O49">
        <f t="shared" si="4"/>
        <v>21.68</v>
      </c>
    </row>
    <row r="50" spans="1:15" x14ac:dyDescent="0.3">
      <c r="A50">
        <v>49</v>
      </c>
      <c r="B50">
        <v>0</v>
      </c>
      <c r="C50" t="str">
        <f t="shared" si="0"/>
        <v>No</v>
      </c>
      <c r="D50" t="s">
        <v>958</v>
      </c>
      <c r="E50" t="s">
        <v>1009</v>
      </c>
      <c r="F50" t="str" cm="1">
        <f t="array" ref="F50">IF(OR(COUNTIF(D50,"*"&amp;$T$9:$T$15&amp;"*")),"Female","Male")</f>
        <v>Female</v>
      </c>
      <c r="G50">
        <v>18</v>
      </c>
      <c r="H50">
        <v>1</v>
      </c>
      <c r="I50">
        <v>0</v>
      </c>
      <c r="J50">
        <v>3</v>
      </c>
      <c r="K50">
        <v>17.8</v>
      </c>
      <c r="L50">
        <f t="shared" si="1"/>
        <v>1</v>
      </c>
      <c r="M50">
        <f t="shared" si="2"/>
        <v>18</v>
      </c>
      <c r="N50" t="str">
        <f t="shared" si="3"/>
        <v>Adult</v>
      </c>
      <c r="O50">
        <f t="shared" si="4"/>
        <v>17.8</v>
      </c>
    </row>
    <row r="51" spans="1:15" x14ac:dyDescent="0.3">
      <c r="A51">
        <v>50</v>
      </c>
      <c r="B51">
        <v>0</v>
      </c>
      <c r="C51" t="str">
        <f t="shared" si="0"/>
        <v>No</v>
      </c>
      <c r="D51" t="s">
        <v>966</v>
      </c>
      <c r="E51" t="s">
        <v>1010</v>
      </c>
      <c r="F51" t="str" cm="1">
        <f t="array" ref="F51">IF(OR(COUNTIF(D51,"*"&amp;$T$9:$T$15&amp;"*")),"Female","Male")</f>
        <v>Male</v>
      </c>
      <c r="G51">
        <v>7</v>
      </c>
      <c r="H51">
        <v>4</v>
      </c>
      <c r="I51">
        <v>1</v>
      </c>
      <c r="J51">
        <v>3</v>
      </c>
      <c r="K51">
        <v>39.6875</v>
      </c>
      <c r="L51">
        <f t="shared" si="1"/>
        <v>0</v>
      </c>
      <c r="M51">
        <f t="shared" si="2"/>
        <v>7</v>
      </c>
      <c r="N51" t="str">
        <f t="shared" si="3"/>
        <v>Child</v>
      </c>
      <c r="O51">
        <f t="shared" si="4"/>
        <v>39.69</v>
      </c>
    </row>
    <row r="52" spans="1:15" x14ac:dyDescent="0.3">
      <c r="A52">
        <v>51</v>
      </c>
      <c r="B52">
        <v>0</v>
      </c>
      <c r="C52" t="str">
        <f t="shared" si="0"/>
        <v>No</v>
      </c>
      <c r="D52" t="s">
        <v>956</v>
      </c>
      <c r="E52" t="s">
        <v>1011</v>
      </c>
      <c r="F52" t="str" cm="1">
        <f t="array" ref="F52">IF(OR(COUNTIF(D52,"*"&amp;$T$9:$T$15&amp;"*")),"Female","Male")</f>
        <v>Male</v>
      </c>
      <c r="G52">
        <v>21</v>
      </c>
      <c r="H52">
        <v>0</v>
      </c>
      <c r="I52">
        <v>0</v>
      </c>
      <c r="J52">
        <v>3</v>
      </c>
      <c r="K52">
        <v>7.8</v>
      </c>
      <c r="L52">
        <f t="shared" si="1"/>
        <v>0</v>
      </c>
      <c r="M52">
        <f t="shared" si="2"/>
        <v>21</v>
      </c>
      <c r="N52" t="str">
        <f t="shared" si="3"/>
        <v>Adult</v>
      </c>
      <c r="O52">
        <f t="shared" si="4"/>
        <v>7.8</v>
      </c>
    </row>
    <row r="53" spans="1:15" x14ac:dyDescent="0.3">
      <c r="A53">
        <v>52</v>
      </c>
      <c r="B53">
        <v>1</v>
      </c>
      <c r="C53" t="str">
        <f t="shared" si="0"/>
        <v>Yes</v>
      </c>
      <c r="D53" t="s">
        <v>958</v>
      </c>
      <c r="E53" t="s">
        <v>1012</v>
      </c>
      <c r="F53" t="str" cm="1">
        <f t="array" ref="F53">IF(OR(COUNTIF(D53,"*"&amp;$T$9:$T$15&amp;"*")),"Female","Male")</f>
        <v>Female</v>
      </c>
      <c r="G53">
        <v>49</v>
      </c>
      <c r="H53">
        <v>1</v>
      </c>
      <c r="I53">
        <v>0</v>
      </c>
      <c r="J53">
        <v>1</v>
      </c>
      <c r="K53">
        <v>76.729200000000006</v>
      </c>
      <c r="L53">
        <f t="shared" si="1"/>
        <v>1</v>
      </c>
      <c r="M53">
        <f t="shared" si="2"/>
        <v>49</v>
      </c>
      <c r="N53" t="str">
        <f t="shared" si="3"/>
        <v>Adult</v>
      </c>
      <c r="O53">
        <f t="shared" si="4"/>
        <v>76.73</v>
      </c>
    </row>
    <row r="54" spans="1:15" x14ac:dyDescent="0.3">
      <c r="A54">
        <v>53</v>
      </c>
      <c r="B54">
        <v>1</v>
      </c>
      <c r="C54" t="str">
        <f t="shared" si="0"/>
        <v>Yes</v>
      </c>
      <c r="D54" t="s">
        <v>958</v>
      </c>
      <c r="E54" t="s">
        <v>1013</v>
      </c>
      <c r="F54" t="str" cm="1">
        <f t="array" ref="F54">IF(OR(COUNTIF(D54,"*"&amp;$T$9:$T$15&amp;"*")),"Female","Male")</f>
        <v>Female</v>
      </c>
      <c r="G54">
        <v>29</v>
      </c>
      <c r="H54">
        <v>1</v>
      </c>
      <c r="I54">
        <v>0</v>
      </c>
      <c r="J54">
        <v>2</v>
      </c>
      <c r="K54">
        <v>26</v>
      </c>
      <c r="L54">
        <f t="shared" si="1"/>
        <v>1</v>
      </c>
      <c r="M54">
        <f t="shared" si="2"/>
        <v>29</v>
      </c>
      <c r="N54" t="str">
        <f t="shared" si="3"/>
        <v>Adult</v>
      </c>
      <c r="O54">
        <f t="shared" si="4"/>
        <v>26</v>
      </c>
    </row>
    <row r="55" spans="1:15" x14ac:dyDescent="0.3">
      <c r="A55">
        <v>54</v>
      </c>
      <c r="B55">
        <v>0</v>
      </c>
      <c r="C55" t="str">
        <f t="shared" si="0"/>
        <v>No</v>
      </c>
      <c r="D55" t="s">
        <v>956</v>
      </c>
      <c r="E55" t="s">
        <v>1014</v>
      </c>
      <c r="F55" t="str" cm="1">
        <f t="array" ref="F55">IF(OR(COUNTIF(D55,"*"&amp;$T$9:$T$15&amp;"*")),"Female","Male")</f>
        <v>Male</v>
      </c>
      <c r="G55">
        <v>65</v>
      </c>
      <c r="H55">
        <v>0</v>
      </c>
      <c r="I55">
        <v>1</v>
      </c>
      <c r="J55">
        <v>1</v>
      </c>
      <c r="K55">
        <v>61.979199999999999</v>
      </c>
      <c r="L55">
        <f t="shared" si="1"/>
        <v>0</v>
      </c>
      <c r="M55">
        <f t="shared" si="2"/>
        <v>65</v>
      </c>
      <c r="N55" t="str">
        <f t="shared" si="3"/>
        <v>Adult</v>
      </c>
      <c r="O55">
        <f t="shared" si="4"/>
        <v>61.98</v>
      </c>
    </row>
    <row r="56" spans="1:15" x14ac:dyDescent="0.3">
      <c r="A56">
        <v>55</v>
      </c>
      <c r="B56">
        <v>1</v>
      </c>
      <c r="C56" t="str">
        <f t="shared" si="0"/>
        <v>Yes</v>
      </c>
      <c r="D56" t="s">
        <v>956</v>
      </c>
      <c r="E56" t="s">
        <v>1015</v>
      </c>
      <c r="F56" t="str" cm="1">
        <f t="array" ref="F56">IF(OR(COUNTIF(D56,"*"&amp;$T$9:$T$15&amp;"*")),"Female","Male")</f>
        <v>Male</v>
      </c>
      <c r="G56">
        <v>46</v>
      </c>
      <c r="H56">
        <v>0</v>
      </c>
      <c r="I56">
        <v>0</v>
      </c>
      <c r="J56">
        <v>1</v>
      </c>
      <c r="K56">
        <v>35.5</v>
      </c>
      <c r="L56">
        <f t="shared" si="1"/>
        <v>0</v>
      </c>
      <c r="M56">
        <f t="shared" si="2"/>
        <v>46</v>
      </c>
      <c r="N56" t="str">
        <f t="shared" si="3"/>
        <v>Adult</v>
      </c>
      <c r="O56">
        <f t="shared" si="4"/>
        <v>35.5</v>
      </c>
    </row>
    <row r="57" spans="1:15" x14ac:dyDescent="0.3">
      <c r="A57">
        <v>56</v>
      </c>
      <c r="B57">
        <v>1</v>
      </c>
      <c r="C57" t="str">
        <f t="shared" si="0"/>
        <v>Yes</v>
      </c>
      <c r="D57" t="s">
        <v>960</v>
      </c>
      <c r="E57" t="s">
        <v>1016</v>
      </c>
      <c r="F57" t="str" cm="1">
        <f t="array" ref="F57">IF(OR(COUNTIF(D57,"*"&amp;$T$9:$T$15&amp;"*")),"Female","Male")</f>
        <v>Female</v>
      </c>
      <c r="G57">
        <v>21</v>
      </c>
      <c r="H57">
        <v>0</v>
      </c>
      <c r="I57">
        <v>0</v>
      </c>
      <c r="J57">
        <v>2</v>
      </c>
      <c r="K57">
        <v>10.5</v>
      </c>
      <c r="L57">
        <f t="shared" si="1"/>
        <v>1</v>
      </c>
      <c r="M57">
        <f t="shared" si="2"/>
        <v>21</v>
      </c>
      <c r="N57" t="str">
        <f t="shared" si="3"/>
        <v>Adult</v>
      </c>
      <c r="O57">
        <f t="shared" si="4"/>
        <v>10.5</v>
      </c>
    </row>
    <row r="58" spans="1:15" x14ac:dyDescent="0.3">
      <c r="A58">
        <v>57</v>
      </c>
      <c r="B58">
        <v>0</v>
      </c>
      <c r="C58" t="str">
        <f t="shared" si="0"/>
        <v>No</v>
      </c>
      <c r="D58" t="s">
        <v>956</v>
      </c>
      <c r="E58" t="s">
        <v>1017</v>
      </c>
      <c r="F58" t="str" cm="1">
        <f t="array" ref="F58">IF(OR(COUNTIF(D58,"*"&amp;$T$9:$T$15&amp;"*")),"Female","Male")</f>
        <v>Male</v>
      </c>
      <c r="G58">
        <v>28.5</v>
      </c>
      <c r="H58">
        <v>0</v>
      </c>
      <c r="I58">
        <v>0</v>
      </c>
      <c r="J58">
        <v>3</v>
      </c>
      <c r="K58">
        <v>7.2291999999999996</v>
      </c>
      <c r="L58">
        <f t="shared" si="1"/>
        <v>0</v>
      </c>
      <c r="M58">
        <f t="shared" si="2"/>
        <v>29</v>
      </c>
      <c r="N58" t="str">
        <f t="shared" si="3"/>
        <v>Adult</v>
      </c>
      <c r="O58">
        <f t="shared" si="4"/>
        <v>7.23</v>
      </c>
    </row>
    <row r="59" spans="1:15" x14ac:dyDescent="0.3">
      <c r="A59">
        <v>58</v>
      </c>
      <c r="B59">
        <v>1</v>
      </c>
      <c r="C59" t="str">
        <f t="shared" si="0"/>
        <v>Yes</v>
      </c>
      <c r="D59" t="s">
        <v>960</v>
      </c>
      <c r="E59" t="s">
        <v>1018</v>
      </c>
      <c r="F59" t="str" cm="1">
        <f t="array" ref="F59">IF(OR(COUNTIF(D59,"*"&amp;$T$9:$T$15&amp;"*")),"Female","Male")</f>
        <v>Female</v>
      </c>
      <c r="G59">
        <v>5</v>
      </c>
      <c r="H59">
        <v>1</v>
      </c>
      <c r="I59">
        <v>2</v>
      </c>
      <c r="J59">
        <v>2</v>
      </c>
      <c r="K59">
        <v>27.75</v>
      </c>
      <c r="L59">
        <f t="shared" si="1"/>
        <v>1</v>
      </c>
      <c r="M59">
        <f t="shared" si="2"/>
        <v>5</v>
      </c>
      <c r="N59" t="str">
        <f t="shared" si="3"/>
        <v>Child</v>
      </c>
      <c r="O59">
        <f t="shared" si="4"/>
        <v>27.75</v>
      </c>
    </row>
    <row r="60" spans="1:15" x14ac:dyDescent="0.3">
      <c r="A60">
        <v>59</v>
      </c>
      <c r="B60">
        <v>0</v>
      </c>
      <c r="C60" t="str">
        <f t="shared" si="0"/>
        <v>No</v>
      </c>
      <c r="D60" t="s">
        <v>966</v>
      </c>
      <c r="E60" t="s">
        <v>1019</v>
      </c>
      <c r="F60" t="str" cm="1">
        <f t="array" ref="F60">IF(OR(COUNTIF(D60,"*"&amp;$T$9:$T$15&amp;"*")),"Female","Male")</f>
        <v>Male</v>
      </c>
      <c r="G60">
        <v>11</v>
      </c>
      <c r="H60">
        <v>5</v>
      </c>
      <c r="I60">
        <v>2</v>
      </c>
      <c r="J60">
        <v>3</v>
      </c>
      <c r="K60">
        <v>46.9</v>
      </c>
      <c r="L60">
        <f t="shared" si="1"/>
        <v>0</v>
      </c>
      <c r="M60">
        <f t="shared" si="2"/>
        <v>11</v>
      </c>
      <c r="N60" t="str">
        <f t="shared" si="3"/>
        <v>Child</v>
      </c>
      <c r="O60">
        <f t="shared" si="4"/>
        <v>46.9</v>
      </c>
    </row>
    <row r="61" spans="1:15" x14ac:dyDescent="0.3">
      <c r="A61">
        <v>60</v>
      </c>
      <c r="B61">
        <v>0</v>
      </c>
      <c r="C61" t="str">
        <f t="shared" si="0"/>
        <v>No</v>
      </c>
      <c r="D61" t="s">
        <v>956</v>
      </c>
      <c r="E61" t="s">
        <v>1020</v>
      </c>
      <c r="F61" t="str" cm="1">
        <f t="array" ref="F61">IF(OR(COUNTIF(D61,"*"&amp;$T$9:$T$15&amp;"*")),"Female","Male")</f>
        <v>Male</v>
      </c>
      <c r="G61">
        <v>22</v>
      </c>
      <c r="H61">
        <v>0</v>
      </c>
      <c r="I61">
        <v>0</v>
      </c>
      <c r="J61">
        <v>3</v>
      </c>
      <c r="K61">
        <v>7.2291999999999996</v>
      </c>
      <c r="L61">
        <f t="shared" si="1"/>
        <v>0</v>
      </c>
      <c r="M61">
        <f t="shared" si="2"/>
        <v>22</v>
      </c>
      <c r="N61" t="str">
        <f t="shared" si="3"/>
        <v>Adult</v>
      </c>
      <c r="O61">
        <f t="shared" si="4"/>
        <v>7.23</v>
      </c>
    </row>
    <row r="62" spans="1:15" x14ac:dyDescent="0.3">
      <c r="A62">
        <v>61</v>
      </c>
      <c r="B62">
        <v>1</v>
      </c>
      <c r="C62" t="str">
        <f t="shared" si="0"/>
        <v>Yes</v>
      </c>
      <c r="D62" t="s">
        <v>960</v>
      </c>
      <c r="E62" t="s">
        <v>1021</v>
      </c>
      <c r="F62" t="str" cm="1">
        <f t="array" ref="F62">IF(OR(COUNTIF(D62,"*"&amp;$T$9:$T$15&amp;"*")),"Female","Male")</f>
        <v>Female</v>
      </c>
      <c r="G62">
        <v>38</v>
      </c>
      <c r="H62">
        <v>0</v>
      </c>
      <c r="I62">
        <v>0</v>
      </c>
      <c r="J62">
        <v>1</v>
      </c>
      <c r="K62">
        <v>80</v>
      </c>
      <c r="L62">
        <f t="shared" si="1"/>
        <v>1</v>
      </c>
      <c r="M62">
        <f t="shared" si="2"/>
        <v>38</v>
      </c>
      <c r="N62" t="str">
        <f t="shared" si="3"/>
        <v>Adult</v>
      </c>
      <c r="O62">
        <f t="shared" si="4"/>
        <v>80</v>
      </c>
    </row>
    <row r="63" spans="1:15" x14ac:dyDescent="0.3">
      <c r="A63">
        <v>62</v>
      </c>
      <c r="B63">
        <v>0</v>
      </c>
      <c r="C63" t="str">
        <f t="shared" si="0"/>
        <v>No</v>
      </c>
      <c r="D63" t="s">
        <v>956</v>
      </c>
      <c r="E63" t="s">
        <v>1022</v>
      </c>
      <c r="F63" t="str" cm="1">
        <f t="array" ref="F63">IF(OR(COUNTIF(D63,"*"&amp;$T$9:$T$15&amp;"*")),"Female","Male")</f>
        <v>Male</v>
      </c>
      <c r="G63">
        <v>45</v>
      </c>
      <c r="H63">
        <v>1</v>
      </c>
      <c r="I63">
        <v>0</v>
      </c>
      <c r="J63">
        <v>1</v>
      </c>
      <c r="K63">
        <v>83.474999999999994</v>
      </c>
      <c r="L63">
        <f t="shared" si="1"/>
        <v>0</v>
      </c>
      <c r="M63">
        <f t="shared" si="2"/>
        <v>45</v>
      </c>
      <c r="N63" t="str">
        <f t="shared" si="3"/>
        <v>Adult</v>
      </c>
      <c r="O63">
        <f t="shared" si="4"/>
        <v>83.48</v>
      </c>
    </row>
    <row r="64" spans="1:15" x14ac:dyDescent="0.3">
      <c r="A64">
        <v>63</v>
      </c>
      <c r="B64">
        <v>0</v>
      </c>
      <c r="C64" t="str">
        <f t="shared" si="0"/>
        <v>No</v>
      </c>
      <c r="D64" t="s">
        <v>966</v>
      </c>
      <c r="E64" t="s">
        <v>1023</v>
      </c>
      <c r="F64" t="str" cm="1">
        <f t="array" ref="F64">IF(OR(COUNTIF(D64,"*"&amp;$T$9:$T$15&amp;"*")),"Female","Male")</f>
        <v>Male</v>
      </c>
      <c r="G64">
        <v>4</v>
      </c>
      <c r="H64">
        <v>3</v>
      </c>
      <c r="I64">
        <v>2</v>
      </c>
      <c r="J64">
        <v>3</v>
      </c>
      <c r="K64">
        <v>27.9</v>
      </c>
      <c r="L64">
        <f t="shared" si="1"/>
        <v>0</v>
      </c>
      <c r="M64">
        <f t="shared" si="2"/>
        <v>4</v>
      </c>
      <c r="N64" t="str">
        <f t="shared" si="3"/>
        <v>Child</v>
      </c>
      <c r="O64">
        <f t="shared" si="4"/>
        <v>27.9</v>
      </c>
    </row>
    <row r="65" spans="1:15" x14ac:dyDescent="0.3">
      <c r="A65">
        <v>64</v>
      </c>
      <c r="B65">
        <v>0</v>
      </c>
      <c r="C65" t="str">
        <f t="shared" si="0"/>
        <v>No</v>
      </c>
      <c r="D65" t="s">
        <v>956</v>
      </c>
      <c r="E65" t="s">
        <v>1024</v>
      </c>
      <c r="F65" t="str" cm="1">
        <f t="array" ref="F65">IF(OR(COUNTIF(D65,"*"&amp;$T$9:$T$15&amp;"*")),"Female","Male")</f>
        <v>Male</v>
      </c>
      <c r="G65">
        <v>64</v>
      </c>
      <c r="H65">
        <v>0</v>
      </c>
      <c r="I65">
        <v>0</v>
      </c>
      <c r="J65">
        <v>1</v>
      </c>
      <c r="K65">
        <v>27.720800000000001</v>
      </c>
      <c r="L65">
        <f t="shared" si="1"/>
        <v>0</v>
      </c>
      <c r="M65">
        <f t="shared" si="2"/>
        <v>64</v>
      </c>
      <c r="N65" t="str">
        <f t="shared" si="3"/>
        <v>Adult</v>
      </c>
      <c r="O65">
        <f t="shared" si="4"/>
        <v>27.72</v>
      </c>
    </row>
    <row r="66" spans="1:15" x14ac:dyDescent="0.3">
      <c r="A66">
        <v>65</v>
      </c>
      <c r="B66">
        <v>1</v>
      </c>
      <c r="C66" t="str">
        <f t="shared" si="0"/>
        <v>Yes</v>
      </c>
      <c r="D66" t="s">
        <v>966</v>
      </c>
      <c r="E66" t="s">
        <v>1025</v>
      </c>
      <c r="F66" t="str" cm="1">
        <f t="array" ref="F66">IF(OR(COUNTIF(D66,"*"&amp;$T$9:$T$15&amp;"*")),"Female","Male")</f>
        <v>Male</v>
      </c>
      <c r="G66">
        <v>7</v>
      </c>
      <c r="H66">
        <v>1</v>
      </c>
      <c r="I66">
        <v>1</v>
      </c>
      <c r="J66">
        <v>3</v>
      </c>
      <c r="K66">
        <v>15.245799999999999</v>
      </c>
      <c r="L66">
        <f t="shared" si="1"/>
        <v>0</v>
      </c>
      <c r="M66">
        <f t="shared" si="2"/>
        <v>7</v>
      </c>
      <c r="N66" t="str">
        <f t="shared" si="3"/>
        <v>Child</v>
      </c>
      <c r="O66">
        <f t="shared" si="4"/>
        <v>15.25</v>
      </c>
    </row>
    <row r="67" spans="1:15" x14ac:dyDescent="0.3">
      <c r="A67">
        <v>66</v>
      </c>
      <c r="B67">
        <v>1</v>
      </c>
      <c r="C67" t="str">
        <f t="shared" ref="C67:C130" si="5">IF(B67=0,"No","Yes")</f>
        <v>Yes</v>
      </c>
      <c r="D67" t="s">
        <v>958</v>
      </c>
      <c r="E67" t="s">
        <v>1026</v>
      </c>
      <c r="F67" t="str" cm="1">
        <f t="array" ref="F67">IF(OR(COUNTIF(D67,"*"&amp;$T$9:$T$15&amp;"*")),"Female","Male")</f>
        <v>Female</v>
      </c>
      <c r="G67">
        <v>29</v>
      </c>
      <c r="H67">
        <v>0</v>
      </c>
      <c r="I67">
        <v>0</v>
      </c>
      <c r="J67">
        <v>2</v>
      </c>
      <c r="K67">
        <v>10.5</v>
      </c>
      <c r="L67">
        <f t="shared" ref="L67:L130" si="6">IF(F67 = "Male", 0, 1)</f>
        <v>1</v>
      </c>
      <c r="M67">
        <f t="shared" ref="M67:M130" si="7">ROUND(G67, 0)</f>
        <v>29</v>
      </c>
      <c r="N67" t="str">
        <f t="shared" ref="N67:N130" si="8">IF(G67&lt;=16,"Child","Adult")</f>
        <v>Adult</v>
      </c>
      <c r="O67">
        <f t="shared" ref="O67:O130" si="9">ROUND(K67, 2)</f>
        <v>10.5</v>
      </c>
    </row>
    <row r="68" spans="1:15" x14ac:dyDescent="0.3">
      <c r="A68">
        <v>67</v>
      </c>
      <c r="B68">
        <v>0</v>
      </c>
      <c r="C68" t="str">
        <f t="shared" si="5"/>
        <v>No</v>
      </c>
      <c r="D68" t="s">
        <v>956</v>
      </c>
      <c r="E68" t="s">
        <v>1027</v>
      </c>
      <c r="F68" t="str" cm="1">
        <f t="array" ref="F68">IF(OR(COUNTIF(D68,"*"&amp;$T$9:$T$15&amp;"*")),"Female","Male")</f>
        <v>Male</v>
      </c>
      <c r="G68">
        <v>19</v>
      </c>
      <c r="H68">
        <v>0</v>
      </c>
      <c r="I68">
        <v>0</v>
      </c>
      <c r="J68">
        <v>3</v>
      </c>
      <c r="K68">
        <v>8.1583000000000006</v>
      </c>
      <c r="L68">
        <f t="shared" si="6"/>
        <v>0</v>
      </c>
      <c r="M68">
        <f t="shared" si="7"/>
        <v>19</v>
      </c>
      <c r="N68" t="str">
        <f t="shared" si="8"/>
        <v>Adult</v>
      </c>
      <c r="O68">
        <f t="shared" si="9"/>
        <v>8.16</v>
      </c>
    </row>
    <row r="69" spans="1:15" x14ac:dyDescent="0.3">
      <c r="A69">
        <v>68</v>
      </c>
      <c r="B69">
        <v>1</v>
      </c>
      <c r="C69" t="str">
        <f t="shared" si="5"/>
        <v>Yes</v>
      </c>
      <c r="D69" t="s">
        <v>960</v>
      </c>
      <c r="E69" t="s">
        <v>1028</v>
      </c>
      <c r="F69" t="str" cm="1">
        <f t="array" ref="F69">IF(OR(COUNTIF(D69,"*"&amp;$T$9:$T$15&amp;"*")),"Female","Male")</f>
        <v>Female</v>
      </c>
      <c r="G69">
        <v>17</v>
      </c>
      <c r="H69">
        <v>4</v>
      </c>
      <c r="I69">
        <v>2</v>
      </c>
      <c r="J69">
        <v>3</v>
      </c>
      <c r="K69">
        <v>7.9249999999999998</v>
      </c>
      <c r="L69">
        <f t="shared" si="6"/>
        <v>1</v>
      </c>
      <c r="M69">
        <f t="shared" si="7"/>
        <v>17</v>
      </c>
      <c r="N69" t="str">
        <f t="shared" si="8"/>
        <v>Adult</v>
      </c>
      <c r="O69">
        <f t="shared" si="9"/>
        <v>7.93</v>
      </c>
    </row>
    <row r="70" spans="1:15" x14ac:dyDescent="0.3">
      <c r="A70">
        <v>69</v>
      </c>
      <c r="B70">
        <v>0</v>
      </c>
      <c r="C70" t="str">
        <f t="shared" si="5"/>
        <v>No</v>
      </c>
      <c r="D70" t="s">
        <v>956</v>
      </c>
      <c r="E70" t="s">
        <v>1029</v>
      </c>
      <c r="F70" t="str" cm="1">
        <f t="array" ref="F70">IF(OR(COUNTIF(D70,"*"&amp;$T$9:$T$15&amp;"*")),"Female","Male")</f>
        <v>Male</v>
      </c>
      <c r="G70">
        <v>26</v>
      </c>
      <c r="H70">
        <v>2</v>
      </c>
      <c r="I70">
        <v>0</v>
      </c>
      <c r="J70">
        <v>3</v>
      </c>
      <c r="K70">
        <v>8.6624999999999996</v>
      </c>
      <c r="L70">
        <f t="shared" si="6"/>
        <v>0</v>
      </c>
      <c r="M70">
        <f t="shared" si="7"/>
        <v>26</v>
      </c>
      <c r="N70" t="str">
        <f t="shared" si="8"/>
        <v>Adult</v>
      </c>
      <c r="O70">
        <f t="shared" si="9"/>
        <v>8.66</v>
      </c>
    </row>
    <row r="71" spans="1:15" x14ac:dyDescent="0.3">
      <c r="A71">
        <v>70</v>
      </c>
      <c r="B71">
        <v>0</v>
      </c>
      <c r="C71" t="str">
        <f t="shared" si="5"/>
        <v>No</v>
      </c>
      <c r="D71" t="s">
        <v>956</v>
      </c>
      <c r="E71" t="s">
        <v>1030</v>
      </c>
      <c r="F71" t="str" cm="1">
        <f t="array" ref="F71">IF(OR(COUNTIF(D71,"*"&amp;$T$9:$T$15&amp;"*")),"Female","Male")</f>
        <v>Male</v>
      </c>
      <c r="G71">
        <v>32</v>
      </c>
      <c r="H71">
        <v>0</v>
      </c>
      <c r="I71">
        <v>0</v>
      </c>
      <c r="J71">
        <v>2</v>
      </c>
      <c r="K71">
        <v>10.5</v>
      </c>
      <c r="L71">
        <f t="shared" si="6"/>
        <v>0</v>
      </c>
      <c r="M71">
        <f t="shared" si="7"/>
        <v>32</v>
      </c>
      <c r="N71" t="str">
        <f t="shared" si="8"/>
        <v>Adult</v>
      </c>
      <c r="O71">
        <f t="shared" si="9"/>
        <v>10.5</v>
      </c>
    </row>
    <row r="72" spans="1:15" x14ac:dyDescent="0.3">
      <c r="A72">
        <v>71</v>
      </c>
      <c r="B72">
        <v>0</v>
      </c>
      <c r="C72" t="str">
        <f t="shared" si="5"/>
        <v>No</v>
      </c>
      <c r="D72" t="s">
        <v>960</v>
      </c>
      <c r="E72" t="s">
        <v>1031</v>
      </c>
      <c r="F72" t="str" cm="1">
        <f t="array" ref="F72">IF(OR(COUNTIF(D72,"*"&amp;$T$9:$T$15&amp;"*")),"Female","Male")</f>
        <v>Female</v>
      </c>
      <c r="G72">
        <v>16</v>
      </c>
      <c r="H72">
        <v>5</v>
      </c>
      <c r="I72">
        <v>2</v>
      </c>
      <c r="J72">
        <v>3</v>
      </c>
      <c r="K72">
        <v>46.9</v>
      </c>
      <c r="L72">
        <f t="shared" si="6"/>
        <v>1</v>
      </c>
      <c r="M72">
        <f t="shared" si="7"/>
        <v>16</v>
      </c>
      <c r="N72" t="str">
        <f t="shared" si="8"/>
        <v>Child</v>
      </c>
      <c r="O72">
        <f t="shared" si="9"/>
        <v>46.9</v>
      </c>
    </row>
    <row r="73" spans="1:15" x14ac:dyDescent="0.3">
      <c r="A73">
        <v>72</v>
      </c>
      <c r="B73">
        <v>0</v>
      </c>
      <c r="C73" t="str">
        <f t="shared" si="5"/>
        <v>No</v>
      </c>
      <c r="D73" t="s">
        <v>956</v>
      </c>
      <c r="E73" t="s">
        <v>1032</v>
      </c>
      <c r="F73" t="str" cm="1">
        <f t="array" ref="F73">IF(OR(COUNTIF(D73,"*"&amp;$T$9:$T$15&amp;"*")),"Female","Male")</f>
        <v>Male</v>
      </c>
      <c r="G73">
        <v>21</v>
      </c>
      <c r="H73">
        <v>0</v>
      </c>
      <c r="I73">
        <v>0</v>
      </c>
      <c r="J73">
        <v>2</v>
      </c>
      <c r="K73">
        <v>73.5</v>
      </c>
      <c r="L73">
        <f t="shared" si="6"/>
        <v>0</v>
      </c>
      <c r="M73">
        <f t="shared" si="7"/>
        <v>21</v>
      </c>
      <c r="N73" t="str">
        <f t="shared" si="8"/>
        <v>Adult</v>
      </c>
      <c r="O73">
        <f t="shared" si="9"/>
        <v>73.5</v>
      </c>
    </row>
    <row r="74" spans="1:15" x14ac:dyDescent="0.3">
      <c r="A74">
        <v>73</v>
      </c>
      <c r="B74">
        <v>0</v>
      </c>
      <c r="C74" t="str">
        <f t="shared" si="5"/>
        <v>No</v>
      </c>
      <c r="D74" t="s">
        <v>956</v>
      </c>
      <c r="E74" t="s">
        <v>1033</v>
      </c>
      <c r="F74" t="str" cm="1">
        <f t="array" ref="F74">IF(OR(COUNTIF(D74,"*"&amp;$T$9:$T$15&amp;"*")),"Female","Male")</f>
        <v>Male</v>
      </c>
      <c r="G74">
        <v>26</v>
      </c>
      <c r="H74">
        <v>1</v>
      </c>
      <c r="I74">
        <v>0</v>
      </c>
      <c r="J74">
        <v>3</v>
      </c>
      <c r="K74">
        <v>14.4542</v>
      </c>
      <c r="L74">
        <f t="shared" si="6"/>
        <v>0</v>
      </c>
      <c r="M74">
        <f t="shared" si="7"/>
        <v>26</v>
      </c>
      <c r="N74" t="str">
        <f t="shared" si="8"/>
        <v>Adult</v>
      </c>
      <c r="O74">
        <f t="shared" si="9"/>
        <v>14.45</v>
      </c>
    </row>
    <row r="75" spans="1:15" x14ac:dyDescent="0.3">
      <c r="A75">
        <v>74</v>
      </c>
      <c r="B75">
        <v>1</v>
      </c>
      <c r="C75" t="str">
        <f t="shared" si="5"/>
        <v>Yes</v>
      </c>
      <c r="D75" t="s">
        <v>956</v>
      </c>
      <c r="E75" t="s">
        <v>1034</v>
      </c>
      <c r="F75" t="str" cm="1">
        <f t="array" ref="F75">IF(OR(COUNTIF(D75,"*"&amp;$T$9:$T$15&amp;"*")),"Female","Male")</f>
        <v>Male</v>
      </c>
      <c r="G75">
        <v>32</v>
      </c>
      <c r="H75">
        <v>0</v>
      </c>
      <c r="I75">
        <v>0</v>
      </c>
      <c r="J75">
        <v>3</v>
      </c>
      <c r="K75">
        <v>56.495800000000003</v>
      </c>
      <c r="L75">
        <f t="shared" si="6"/>
        <v>0</v>
      </c>
      <c r="M75">
        <f t="shared" si="7"/>
        <v>32</v>
      </c>
      <c r="N75" t="str">
        <f t="shared" si="8"/>
        <v>Adult</v>
      </c>
      <c r="O75">
        <f t="shared" si="9"/>
        <v>56.5</v>
      </c>
    </row>
    <row r="76" spans="1:15" x14ac:dyDescent="0.3">
      <c r="A76">
        <v>75</v>
      </c>
      <c r="B76">
        <v>0</v>
      </c>
      <c r="C76" t="str">
        <f t="shared" si="5"/>
        <v>No</v>
      </c>
      <c r="D76" t="s">
        <v>956</v>
      </c>
      <c r="E76" t="s">
        <v>1035</v>
      </c>
      <c r="F76" t="str" cm="1">
        <f t="array" ref="F76">IF(OR(COUNTIF(D76,"*"&amp;$T$9:$T$15&amp;"*")),"Female","Male")</f>
        <v>Male</v>
      </c>
      <c r="G76">
        <v>25</v>
      </c>
      <c r="H76">
        <v>0</v>
      </c>
      <c r="I76">
        <v>0</v>
      </c>
      <c r="J76">
        <v>3</v>
      </c>
      <c r="K76">
        <v>7.65</v>
      </c>
      <c r="L76">
        <f t="shared" si="6"/>
        <v>0</v>
      </c>
      <c r="M76">
        <f t="shared" si="7"/>
        <v>25</v>
      </c>
      <c r="N76" t="str">
        <f t="shared" si="8"/>
        <v>Adult</v>
      </c>
      <c r="O76">
        <f t="shared" si="9"/>
        <v>7.65</v>
      </c>
    </row>
    <row r="77" spans="1:15" x14ac:dyDescent="0.3">
      <c r="A77">
        <v>76</v>
      </c>
      <c r="B77">
        <v>0</v>
      </c>
      <c r="C77" t="str">
        <f t="shared" si="5"/>
        <v>No</v>
      </c>
      <c r="D77" t="s">
        <v>956</v>
      </c>
      <c r="E77" t="s">
        <v>1036</v>
      </c>
      <c r="F77" t="str" cm="1">
        <f t="array" ref="F77">IF(OR(COUNTIF(D77,"*"&amp;$T$9:$T$15&amp;"*")),"Female","Male")</f>
        <v>Male</v>
      </c>
      <c r="G77">
        <v>23</v>
      </c>
      <c r="H77">
        <v>0</v>
      </c>
      <c r="I77">
        <v>0</v>
      </c>
      <c r="J77">
        <v>3</v>
      </c>
      <c r="K77">
        <v>7.8958000000000004</v>
      </c>
      <c r="L77">
        <f t="shared" si="6"/>
        <v>0</v>
      </c>
      <c r="M77">
        <f t="shared" si="7"/>
        <v>23</v>
      </c>
      <c r="N77" t="str">
        <f t="shared" si="8"/>
        <v>Adult</v>
      </c>
      <c r="O77">
        <f t="shared" si="9"/>
        <v>7.9</v>
      </c>
    </row>
    <row r="78" spans="1:15" x14ac:dyDescent="0.3">
      <c r="A78">
        <v>77</v>
      </c>
      <c r="B78">
        <v>0</v>
      </c>
      <c r="C78" t="str">
        <f t="shared" si="5"/>
        <v>No</v>
      </c>
      <c r="D78" t="s">
        <v>956</v>
      </c>
      <c r="E78" t="s">
        <v>1037</v>
      </c>
      <c r="F78" t="str" cm="1">
        <f t="array" ref="F78">IF(OR(COUNTIF(D78,"*"&amp;$T$9:$T$15&amp;"*")),"Female","Male")</f>
        <v>Male</v>
      </c>
      <c r="G78">
        <v>28</v>
      </c>
      <c r="H78">
        <v>0</v>
      </c>
      <c r="I78">
        <v>0</v>
      </c>
      <c r="J78">
        <v>3</v>
      </c>
      <c r="K78">
        <v>8.0500000000000007</v>
      </c>
      <c r="L78">
        <f t="shared" si="6"/>
        <v>0</v>
      </c>
      <c r="M78">
        <f t="shared" si="7"/>
        <v>28</v>
      </c>
      <c r="N78" t="str">
        <f t="shared" si="8"/>
        <v>Adult</v>
      </c>
      <c r="O78">
        <f t="shared" si="9"/>
        <v>8.0500000000000007</v>
      </c>
    </row>
    <row r="79" spans="1:15" x14ac:dyDescent="0.3">
      <c r="A79">
        <v>78</v>
      </c>
      <c r="B79">
        <v>1</v>
      </c>
      <c r="C79" t="str">
        <f t="shared" si="5"/>
        <v>Yes</v>
      </c>
      <c r="D79" t="s">
        <v>966</v>
      </c>
      <c r="E79" t="s">
        <v>1038</v>
      </c>
      <c r="F79" t="str" cm="1">
        <f t="array" ref="F79">IF(OR(COUNTIF(D79,"*"&amp;$T$9:$T$15&amp;"*")),"Female","Male")</f>
        <v>Male</v>
      </c>
      <c r="G79">
        <v>0.83</v>
      </c>
      <c r="H79">
        <v>0</v>
      </c>
      <c r="I79">
        <v>2</v>
      </c>
      <c r="J79">
        <v>2</v>
      </c>
      <c r="K79">
        <v>29</v>
      </c>
      <c r="L79">
        <f t="shared" si="6"/>
        <v>0</v>
      </c>
      <c r="M79">
        <f t="shared" si="7"/>
        <v>1</v>
      </c>
      <c r="N79" t="str">
        <f t="shared" si="8"/>
        <v>Child</v>
      </c>
      <c r="O79">
        <f t="shared" si="9"/>
        <v>29</v>
      </c>
    </row>
    <row r="80" spans="1:15" x14ac:dyDescent="0.3">
      <c r="A80">
        <v>79</v>
      </c>
      <c r="B80">
        <v>1</v>
      </c>
      <c r="C80" t="str">
        <f t="shared" si="5"/>
        <v>Yes</v>
      </c>
      <c r="D80" t="s">
        <v>960</v>
      </c>
      <c r="E80" t="s">
        <v>1039</v>
      </c>
      <c r="F80" t="str" cm="1">
        <f t="array" ref="F80">IF(OR(COUNTIF(D80,"*"&amp;$T$9:$T$15&amp;"*")),"Female","Male")</f>
        <v>Female</v>
      </c>
      <c r="G80">
        <v>30</v>
      </c>
      <c r="H80">
        <v>0</v>
      </c>
      <c r="I80">
        <v>0</v>
      </c>
      <c r="J80">
        <v>3</v>
      </c>
      <c r="K80">
        <v>12.475</v>
      </c>
      <c r="L80">
        <f t="shared" si="6"/>
        <v>1</v>
      </c>
      <c r="M80">
        <f t="shared" si="7"/>
        <v>30</v>
      </c>
      <c r="N80" t="str">
        <f t="shared" si="8"/>
        <v>Adult</v>
      </c>
      <c r="O80">
        <f t="shared" si="9"/>
        <v>12.48</v>
      </c>
    </row>
    <row r="81" spans="1:15" x14ac:dyDescent="0.3">
      <c r="A81">
        <v>80</v>
      </c>
      <c r="B81">
        <v>0</v>
      </c>
      <c r="C81" t="str">
        <f t="shared" si="5"/>
        <v>No</v>
      </c>
      <c r="D81" t="s">
        <v>956</v>
      </c>
      <c r="E81" t="s">
        <v>1040</v>
      </c>
      <c r="F81" t="str" cm="1">
        <f t="array" ref="F81">IF(OR(COUNTIF(D81,"*"&amp;$T$9:$T$15&amp;"*")),"Female","Male")</f>
        <v>Male</v>
      </c>
      <c r="G81">
        <v>22</v>
      </c>
      <c r="H81">
        <v>0</v>
      </c>
      <c r="I81">
        <v>0</v>
      </c>
      <c r="J81">
        <v>3</v>
      </c>
      <c r="K81">
        <v>9</v>
      </c>
      <c r="L81">
        <f t="shared" si="6"/>
        <v>0</v>
      </c>
      <c r="M81">
        <f t="shared" si="7"/>
        <v>22</v>
      </c>
      <c r="N81" t="str">
        <f t="shared" si="8"/>
        <v>Adult</v>
      </c>
      <c r="O81">
        <f t="shared" si="9"/>
        <v>9</v>
      </c>
    </row>
    <row r="82" spans="1:15" x14ac:dyDescent="0.3">
      <c r="A82">
        <v>81</v>
      </c>
      <c r="B82">
        <v>1</v>
      </c>
      <c r="C82" t="str">
        <f t="shared" si="5"/>
        <v>Yes</v>
      </c>
      <c r="D82" t="s">
        <v>956</v>
      </c>
      <c r="E82" t="s">
        <v>1041</v>
      </c>
      <c r="F82" t="str" cm="1">
        <f t="array" ref="F82">IF(OR(COUNTIF(D82,"*"&amp;$T$9:$T$15&amp;"*")),"Female","Male")</f>
        <v>Male</v>
      </c>
      <c r="G82">
        <v>29</v>
      </c>
      <c r="H82">
        <v>0</v>
      </c>
      <c r="I82">
        <v>0</v>
      </c>
      <c r="J82">
        <v>3</v>
      </c>
      <c r="K82">
        <v>9.5</v>
      </c>
      <c r="L82">
        <f t="shared" si="6"/>
        <v>0</v>
      </c>
      <c r="M82">
        <f t="shared" si="7"/>
        <v>29</v>
      </c>
      <c r="N82" t="str">
        <f t="shared" si="8"/>
        <v>Adult</v>
      </c>
      <c r="O82">
        <f t="shared" si="9"/>
        <v>9.5</v>
      </c>
    </row>
    <row r="83" spans="1:15" x14ac:dyDescent="0.3">
      <c r="A83">
        <v>82</v>
      </c>
      <c r="B83">
        <v>1</v>
      </c>
      <c r="C83" t="str">
        <f t="shared" si="5"/>
        <v>Yes</v>
      </c>
      <c r="D83" t="s">
        <v>960</v>
      </c>
      <c r="E83" t="s">
        <v>1042</v>
      </c>
      <c r="F83" t="str" cm="1">
        <f t="array" ref="F83">IF(OR(COUNTIF(D83,"*"&amp;$T$9:$T$15&amp;"*")),"Female","Male")</f>
        <v>Female</v>
      </c>
      <c r="G83">
        <v>31</v>
      </c>
      <c r="H83">
        <v>0</v>
      </c>
      <c r="I83">
        <v>0</v>
      </c>
      <c r="J83">
        <v>3</v>
      </c>
      <c r="K83">
        <v>7.7874999999999996</v>
      </c>
      <c r="L83">
        <f t="shared" si="6"/>
        <v>1</v>
      </c>
      <c r="M83">
        <f t="shared" si="7"/>
        <v>31</v>
      </c>
      <c r="N83" t="str">
        <f t="shared" si="8"/>
        <v>Adult</v>
      </c>
      <c r="O83">
        <f t="shared" si="9"/>
        <v>7.79</v>
      </c>
    </row>
    <row r="84" spans="1:15" x14ac:dyDescent="0.3">
      <c r="A84">
        <v>83</v>
      </c>
      <c r="B84">
        <v>0</v>
      </c>
      <c r="C84" t="str">
        <f t="shared" si="5"/>
        <v>No</v>
      </c>
      <c r="D84" t="s">
        <v>956</v>
      </c>
      <c r="E84" t="s">
        <v>1043</v>
      </c>
      <c r="F84" t="str" cm="1">
        <f t="array" ref="F84">IF(OR(COUNTIF(D84,"*"&amp;$T$9:$T$15&amp;"*")),"Female","Male")</f>
        <v>Male</v>
      </c>
      <c r="G84">
        <v>28</v>
      </c>
      <c r="H84">
        <v>0</v>
      </c>
      <c r="I84">
        <v>0</v>
      </c>
      <c r="J84">
        <v>1</v>
      </c>
      <c r="K84">
        <v>47.1</v>
      </c>
      <c r="L84">
        <f t="shared" si="6"/>
        <v>0</v>
      </c>
      <c r="M84">
        <f t="shared" si="7"/>
        <v>28</v>
      </c>
      <c r="N84" t="str">
        <f t="shared" si="8"/>
        <v>Adult</v>
      </c>
      <c r="O84">
        <f t="shared" si="9"/>
        <v>47.1</v>
      </c>
    </row>
    <row r="85" spans="1:15" x14ac:dyDescent="0.3">
      <c r="A85">
        <v>84</v>
      </c>
      <c r="B85">
        <v>1</v>
      </c>
      <c r="C85" t="str">
        <f t="shared" si="5"/>
        <v>Yes</v>
      </c>
      <c r="D85" t="s">
        <v>960</v>
      </c>
      <c r="E85" t="s">
        <v>1044</v>
      </c>
      <c r="F85" t="str" cm="1">
        <f t="array" ref="F85">IF(OR(COUNTIF(D85,"*"&amp;$T$9:$T$15&amp;"*")),"Female","Male")</f>
        <v>Female</v>
      </c>
      <c r="G85">
        <v>17</v>
      </c>
      <c r="H85">
        <v>0</v>
      </c>
      <c r="I85">
        <v>0</v>
      </c>
      <c r="J85">
        <v>2</v>
      </c>
      <c r="K85">
        <v>10.5</v>
      </c>
      <c r="L85">
        <f t="shared" si="6"/>
        <v>1</v>
      </c>
      <c r="M85">
        <f t="shared" si="7"/>
        <v>17</v>
      </c>
      <c r="N85" t="str">
        <f t="shared" si="8"/>
        <v>Adult</v>
      </c>
      <c r="O85">
        <f t="shared" si="9"/>
        <v>10.5</v>
      </c>
    </row>
    <row r="86" spans="1:15" x14ac:dyDescent="0.3">
      <c r="A86">
        <v>85</v>
      </c>
      <c r="B86">
        <v>1</v>
      </c>
      <c r="C86" t="str">
        <f t="shared" si="5"/>
        <v>Yes</v>
      </c>
      <c r="D86" t="s">
        <v>958</v>
      </c>
      <c r="E86" t="s">
        <v>1045</v>
      </c>
      <c r="F86" t="str" cm="1">
        <f t="array" ref="F86">IF(OR(COUNTIF(D86,"*"&amp;$T$9:$T$15&amp;"*")),"Female","Male")</f>
        <v>Female</v>
      </c>
      <c r="G86">
        <v>33</v>
      </c>
      <c r="H86">
        <v>3</v>
      </c>
      <c r="I86">
        <v>0</v>
      </c>
      <c r="J86">
        <v>3</v>
      </c>
      <c r="K86">
        <v>15.85</v>
      </c>
      <c r="L86">
        <f t="shared" si="6"/>
        <v>1</v>
      </c>
      <c r="M86">
        <f t="shared" si="7"/>
        <v>33</v>
      </c>
      <c r="N86" t="str">
        <f t="shared" si="8"/>
        <v>Adult</v>
      </c>
      <c r="O86">
        <f t="shared" si="9"/>
        <v>15.85</v>
      </c>
    </row>
    <row r="87" spans="1:15" x14ac:dyDescent="0.3">
      <c r="A87">
        <v>86</v>
      </c>
      <c r="B87">
        <v>0</v>
      </c>
      <c r="C87" t="str">
        <f t="shared" si="5"/>
        <v>No</v>
      </c>
      <c r="D87" t="s">
        <v>956</v>
      </c>
      <c r="E87" t="s">
        <v>1046</v>
      </c>
      <c r="F87" t="str" cm="1">
        <f t="array" ref="F87">IF(OR(COUNTIF(D87,"*"&amp;$T$9:$T$15&amp;"*")),"Female","Male")</f>
        <v>Male</v>
      </c>
      <c r="G87">
        <v>16</v>
      </c>
      <c r="H87">
        <v>1</v>
      </c>
      <c r="I87">
        <v>3</v>
      </c>
      <c r="J87">
        <v>3</v>
      </c>
      <c r="K87">
        <v>34.375</v>
      </c>
      <c r="L87">
        <f t="shared" si="6"/>
        <v>0</v>
      </c>
      <c r="M87">
        <f t="shared" si="7"/>
        <v>16</v>
      </c>
      <c r="N87" t="str">
        <f t="shared" si="8"/>
        <v>Child</v>
      </c>
      <c r="O87">
        <f t="shared" si="9"/>
        <v>34.380000000000003</v>
      </c>
    </row>
    <row r="88" spans="1:15" x14ac:dyDescent="0.3">
      <c r="A88">
        <v>87</v>
      </c>
      <c r="B88">
        <v>0</v>
      </c>
      <c r="C88" t="str">
        <f t="shared" si="5"/>
        <v>No</v>
      </c>
      <c r="D88" t="s">
        <v>956</v>
      </c>
      <c r="E88" t="s">
        <v>1047</v>
      </c>
      <c r="F88" t="str" cm="1">
        <f t="array" ref="F88">IF(OR(COUNTIF(D88,"*"&amp;$T$9:$T$15&amp;"*")),"Female","Male")</f>
        <v>Male</v>
      </c>
      <c r="G88">
        <v>20</v>
      </c>
      <c r="H88">
        <v>0</v>
      </c>
      <c r="I88">
        <v>0</v>
      </c>
      <c r="J88">
        <v>3</v>
      </c>
      <c r="K88">
        <v>8.0500000000000007</v>
      </c>
      <c r="L88">
        <f t="shared" si="6"/>
        <v>0</v>
      </c>
      <c r="M88">
        <f t="shared" si="7"/>
        <v>20</v>
      </c>
      <c r="N88" t="str">
        <f t="shared" si="8"/>
        <v>Adult</v>
      </c>
      <c r="O88">
        <f t="shared" si="9"/>
        <v>8.0500000000000007</v>
      </c>
    </row>
    <row r="89" spans="1:15" x14ac:dyDescent="0.3">
      <c r="A89">
        <v>88</v>
      </c>
      <c r="B89">
        <v>1</v>
      </c>
      <c r="C89" t="str">
        <f t="shared" si="5"/>
        <v>Yes</v>
      </c>
      <c r="D89" t="s">
        <v>960</v>
      </c>
      <c r="E89" t="s">
        <v>1048</v>
      </c>
      <c r="F89" t="str" cm="1">
        <f t="array" ref="F89">IF(OR(COUNTIF(D89,"*"&amp;$T$9:$T$15&amp;"*")),"Female","Male")</f>
        <v>Female</v>
      </c>
      <c r="G89">
        <v>23</v>
      </c>
      <c r="H89">
        <v>3</v>
      </c>
      <c r="I89">
        <v>2</v>
      </c>
      <c r="J89">
        <v>1</v>
      </c>
      <c r="K89">
        <v>263</v>
      </c>
      <c r="L89">
        <f t="shared" si="6"/>
        <v>1</v>
      </c>
      <c r="M89">
        <f t="shared" si="7"/>
        <v>23</v>
      </c>
      <c r="N89" t="str">
        <f t="shared" si="8"/>
        <v>Adult</v>
      </c>
      <c r="O89">
        <f t="shared" si="9"/>
        <v>263</v>
      </c>
    </row>
    <row r="90" spans="1:15" x14ac:dyDescent="0.3">
      <c r="A90">
        <v>89</v>
      </c>
      <c r="B90">
        <v>0</v>
      </c>
      <c r="C90" t="str">
        <f t="shared" si="5"/>
        <v>No</v>
      </c>
      <c r="D90" t="s">
        <v>956</v>
      </c>
      <c r="E90" t="s">
        <v>1049</v>
      </c>
      <c r="F90" t="str" cm="1">
        <f t="array" ref="F90">IF(OR(COUNTIF(D90,"*"&amp;$T$9:$T$15&amp;"*")),"Female","Male")</f>
        <v>Male</v>
      </c>
      <c r="G90">
        <v>24</v>
      </c>
      <c r="H90">
        <v>0</v>
      </c>
      <c r="I90">
        <v>0</v>
      </c>
      <c r="J90">
        <v>3</v>
      </c>
      <c r="K90">
        <v>8.0500000000000007</v>
      </c>
      <c r="L90">
        <f t="shared" si="6"/>
        <v>0</v>
      </c>
      <c r="M90">
        <f t="shared" si="7"/>
        <v>24</v>
      </c>
      <c r="N90" t="str">
        <f t="shared" si="8"/>
        <v>Adult</v>
      </c>
      <c r="O90">
        <f t="shared" si="9"/>
        <v>8.0500000000000007</v>
      </c>
    </row>
    <row r="91" spans="1:15" x14ac:dyDescent="0.3">
      <c r="A91">
        <v>90</v>
      </c>
      <c r="B91">
        <v>0</v>
      </c>
      <c r="C91" t="str">
        <f t="shared" si="5"/>
        <v>No</v>
      </c>
      <c r="D91" t="s">
        <v>956</v>
      </c>
      <c r="E91" t="s">
        <v>1050</v>
      </c>
      <c r="F91" t="str" cm="1">
        <f t="array" ref="F91">IF(OR(COUNTIF(D91,"*"&amp;$T$9:$T$15&amp;"*")),"Female","Male")</f>
        <v>Male</v>
      </c>
      <c r="G91">
        <v>29</v>
      </c>
      <c r="H91">
        <v>0</v>
      </c>
      <c r="I91">
        <v>0</v>
      </c>
      <c r="J91">
        <v>3</v>
      </c>
      <c r="K91">
        <v>8.0500000000000007</v>
      </c>
      <c r="L91">
        <f t="shared" si="6"/>
        <v>0</v>
      </c>
      <c r="M91">
        <f t="shared" si="7"/>
        <v>29</v>
      </c>
      <c r="N91" t="str">
        <f t="shared" si="8"/>
        <v>Adult</v>
      </c>
      <c r="O91">
        <f t="shared" si="9"/>
        <v>8.0500000000000007</v>
      </c>
    </row>
    <row r="92" spans="1:15" x14ac:dyDescent="0.3">
      <c r="A92">
        <v>91</v>
      </c>
      <c r="B92">
        <v>0</v>
      </c>
      <c r="C92" t="str">
        <f t="shared" si="5"/>
        <v>No</v>
      </c>
      <c r="D92" t="s">
        <v>956</v>
      </c>
      <c r="E92" t="s">
        <v>1051</v>
      </c>
      <c r="F92" t="str" cm="1">
        <f t="array" ref="F92">IF(OR(COUNTIF(D92,"*"&amp;$T$9:$T$15&amp;"*")),"Female","Male")</f>
        <v>Male</v>
      </c>
      <c r="G92">
        <v>20</v>
      </c>
      <c r="H92">
        <v>0</v>
      </c>
      <c r="I92">
        <v>0</v>
      </c>
      <c r="J92">
        <v>3</v>
      </c>
      <c r="K92">
        <v>7.8541999999999996</v>
      </c>
      <c r="L92">
        <f t="shared" si="6"/>
        <v>0</v>
      </c>
      <c r="M92">
        <f t="shared" si="7"/>
        <v>20</v>
      </c>
      <c r="N92" t="str">
        <f t="shared" si="8"/>
        <v>Adult</v>
      </c>
      <c r="O92">
        <f t="shared" si="9"/>
        <v>7.85</v>
      </c>
    </row>
    <row r="93" spans="1:15" x14ac:dyDescent="0.3">
      <c r="A93">
        <v>92</v>
      </c>
      <c r="B93">
        <v>0</v>
      </c>
      <c r="C93" t="str">
        <f t="shared" si="5"/>
        <v>No</v>
      </c>
      <c r="D93" t="s">
        <v>956</v>
      </c>
      <c r="E93" t="s">
        <v>1052</v>
      </c>
      <c r="F93" t="str" cm="1">
        <f t="array" ref="F93">IF(OR(COUNTIF(D93,"*"&amp;$T$9:$T$15&amp;"*")),"Female","Male")</f>
        <v>Male</v>
      </c>
      <c r="G93">
        <v>46</v>
      </c>
      <c r="H93">
        <v>1</v>
      </c>
      <c r="I93">
        <v>0</v>
      </c>
      <c r="J93">
        <v>1</v>
      </c>
      <c r="K93">
        <v>61.174999999999997</v>
      </c>
      <c r="L93">
        <f t="shared" si="6"/>
        <v>0</v>
      </c>
      <c r="M93">
        <f t="shared" si="7"/>
        <v>46</v>
      </c>
      <c r="N93" t="str">
        <f t="shared" si="8"/>
        <v>Adult</v>
      </c>
      <c r="O93">
        <f t="shared" si="9"/>
        <v>61.18</v>
      </c>
    </row>
    <row r="94" spans="1:15" x14ac:dyDescent="0.3">
      <c r="A94">
        <v>93</v>
      </c>
      <c r="B94">
        <v>0</v>
      </c>
      <c r="C94" t="str">
        <f t="shared" si="5"/>
        <v>No</v>
      </c>
      <c r="D94" t="s">
        <v>956</v>
      </c>
      <c r="E94" t="s">
        <v>1053</v>
      </c>
      <c r="F94" t="str" cm="1">
        <f t="array" ref="F94">IF(OR(COUNTIF(D94,"*"&amp;$T$9:$T$15&amp;"*")),"Female","Male")</f>
        <v>Male</v>
      </c>
      <c r="G94">
        <v>26</v>
      </c>
      <c r="H94">
        <v>1</v>
      </c>
      <c r="I94">
        <v>2</v>
      </c>
      <c r="J94">
        <v>3</v>
      </c>
      <c r="K94">
        <v>20.574999999999999</v>
      </c>
      <c r="L94">
        <f t="shared" si="6"/>
        <v>0</v>
      </c>
      <c r="M94">
        <f t="shared" si="7"/>
        <v>26</v>
      </c>
      <c r="N94" t="str">
        <f t="shared" si="8"/>
        <v>Adult</v>
      </c>
      <c r="O94">
        <f t="shared" si="9"/>
        <v>20.58</v>
      </c>
    </row>
    <row r="95" spans="1:15" x14ac:dyDescent="0.3">
      <c r="A95">
        <v>94</v>
      </c>
      <c r="B95">
        <v>0</v>
      </c>
      <c r="C95" t="str">
        <f t="shared" si="5"/>
        <v>No</v>
      </c>
      <c r="D95" t="s">
        <v>956</v>
      </c>
      <c r="E95" t="s">
        <v>1054</v>
      </c>
      <c r="F95" t="str" cm="1">
        <f t="array" ref="F95">IF(OR(COUNTIF(D95,"*"&amp;$T$9:$T$15&amp;"*")),"Female","Male")</f>
        <v>Male</v>
      </c>
      <c r="G95">
        <v>59</v>
      </c>
      <c r="H95">
        <v>0</v>
      </c>
      <c r="I95">
        <v>0</v>
      </c>
      <c r="J95">
        <v>3</v>
      </c>
      <c r="K95">
        <v>7.25</v>
      </c>
      <c r="L95">
        <f t="shared" si="6"/>
        <v>0</v>
      </c>
      <c r="M95">
        <f t="shared" si="7"/>
        <v>59</v>
      </c>
      <c r="N95" t="str">
        <f t="shared" si="8"/>
        <v>Adult</v>
      </c>
      <c r="O95">
        <f t="shared" si="9"/>
        <v>7.25</v>
      </c>
    </row>
    <row r="96" spans="1:15" x14ac:dyDescent="0.3">
      <c r="A96">
        <v>95</v>
      </c>
      <c r="B96">
        <v>0</v>
      </c>
      <c r="C96" t="str">
        <f t="shared" si="5"/>
        <v>No</v>
      </c>
      <c r="D96" t="s">
        <v>956</v>
      </c>
      <c r="E96" t="s">
        <v>1055</v>
      </c>
      <c r="F96" t="str" cm="1">
        <f t="array" ref="F96">IF(OR(COUNTIF(D96,"*"&amp;$T$9:$T$15&amp;"*")),"Female","Male")</f>
        <v>Male</v>
      </c>
      <c r="G96">
        <v>22</v>
      </c>
      <c r="H96">
        <v>0</v>
      </c>
      <c r="I96">
        <v>0</v>
      </c>
      <c r="J96">
        <v>3</v>
      </c>
      <c r="K96">
        <v>8.0500000000000007</v>
      </c>
      <c r="L96">
        <f t="shared" si="6"/>
        <v>0</v>
      </c>
      <c r="M96">
        <f t="shared" si="7"/>
        <v>22</v>
      </c>
      <c r="N96" t="str">
        <f t="shared" si="8"/>
        <v>Adult</v>
      </c>
      <c r="O96">
        <f t="shared" si="9"/>
        <v>8.0500000000000007</v>
      </c>
    </row>
    <row r="97" spans="1:15" x14ac:dyDescent="0.3">
      <c r="A97">
        <v>96</v>
      </c>
      <c r="B97">
        <v>0</v>
      </c>
      <c r="C97" t="str">
        <f t="shared" si="5"/>
        <v>No</v>
      </c>
      <c r="D97" t="s">
        <v>956</v>
      </c>
      <c r="E97" t="s">
        <v>1056</v>
      </c>
      <c r="F97" t="str" cm="1">
        <f t="array" ref="F97">IF(OR(COUNTIF(D97,"*"&amp;$T$9:$T$15&amp;"*")),"Female","Male")</f>
        <v>Male</v>
      </c>
      <c r="G97">
        <v>71</v>
      </c>
      <c r="H97">
        <v>0</v>
      </c>
      <c r="I97">
        <v>0</v>
      </c>
      <c r="J97">
        <v>1</v>
      </c>
      <c r="K97">
        <v>34.654200000000003</v>
      </c>
      <c r="L97">
        <f t="shared" si="6"/>
        <v>0</v>
      </c>
      <c r="M97">
        <f t="shared" si="7"/>
        <v>71</v>
      </c>
      <c r="N97" t="str">
        <f t="shared" si="8"/>
        <v>Adult</v>
      </c>
      <c r="O97">
        <f t="shared" si="9"/>
        <v>34.65</v>
      </c>
    </row>
    <row r="98" spans="1:15" x14ac:dyDescent="0.3">
      <c r="A98">
        <v>97</v>
      </c>
      <c r="B98">
        <v>1</v>
      </c>
      <c r="C98" t="str">
        <f t="shared" si="5"/>
        <v>Yes</v>
      </c>
      <c r="D98" t="s">
        <v>956</v>
      </c>
      <c r="E98" t="s">
        <v>1057</v>
      </c>
      <c r="F98" t="str" cm="1">
        <f t="array" ref="F98">IF(OR(COUNTIF(D98,"*"&amp;$T$9:$T$15&amp;"*")),"Female","Male")</f>
        <v>Male</v>
      </c>
      <c r="G98">
        <v>23</v>
      </c>
      <c r="H98">
        <v>0</v>
      </c>
      <c r="I98">
        <v>1</v>
      </c>
      <c r="J98">
        <v>1</v>
      </c>
      <c r="K98">
        <v>63.3583</v>
      </c>
      <c r="L98">
        <f t="shared" si="6"/>
        <v>0</v>
      </c>
      <c r="M98">
        <f t="shared" si="7"/>
        <v>23</v>
      </c>
      <c r="N98" t="str">
        <f t="shared" si="8"/>
        <v>Adult</v>
      </c>
      <c r="O98">
        <f t="shared" si="9"/>
        <v>63.36</v>
      </c>
    </row>
    <row r="99" spans="1:15" x14ac:dyDescent="0.3">
      <c r="A99">
        <v>98</v>
      </c>
      <c r="B99">
        <v>1</v>
      </c>
      <c r="C99" t="str">
        <f t="shared" si="5"/>
        <v>Yes</v>
      </c>
      <c r="D99" t="s">
        <v>958</v>
      </c>
      <c r="E99" t="s">
        <v>1058</v>
      </c>
      <c r="F99" t="str" cm="1">
        <f t="array" ref="F99">IF(OR(COUNTIF(D99,"*"&amp;$T$9:$T$15&amp;"*")),"Female","Male")</f>
        <v>Female</v>
      </c>
      <c r="G99">
        <v>34</v>
      </c>
      <c r="H99">
        <v>0</v>
      </c>
      <c r="I99">
        <v>1</v>
      </c>
      <c r="J99">
        <v>2</v>
      </c>
      <c r="K99">
        <v>23</v>
      </c>
      <c r="L99">
        <f t="shared" si="6"/>
        <v>1</v>
      </c>
      <c r="M99">
        <f t="shared" si="7"/>
        <v>34</v>
      </c>
      <c r="N99" t="str">
        <f t="shared" si="8"/>
        <v>Adult</v>
      </c>
      <c r="O99">
        <f t="shared" si="9"/>
        <v>23</v>
      </c>
    </row>
    <row r="100" spans="1:15" x14ac:dyDescent="0.3">
      <c r="A100">
        <v>99</v>
      </c>
      <c r="B100">
        <v>0</v>
      </c>
      <c r="C100" t="str">
        <f t="shared" si="5"/>
        <v>No</v>
      </c>
      <c r="D100" t="s">
        <v>956</v>
      </c>
      <c r="E100" t="s">
        <v>1059</v>
      </c>
      <c r="F100" t="str" cm="1">
        <f t="array" ref="F100">IF(OR(COUNTIF(D100,"*"&amp;$T$9:$T$15&amp;"*")),"Female","Male")</f>
        <v>Male</v>
      </c>
      <c r="G100">
        <v>34</v>
      </c>
      <c r="H100">
        <v>1</v>
      </c>
      <c r="I100">
        <v>0</v>
      </c>
      <c r="J100">
        <v>2</v>
      </c>
      <c r="K100">
        <v>26</v>
      </c>
      <c r="L100">
        <f t="shared" si="6"/>
        <v>0</v>
      </c>
      <c r="M100">
        <f t="shared" si="7"/>
        <v>34</v>
      </c>
      <c r="N100" t="str">
        <f t="shared" si="8"/>
        <v>Adult</v>
      </c>
      <c r="O100">
        <f t="shared" si="9"/>
        <v>26</v>
      </c>
    </row>
    <row r="101" spans="1:15" x14ac:dyDescent="0.3">
      <c r="A101">
        <v>100</v>
      </c>
      <c r="B101">
        <v>0</v>
      </c>
      <c r="C101" t="str">
        <f t="shared" si="5"/>
        <v>No</v>
      </c>
      <c r="D101" t="s">
        <v>960</v>
      </c>
      <c r="E101" t="s">
        <v>1060</v>
      </c>
      <c r="F101" t="str" cm="1">
        <f t="array" ref="F101">IF(OR(COUNTIF(D101,"*"&amp;$T$9:$T$15&amp;"*")),"Female","Male")</f>
        <v>Female</v>
      </c>
      <c r="G101">
        <v>28</v>
      </c>
      <c r="H101">
        <v>0</v>
      </c>
      <c r="I101">
        <v>0</v>
      </c>
      <c r="J101">
        <v>3</v>
      </c>
      <c r="K101">
        <v>7.8958000000000004</v>
      </c>
      <c r="L101">
        <f t="shared" si="6"/>
        <v>1</v>
      </c>
      <c r="M101">
        <f t="shared" si="7"/>
        <v>28</v>
      </c>
      <c r="N101" t="str">
        <f t="shared" si="8"/>
        <v>Adult</v>
      </c>
      <c r="O101">
        <f t="shared" si="9"/>
        <v>7.9</v>
      </c>
    </row>
    <row r="102" spans="1:15" x14ac:dyDescent="0.3">
      <c r="A102">
        <v>101</v>
      </c>
      <c r="B102">
        <v>0</v>
      </c>
      <c r="C102" t="str">
        <f t="shared" si="5"/>
        <v>No</v>
      </c>
      <c r="D102" t="s">
        <v>956</v>
      </c>
      <c r="E102" t="s">
        <v>1061</v>
      </c>
      <c r="F102" t="str" cm="1">
        <f t="array" ref="F102">IF(OR(COUNTIF(D102,"*"&amp;$T$9:$T$15&amp;"*")),"Female","Male")</f>
        <v>Male</v>
      </c>
      <c r="G102">
        <v>29</v>
      </c>
      <c r="H102">
        <v>0</v>
      </c>
      <c r="I102">
        <v>0</v>
      </c>
      <c r="J102">
        <v>3</v>
      </c>
      <c r="K102">
        <v>7.8958000000000004</v>
      </c>
      <c r="L102">
        <f t="shared" si="6"/>
        <v>0</v>
      </c>
      <c r="M102">
        <f t="shared" si="7"/>
        <v>29</v>
      </c>
      <c r="N102" t="str">
        <f t="shared" si="8"/>
        <v>Adult</v>
      </c>
      <c r="O102">
        <f t="shared" si="9"/>
        <v>7.9</v>
      </c>
    </row>
    <row r="103" spans="1:15" x14ac:dyDescent="0.3">
      <c r="A103">
        <v>102</v>
      </c>
      <c r="B103">
        <v>0</v>
      </c>
      <c r="C103" t="str">
        <f t="shared" si="5"/>
        <v>No</v>
      </c>
      <c r="D103" t="s">
        <v>956</v>
      </c>
      <c r="E103" t="s">
        <v>1062</v>
      </c>
      <c r="F103" t="str" cm="1">
        <f t="array" ref="F103">IF(OR(COUNTIF(D103,"*"&amp;$T$9:$T$15&amp;"*")),"Female","Male")</f>
        <v>Male</v>
      </c>
      <c r="G103">
        <v>21</v>
      </c>
      <c r="H103">
        <v>0</v>
      </c>
      <c r="I103">
        <v>1</v>
      </c>
      <c r="J103">
        <v>1</v>
      </c>
      <c r="K103">
        <v>77.287499999999994</v>
      </c>
      <c r="L103">
        <f t="shared" si="6"/>
        <v>0</v>
      </c>
      <c r="M103">
        <f t="shared" si="7"/>
        <v>21</v>
      </c>
      <c r="N103" t="str">
        <f t="shared" si="8"/>
        <v>Adult</v>
      </c>
      <c r="O103">
        <f t="shared" si="9"/>
        <v>77.290000000000006</v>
      </c>
    </row>
    <row r="104" spans="1:15" x14ac:dyDescent="0.3">
      <c r="A104">
        <v>103</v>
      </c>
      <c r="B104">
        <v>0</v>
      </c>
      <c r="C104" t="str">
        <f t="shared" si="5"/>
        <v>No</v>
      </c>
      <c r="D104" t="s">
        <v>956</v>
      </c>
      <c r="E104" t="s">
        <v>1063</v>
      </c>
      <c r="F104" t="str" cm="1">
        <f t="array" ref="F104">IF(OR(COUNTIF(D104,"*"&amp;$T$9:$T$15&amp;"*")),"Female","Male")</f>
        <v>Male</v>
      </c>
      <c r="G104">
        <v>33</v>
      </c>
      <c r="H104">
        <v>0</v>
      </c>
      <c r="I104">
        <v>0</v>
      </c>
      <c r="J104">
        <v>3</v>
      </c>
      <c r="K104">
        <v>8.6541999999999994</v>
      </c>
      <c r="L104">
        <f t="shared" si="6"/>
        <v>0</v>
      </c>
      <c r="M104">
        <f t="shared" si="7"/>
        <v>33</v>
      </c>
      <c r="N104" t="str">
        <f t="shared" si="8"/>
        <v>Adult</v>
      </c>
      <c r="O104">
        <f t="shared" si="9"/>
        <v>8.65</v>
      </c>
    </row>
    <row r="105" spans="1:15" x14ac:dyDescent="0.3">
      <c r="A105">
        <v>104</v>
      </c>
      <c r="B105">
        <v>0</v>
      </c>
      <c r="C105" t="str">
        <f t="shared" si="5"/>
        <v>No</v>
      </c>
      <c r="D105" t="s">
        <v>956</v>
      </c>
      <c r="E105" t="s">
        <v>1064</v>
      </c>
      <c r="F105" t="str" cm="1">
        <f t="array" ref="F105">IF(OR(COUNTIF(D105,"*"&amp;$T$9:$T$15&amp;"*")),"Female","Male")</f>
        <v>Male</v>
      </c>
      <c r="G105">
        <v>37</v>
      </c>
      <c r="H105">
        <v>2</v>
      </c>
      <c r="I105">
        <v>0</v>
      </c>
      <c r="J105">
        <v>3</v>
      </c>
      <c r="K105">
        <v>7.9249999999999998</v>
      </c>
      <c r="L105">
        <f t="shared" si="6"/>
        <v>0</v>
      </c>
      <c r="M105">
        <f t="shared" si="7"/>
        <v>37</v>
      </c>
      <c r="N105" t="str">
        <f t="shared" si="8"/>
        <v>Adult</v>
      </c>
      <c r="O105">
        <f t="shared" si="9"/>
        <v>7.93</v>
      </c>
    </row>
    <row r="106" spans="1:15" x14ac:dyDescent="0.3">
      <c r="A106">
        <v>105</v>
      </c>
      <c r="B106">
        <v>0</v>
      </c>
      <c r="C106" t="str">
        <f t="shared" si="5"/>
        <v>No</v>
      </c>
      <c r="D106" t="s">
        <v>956</v>
      </c>
      <c r="E106" t="s">
        <v>1065</v>
      </c>
      <c r="F106" t="str" cm="1">
        <f t="array" ref="F106">IF(OR(COUNTIF(D106,"*"&amp;$T$9:$T$15&amp;"*")),"Female","Male")</f>
        <v>Male</v>
      </c>
      <c r="G106">
        <v>28</v>
      </c>
      <c r="H106">
        <v>0</v>
      </c>
      <c r="I106">
        <v>0</v>
      </c>
      <c r="J106">
        <v>3</v>
      </c>
      <c r="K106">
        <v>7.8958000000000004</v>
      </c>
      <c r="L106">
        <f t="shared" si="6"/>
        <v>0</v>
      </c>
      <c r="M106">
        <f t="shared" si="7"/>
        <v>28</v>
      </c>
      <c r="N106" t="str">
        <f t="shared" si="8"/>
        <v>Adult</v>
      </c>
      <c r="O106">
        <f t="shared" si="9"/>
        <v>7.9</v>
      </c>
    </row>
    <row r="107" spans="1:15" x14ac:dyDescent="0.3">
      <c r="A107">
        <v>106</v>
      </c>
      <c r="B107">
        <v>1</v>
      </c>
      <c r="C107" t="str">
        <f t="shared" si="5"/>
        <v>Yes</v>
      </c>
      <c r="D107" t="s">
        <v>960</v>
      </c>
      <c r="E107" t="s">
        <v>1066</v>
      </c>
      <c r="F107" t="str" cm="1">
        <f t="array" ref="F107">IF(OR(COUNTIF(D107,"*"&amp;$T$9:$T$15&amp;"*")),"Female","Male")</f>
        <v>Female</v>
      </c>
      <c r="G107">
        <v>21</v>
      </c>
      <c r="H107">
        <v>0</v>
      </c>
      <c r="I107">
        <v>0</v>
      </c>
      <c r="J107">
        <v>3</v>
      </c>
      <c r="K107">
        <v>7.65</v>
      </c>
      <c r="L107">
        <f t="shared" si="6"/>
        <v>1</v>
      </c>
      <c r="M107">
        <f t="shared" si="7"/>
        <v>21</v>
      </c>
      <c r="N107" t="str">
        <f t="shared" si="8"/>
        <v>Adult</v>
      </c>
      <c r="O107">
        <f t="shared" si="9"/>
        <v>7.65</v>
      </c>
    </row>
    <row r="108" spans="1:15" x14ac:dyDescent="0.3">
      <c r="A108">
        <v>107</v>
      </c>
      <c r="B108">
        <v>1</v>
      </c>
      <c r="C108" t="str">
        <f t="shared" si="5"/>
        <v>Yes</v>
      </c>
      <c r="D108" t="s">
        <v>956</v>
      </c>
      <c r="E108" t="s">
        <v>1067</v>
      </c>
      <c r="F108" t="str" cm="1">
        <f t="array" ref="F108">IF(OR(COUNTIF(D108,"*"&amp;$T$9:$T$15&amp;"*")),"Female","Male")</f>
        <v>Male</v>
      </c>
      <c r="G108">
        <v>29</v>
      </c>
      <c r="H108">
        <v>0</v>
      </c>
      <c r="I108">
        <v>0</v>
      </c>
      <c r="J108">
        <v>3</v>
      </c>
      <c r="K108">
        <v>7.7750000000000004</v>
      </c>
      <c r="L108">
        <f t="shared" si="6"/>
        <v>0</v>
      </c>
      <c r="M108">
        <f t="shared" si="7"/>
        <v>29</v>
      </c>
      <c r="N108" t="str">
        <f t="shared" si="8"/>
        <v>Adult</v>
      </c>
      <c r="O108">
        <f t="shared" si="9"/>
        <v>7.78</v>
      </c>
    </row>
    <row r="109" spans="1:15" x14ac:dyDescent="0.3">
      <c r="A109">
        <v>108</v>
      </c>
      <c r="B109">
        <v>0</v>
      </c>
      <c r="C109" t="str">
        <f t="shared" si="5"/>
        <v>No</v>
      </c>
      <c r="D109" t="s">
        <v>956</v>
      </c>
      <c r="E109" t="s">
        <v>1068</v>
      </c>
      <c r="F109" t="str" cm="1">
        <f t="array" ref="F109">IF(OR(COUNTIF(D109,"*"&amp;$T$9:$T$15&amp;"*")),"Female","Male")</f>
        <v>Male</v>
      </c>
      <c r="G109">
        <v>38</v>
      </c>
      <c r="H109">
        <v>0</v>
      </c>
      <c r="I109">
        <v>0</v>
      </c>
      <c r="J109">
        <v>3</v>
      </c>
      <c r="K109">
        <v>7.8958000000000004</v>
      </c>
      <c r="L109">
        <f t="shared" si="6"/>
        <v>0</v>
      </c>
      <c r="M109">
        <f t="shared" si="7"/>
        <v>38</v>
      </c>
      <c r="N109" t="str">
        <f t="shared" si="8"/>
        <v>Adult</v>
      </c>
      <c r="O109">
        <f t="shared" si="9"/>
        <v>7.9</v>
      </c>
    </row>
    <row r="110" spans="1:15" x14ac:dyDescent="0.3">
      <c r="A110">
        <v>109</v>
      </c>
      <c r="B110">
        <v>1</v>
      </c>
      <c r="C110" t="str">
        <f t="shared" si="5"/>
        <v>Yes</v>
      </c>
      <c r="D110" t="s">
        <v>960</v>
      </c>
      <c r="E110" t="s">
        <v>1069</v>
      </c>
      <c r="F110" t="str" cm="1">
        <f t="array" ref="F110">IF(OR(COUNTIF(D110,"*"&amp;$T$9:$T$15&amp;"*")),"Female","Male")</f>
        <v>Female</v>
      </c>
      <c r="G110">
        <v>28</v>
      </c>
      <c r="H110">
        <v>1</v>
      </c>
      <c r="I110">
        <v>0</v>
      </c>
      <c r="J110">
        <v>3</v>
      </c>
      <c r="K110">
        <v>24.15</v>
      </c>
      <c r="L110">
        <f t="shared" si="6"/>
        <v>1</v>
      </c>
      <c r="M110">
        <f t="shared" si="7"/>
        <v>28</v>
      </c>
      <c r="N110" t="str">
        <f t="shared" si="8"/>
        <v>Adult</v>
      </c>
      <c r="O110">
        <f t="shared" si="9"/>
        <v>24.15</v>
      </c>
    </row>
    <row r="111" spans="1:15" x14ac:dyDescent="0.3">
      <c r="A111">
        <v>110</v>
      </c>
      <c r="B111">
        <v>0</v>
      </c>
      <c r="C111" t="str">
        <f t="shared" si="5"/>
        <v>No</v>
      </c>
      <c r="D111" t="s">
        <v>956</v>
      </c>
      <c r="E111" t="s">
        <v>1070</v>
      </c>
      <c r="F111" t="str" cm="1">
        <f t="array" ref="F111">IF(OR(COUNTIF(D111,"*"&amp;$T$9:$T$15&amp;"*")),"Female","Male")</f>
        <v>Male</v>
      </c>
      <c r="G111">
        <v>47</v>
      </c>
      <c r="H111">
        <v>0</v>
      </c>
      <c r="I111">
        <v>0</v>
      </c>
      <c r="J111">
        <v>1</v>
      </c>
      <c r="K111">
        <v>52</v>
      </c>
      <c r="L111">
        <f t="shared" si="6"/>
        <v>0</v>
      </c>
      <c r="M111">
        <f t="shared" si="7"/>
        <v>47</v>
      </c>
      <c r="N111" t="str">
        <f t="shared" si="8"/>
        <v>Adult</v>
      </c>
      <c r="O111">
        <f t="shared" si="9"/>
        <v>52</v>
      </c>
    </row>
    <row r="112" spans="1:15" x14ac:dyDescent="0.3">
      <c r="A112">
        <v>111</v>
      </c>
      <c r="B112">
        <v>0</v>
      </c>
      <c r="C112" t="str">
        <f t="shared" si="5"/>
        <v>No</v>
      </c>
      <c r="D112" t="s">
        <v>960</v>
      </c>
      <c r="E112" t="s">
        <v>1071</v>
      </c>
      <c r="F112" t="str" cm="1">
        <f t="array" ref="F112">IF(OR(COUNTIF(D112,"*"&amp;$T$9:$T$15&amp;"*")),"Female","Male")</f>
        <v>Female</v>
      </c>
      <c r="G112">
        <v>14.5</v>
      </c>
      <c r="H112">
        <v>1</v>
      </c>
      <c r="I112">
        <v>0</v>
      </c>
      <c r="J112">
        <v>3</v>
      </c>
      <c r="K112">
        <v>14.4542</v>
      </c>
      <c r="L112">
        <f t="shared" si="6"/>
        <v>1</v>
      </c>
      <c r="M112">
        <f t="shared" si="7"/>
        <v>15</v>
      </c>
      <c r="N112" t="str">
        <f t="shared" si="8"/>
        <v>Child</v>
      </c>
      <c r="O112">
        <f t="shared" si="9"/>
        <v>14.45</v>
      </c>
    </row>
    <row r="113" spans="1:15" x14ac:dyDescent="0.3">
      <c r="A113">
        <v>112</v>
      </c>
      <c r="B113">
        <v>0</v>
      </c>
      <c r="C113" t="str">
        <f t="shared" si="5"/>
        <v>No</v>
      </c>
      <c r="D113" t="s">
        <v>956</v>
      </c>
      <c r="E113" t="s">
        <v>1072</v>
      </c>
      <c r="F113" t="str" cm="1">
        <f t="array" ref="F113">IF(OR(COUNTIF(D113,"*"&amp;$T$9:$T$15&amp;"*")),"Female","Male")</f>
        <v>Male</v>
      </c>
      <c r="G113">
        <v>22</v>
      </c>
      <c r="H113">
        <v>0</v>
      </c>
      <c r="I113">
        <v>0</v>
      </c>
      <c r="J113">
        <v>3</v>
      </c>
      <c r="K113">
        <v>8.0500000000000007</v>
      </c>
      <c r="L113">
        <f t="shared" si="6"/>
        <v>0</v>
      </c>
      <c r="M113">
        <f t="shared" si="7"/>
        <v>22</v>
      </c>
      <c r="N113" t="str">
        <f t="shared" si="8"/>
        <v>Adult</v>
      </c>
      <c r="O113">
        <f t="shared" si="9"/>
        <v>8.0500000000000007</v>
      </c>
    </row>
    <row r="114" spans="1:15" x14ac:dyDescent="0.3">
      <c r="A114">
        <v>113</v>
      </c>
      <c r="B114">
        <v>0</v>
      </c>
      <c r="C114" t="str">
        <f t="shared" si="5"/>
        <v>No</v>
      </c>
      <c r="D114" t="s">
        <v>960</v>
      </c>
      <c r="E114" t="s">
        <v>1073</v>
      </c>
      <c r="F114" t="str" cm="1">
        <f t="array" ref="F114">IF(OR(COUNTIF(D114,"*"&amp;$T$9:$T$15&amp;"*")),"Female","Male")</f>
        <v>Female</v>
      </c>
      <c r="G114">
        <v>20</v>
      </c>
      <c r="H114">
        <v>1</v>
      </c>
      <c r="I114">
        <v>0</v>
      </c>
      <c r="J114">
        <v>3</v>
      </c>
      <c r="K114">
        <v>9.8249999999999993</v>
      </c>
      <c r="L114">
        <f t="shared" si="6"/>
        <v>1</v>
      </c>
      <c r="M114">
        <f t="shared" si="7"/>
        <v>20</v>
      </c>
      <c r="N114" t="str">
        <f t="shared" si="8"/>
        <v>Adult</v>
      </c>
      <c r="O114">
        <f t="shared" si="9"/>
        <v>9.83</v>
      </c>
    </row>
    <row r="115" spans="1:15" x14ac:dyDescent="0.3">
      <c r="A115">
        <v>114</v>
      </c>
      <c r="B115">
        <v>0</v>
      </c>
      <c r="C115" t="str">
        <f t="shared" si="5"/>
        <v>No</v>
      </c>
      <c r="D115" t="s">
        <v>960</v>
      </c>
      <c r="E115" t="s">
        <v>1074</v>
      </c>
      <c r="F115" t="str" cm="1">
        <f t="array" ref="F115">IF(OR(COUNTIF(D115,"*"&amp;$T$9:$T$15&amp;"*")),"Female","Male")</f>
        <v>Female</v>
      </c>
      <c r="G115">
        <v>17</v>
      </c>
      <c r="H115">
        <v>0</v>
      </c>
      <c r="I115">
        <v>0</v>
      </c>
      <c r="J115">
        <v>3</v>
      </c>
      <c r="K115">
        <v>14.458299999999999</v>
      </c>
      <c r="L115">
        <f t="shared" si="6"/>
        <v>1</v>
      </c>
      <c r="M115">
        <f t="shared" si="7"/>
        <v>17</v>
      </c>
      <c r="N115" t="str">
        <f t="shared" si="8"/>
        <v>Adult</v>
      </c>
      <c r="O115">
        <f t="shared" si="9"/>
        <v>14.46</v>
      </c>
    </row>
    <row r="116" spans="1:15" x14ac:dyDescent="0.3">
      <c r="A116">
        <v>115</v>
      </c>
      <c r="B116">
        <v>0</v>
      </c>
      <c r="C116" t="str">
        <f t="shared" si="5"/>
        <v>No</v>
      </c>
      <c r="D116" t="s">
        <v>956</v>
      </c>
      <c r="E116" t="s">
        <v>1075</v>
      </c>
      <c r="F116" t="str" cm="1">
        <f t="array" ref="F116">IF(OR(COUNTIF(D116,"*"&amp;$T$9:$T$15&amp;"*")),"Female","Male")</f>
        <v>Male</v>
      </c>
      <c r="G116">
        <v>21</v>
      </c>
      <c r="H116">
        <v>0</v>
      </c>
      <c r="I116">
        <v>0</v>
      </c>
      <c r="J116">
        <v>3</v>
      </c>
      <c r="K116">
        <v>7.9249999999999998</v>
      </c>
      <c r="L116">
        <f t="shared" si="6"/>
        <v>0</v>
      </c>
      <c r="M116">
        <f t="shared" si="7"/>
        <v>21</v>
      </c>
      <c r="N116" t="str">
        <f t="shared" si="8"/>
        <v>Adult</v>
      </c>
      <c r="O116">
        <f t="shared" si="9"/>
        <v>7.93</v>
      </c>
    </row>
    <row r="117" spans="1:15" x14ac:dyDescent="0.3">
      <c r="A117">
        <v>116</v>
      </c>
      <c r="B117">
        <v>0</v>
      </c>
      <c r="C117" t="str">
        <f t="shared" si="5"/>
        <v>No</v>
      </c>
      <c r="D117" t="s">
        <v>956</v>
      </c>
      <c r="E117" t="s">
        <v>1076</v>
      </c>
      <c r="F117" t="str" cm="1">
        <f t="array" ref="F117">IF(OR(COUNTIF(D117,"*"&amp;$T$9:$T$15&amp;"*")),"Female","Male")</f>
        <v>Male</v>
      </c>
      <c r="G117">
        <v>70.5</v>
      </c>
      <c r="H117">
        <v>0</v>
      </c>
      <c r="I117">
        <v>0</v>
      </c>
      <c r="J117">
        <v>3</v>
      </c>
      <c r="K117">
        <v>7.75</v>
      </c>
      <c r="L117">
        <f t="shared" si="6"/>
        <v>0</v>
      </c>
      <c r="M117">
        <f t="shared" si="7"/>
        <v>71</v>
      </c>
      <c r="N117" t="str">
        <f t="shared" si="8"/>
        <v>Adult</v>
      </c>
      <c r="O117">
        <f t="shared" si="9"/>
        <v>7.75</v>
      </c>
    </row>
    <row r="118" spans="1:15" x14ac:dyDescent="0.3">
      <c r="A118">
        <v>117</v>
      </c>
      <c r="B118">
        <v>0</v>
      </c>
      <c r="C118" t="str">
        <f t="shared" si="5"/>
        <v>No</v>
      </c>
      <c r="D118" t="s">
        <v>956</v>
      </c>
      <c r="E118" t="s">
        <v>1077</v>
      </c>
      <c r="F118" t="str" cm="1">
        <f t="array" ref="F118">IF(OR(COUNTIF(D118,"*"&amp;$T$9:$T$15&amp;"*")),"Female","Male")</f>
        <v>Male</v>
      </c>
      <c r="G118">
        <v>29</v>
      </c>
      <c r="H118">
        <v>1</v>
      </c>
      <c r="I118">
        <v>0</v>
      </c>
      <c r="J118">
        <v>2</v>
      </c>
      <c r="K118">
        <v>21</v>
      </c>
      <c r="L118">
        <f t="shared" si="6"/>
        <v>0</v>
      </c>
      <c r="M118">
        <f t="shared" si="7"/>
        <v>29</v>
      </c>
      <c r="N118" t="str">
        <f t="shared" si="8"/>
        <v>Adult</v>
      </c>
      <c r="O118">
        <f t="shared" si="9"/>
        <v>21</v>
      </c>
    </row>
    <row r="119" spans="1:15" x14ac:dyDescent="0.3">
      <c r="A119">
        <v>118</v>
      </c>
      <c r="B119">
        <v>0</v>
      </c>
      <c r="C119" t="str">
        <f t="shared" si="5"/>
        <v>No</v>
      </c>
      <c r="D119" t="s">
        <v>956</v>
      </c>
      <c r="E119" t="s">
        <v>1078</v>
      </c>
      <c r="F119" t="str" cm="1">
        <f t="array" ref="F119">IF(OR(COUNTIF(D119,"*"&amp;$T$9:$T$15&amp;"*")),"Female","Male")</f>
        <v>Male</v>
      </c>
      <c r="G119">
        <v>24</v>
      </c>
      <c r="H119">
        <v>0</v>
      </c>
      <c r="I119">
        <v>1</v>
      </c>
      <c r="J119">
        <v>1</v>
      </c>
      <c r="K119">
        <v>247.52080000000001</v>
      </c>
      <c r="L119">
        <f t="shared" si="6"/>
        <v>0</v>
      </c>
      <c r="M119">
        <f t="shared" si="7"/>
        <v>24</v>
      </c>
      <c r="N119" t="str">
        <f t="shared" si="8"/>
        <v>Adult</v>
      </c>
      <c r="O119">
        <f t="shared" si="9"/>
        <v>247.52</v>
      </c>
    </row>
    <row r="120" spans="1:15" x14ac:dyDescent="0.3">
      <c r="A120">
        <v>119</v>
      </c>
      <c r="B120">
        <v>0</v>
      </c>
      <c r="C120" t="str">
        <f t="shared" si="5"/>
        <v>No</v>
      </c>
      <c r="D120" t="s">
        <v>960</v>
      </c>
      <c r="E120" t="s">
        <v>1079</v>
      </c>
      <c r="F120" t="str" cm="1">
        <f t="array" ref="F120">IF(OR(COUNTIF(D120,"*"&amp;$T$9:$T$15&amp;"*")),"Female","Male")</f>
        <v>Female</v>
      </c>
      <c r="G120">
        <v>2</v>
      </c>
      <c r="H120">
        <v>4</v>
      </c>
      <c r="I120">
        <v>2</v>
      </c>
      <c r="J120">
        <v>3</v>
      </c>
      <c r="K120">
        <v>31.274999999999999</v>
      </c>
      <c r="L120">
        <f t="shared" si="6"/>
        <v>1</v>
      </c>
      <c r="M120">
        <f t="shared" si="7"/>
        <v>2</v>
      </c>
      <c r="N120" t="str">
        <f t="shared" si="8"/>
        <v>Child</v>
      </c>
      <c r="O120">
        <f t="shared" si="9"/>
        <v>31.28</v>
      </c>
    </row>
    <row r="121" spans="1:15" x14ac:dyDescent="0.3">
      <c r="A121">
        <v>120</v>
      </c>
      <c r="B121">
        <v>0</v>
      </c>
      <c r="C121" t="str">
        <f t="shared" si="5"/>
        <v>No</v>
      </c>
      <c r="D121" t="s">
        <v>956</v>
      </c>
      <c r="E121" t="s">
        <v>1080</v>
      </c>
      <c r="F121" t="str" cm="1">
        <f t="array" ref="F121">IF(OR(COUNTIF(D121,"*"&amp;$T$9:$T$15&amp;"*")),"Female","Male")</f>
        <v>Male</v>
      </c>
      <c r="G121">
        <v>21</v>
      </c>
      <c r="H121">
        <v>2</v>
      </c>
      <c r="I121">
        <v>0</v>
      </c>
      <c r="J121">
        <v>2</v>
      </c>
      <c r="K121">
        <v>73.5</v>
      </c>
      <c r="L121">
        <f t="shared" si="6"/>
        <v>0</v>
      </c>
      <c r="M121">
        <f t="shared" si="7"/>
        <v>21</v>
      </c>
      <c r="N121" t="str">
        <f t="shared" si="8"/>
        <v>Adult</v>
      </c>
      <c r="O121">
        <f t="shared" si="9"/>
        <v>73.5</v>
      </c>
    </row>
    <row r="122" spans="1:15" x14ac:dyDescent="0.3">
      <c r="A122">
        <v>121</v>
      </c>
      <c r="B122">
        <v>0</v>
      </c>
      <c r="C122" t="str">
        <f t="shared" si="5"/>
        <v>No</v>
      </c>
      <c r="D122" t="s">
        <v>956</v>
      </c>
      <c r="E122" t="s">
        <v>1081</v>
      </c>
      <c r="F122" t="str" cm="1">
        <f t="array" ref="F122">IF(OR(COUNTIF(D122,"*"&amp;$T$9:$T$15&amp;"*")),"Female","Male")</f>
        <v>Male</v>
      </c>
      <c r="G122">
        <v>19</v>
      </c>
      <c r="H122">
        <v>0</v>
      </c>
      <c r="I122">
        <v>0</v>
      </c>
      <c r="J122">
        <v>3</v>
      </c>
      <c r="K122">
        <v>8.0500000000000007</v>
      </c>
      <c r="L122">
        <f t="shared" si="6"/>
        <v>0</v>
      </c>
      <c r="M122">
        <f t="shared" si="7"/>
        <v>19</v>
      </c>
      <c r="N122" t="str">
        <f t="shared" si="8"/>
        <v>Adult</v>
      </c>
      <c r="O122">
        <f t="shared" si="9"/>
        <v>8.0500000000000007</v>
      </c>
    </row>
    <row r="123" spans="1:15" x14ac:dyDescent="0.3">
      <c r="A123">
        <v>122</v>
      </c>
      <c r="B123">
        <v>0</v>
      </c>
      <c r="C123" t="str">
        <f t="shared" si="5"/>
        <v>No</v>
      </c>
      <c r="D123" t="s">
        <v>956</v>
      </c>
      <c r="E123" t="s">
        <v>1082</v>
      </c>
      <c r="F123" t="str" cm="1">
        <f t="array" ref="F123">IF(OR(COUNTIF(D123,"*"&amp;$T$9:$T$15&amp;"*")),"Female","Male")</f>
        <v>Male</v>
      </c>
      <c r="G123">
        <v>32.5</v>
      </c>
      <c r="H123">
        <v>1</v>
      </c>
      <c r="I123">
        <v>0</v>
      </c>
      <c r="J123">
        <v>2</v>
      </c>
      <c r="K123">
        <v>30.070799999999998</v>
      </c>
      <c r="L123">
        <f t="shared" si="6"/>
        <v>0</v>
      </c>
      <c r="M123">
        <f t="shared" si="7"/>
        <v>33</v>
      </c>
      <c r="N123" t="str">
        <f t="shared" si="8"/>
        <v>Adult</v>
      </c>
      <c r="O123">
        <f t="shared" si="9"/>
        <v>30.07</v>
      </c>
    </row>
    <row r="124" spans="1:15" x14ac:dyDescent="0.3">
      <c r="A124">
        <v>123</v>
      </c>
      <c r="B124">
        <v>1</v>
      </c>
      <c r="C124" t="str">
        <f t="shared" si="5"/>
        <v>Yes</v>
      </c>
      <c r="D124" t="s">
        <v>960</v>
      </c>
      <c r="E124" t="s">
        <v>1083</v>
      </c>
      <c r="F124" t="str" cm="1">
        <f t="array" ref="F124">IF(OR(COUNTIF(D124,"*"&amp;$T$9:$T$15&amp;"*")),"Female","Male")</f>
        <v>Female</v>
      </c>
      <c r="G124">
        <v>32.5</v>
      </c>
      <c r="H124">
        <v>0</v>
      </c>
      <c r="I124">
        <v>0</v>
      </c>
      <c r="J124">
        <v>2</v>
      </c>
      <c r="K124">
        <v>13</v>
      </c>
      <c r="L124">
        <f t="shared" si="6"/>
        <v>1</v>
      </c>
      <c r="M124">
        <f t="shared" si="7"/>
        <v>33</v>
      </c>
      <c r="N124" t="str">
        <f t="shared" si="8"/>
        <v>Adult</v>
      </c>
      <c r="O124">
        <f t="shared" si="9"/>
        <v>13</v>
      </c>
    </row>
    <row r="125" spans="1:15" x14ac:dyDescent="0.3">
      <c r="A125">
        <v>124</v>
      </c>
      <c r="B125">
        <v>0</v>
      </c>
      <c r="C125" t="str">
        <f t="shared" si="5"/>
        <v>No</v>
      </c>
      <c r="D125" t="s">
        <v>956</v>
      </c>
      <c r="E125" t="s">
        <v>1084</v>
      </c>
      <c r="F125" t="str" cm="1">
        <f t="array" ref="F125">IF(OR(COUNTIF(D125,"*"&amp;$T$9:$T$15&amp;"*")),"Female","Male")</f>
        <v>Male</v>
      </c>
      <c r="G125">
        <v>54</v>
      </c>
      <c r="H125">
        <v>0</v>
      </c>
      <c r="I125">
        <v>1</v>
      </c>
      <c r="J125">
        <v>1</v>
      </c>
      <c r="K125">
        <v>77.287499999999994</v>
      </c>
      <c r="L125">
        <f t="shared" si="6"/>
        <v>0</v>
      </c>
      <c r="M125">
        <f t="shared" si="7"/>
        <v>54</v>
      </c>
      <c r="N125" t="str">
        <f t="shared" si="8"/>
        <v>Adult</v>
      </c>
      <c r="O125">
        <f t="shared" si="9"/>
        <v>77.290000000000006</v>
      </c>
    </row>
    <row r="126" spans="1:15" x14ac:dyDescent="0.3">
      <c r="A126">
        <v>125</v>
      </c>
      <c r="B126">
        <v>1</v>
      </c>
      <c r="C126" t="str">
        <f t="shared" si="5"/>
        <v>Yes</v>
      </c>
      <c r="D126" t="s">
        <v>966</v>
      </c>
      <c r="E126" t="s">
        <v>1085</v>
      </c>
      <c r="F126" t="str" cm="1">
        <f t="array" ref="F126">IF(OR(COUNTIF(D126,"*"&amp;$T$9:$T$15&amp;"*")),"Female","Male")</f>
        <v>Male</v>
      </c>
      <c r="G126">
        <v>12</v>
      </c>
      <c r="H126">
        <v>1</v>
      </c>
      <c r="I126">
        <v>0</v>
      </c>
      <c r="J126">
        <v>3</v>
      </c>
      <c r="K126">
        <v>11.2417</v>
      </c>
      <c r="L126">
        <f t="shared" si="6"/>
        <v>0</v>
      </c>
      <c r="M126">
        <f t="shared" si="7"/>
        <v>12</v>
      </c>
      <c r="N126" t="str">
        <f t="shared" si="8"/>
        <v>Child</v>
      </c>
      <c r="O126">
        <f t="shared" si="9"/>
        <v>11.24</v>
      </c>
    </row>
    <row r="127" spans="1:15" x14ac:dyDescent="0.3">
      <c r="A127">
        <v>126</v>
      </c>
      <c r="B127">
        <v>0</v>
      </c>
      <c r="C127" t="str">
        <f t="shared" si="5"/>
        <v>No</v>
      </c>
      <c r="D127" t="s">
        <v>956</v>
      </c>
      <c r="E127" t="s">
        <v>1086</v>
      </c>
      <c r="F127" t="str" cm="1">
        <f t="array" ref="F127">IF(OR(COUNTIF(D127,"*"&amp;$T$9:$T$15&amp;"*")),"Female","Male")</f>
        <v>Male</v>
      </c>
      <c r="G127">
        <v>19</v>
      </c>
      <c r="H127">
        <v>0</v>
      </c>
      <c r="I127">
        <v>0</v>
      </c>
      <c r="J127">
        <v>3</v>
      </c>
      <c r="K127">
        <v>7.75</v>
      </c>
      <c r="L127">
        <f t="shared" si="6"/>
        <v>0</v>
      </c>
      <c r="M127">
        <f t="shared" si="7"/>
        <v>19</v>
      </c>
      <c r="N127" t="str">
        <f t="shared" si="8"/>
        <v>Adult</v>
      </c>
      <c r="O127">
        <f t="shared" si="9"/>
        <v>7.75</v>
      </c>
    </row>
    <row r="128" spans="1:15" x14ac:dyDescent="0.3">
      <c r="A128">
        <v>127</v>
      </c>
      <c r="B128">
        <v>1</v>
      </c>
      <c r="C128" t="str">
        <f t="shared" si="5"/>
        <v>Yes</v>
      </c>
      <c r="D128" t="s">
        <v>956</v>
      </c>
      <c r="E128" t="s">
        <v>1087</v>
      </c>
      <c r="F128" t="str" cm="1">
        <f t="array" ref="F128">IF(OR(COUNTIF(D128,"*"&amp;$T$9:$T$15&amp;"*")),"Female","Male")</f>
        <v>Male</v>
      </c>
      <c r="G128">
        <v>24</v>
      </c>
      <c r="H128">
        <v>0</v>
      </c>
      <c r="I128">
        <v>0</v>
      </c>
      <c r="J128">
        <v>3</v>
      </c>
      <c r="K128">
        <v>7.1417000000000002</v>
      </c>
      <c r="L128">
        <f t="shared" si="6"/>
        <v>0</v>
      </c>
      <c r="M128">
        <f t="shared" si="7"/>
        <v>24</v>
      </c>
      <c r="N128" t="str">
        <f t="shared" si="8"/>
        <v>Adult</v>
      </c>
      <c r="O128">
        <f t="shared" si="9"/>
        <v>7.14</v>
      </c>
    </row>
    <row r="129" spans="1:15" x14ac:dyDescent="0.3">
      <c r="A129">
        <v>128</v>
      </c>
      <c r="B129">
        <v>1</v>
      </c>
      <c r="C129" t="str">
        <f t="shared" si="5"/>
        <v>Yes</v>
      </c>
      <c r="D129" t="s">
        <v>960</v>
      </c>
      <c r="E129" t="s">
        <v>1088</v>
      </c>
      <c r="F129" t="str" cm="1">
        <f t="array" ref="F129">IF(OR(COUNTIF(D129,"*"&amp;$T$9:$T$15&amp;"*")),"Female","Male")</f>
        <v>Female</v>
      </c>
      <c r="G129">
        <v>2</v>
      </c>
      <c r="H129">
        <v>1</v>
      </c>
      <c r="I129">
        <v>1</v>
      </c>
      <c r="J129">
        <v>3</v>
      </c>
      <c r="K129">
        <v>22.3583</v>
      </c>
      <c r="L129">
        <f t="shared" si="6"/>
        <v>1</v>
      </c>
      <c r="M129">
        <f t="shared" si="7"/>
        <v>2</v>
      </c>
      <c r="N129" t="str">
        <f t="shared" si="8"/>
        <v>Child</v>
      </c>
      <c r="O129">
        <f t="shared" si="9"/>
        <v>22.36</v>
      </c>
    </row>
    <row r="130" spans="1:15" x14ac:dyDescent="0.3">
      <c r="A130">
        <v>129</v>
      </c>
      <c r="B130">
        <v>0</v>
      </c>
      <c r="C130" t="str">
        <f t="shared" si="5"/>
        <v>No</v>
      </c>
      <c r="D130" t="s">
        <v>956</v>
      </c>
      <c r="E130" t="s">
        <v>1089</v>
      </c>
      <c r="F130" t="str" cm="1">
        <f t="array" ref="F130">IF(OR(COUNTIF(D130,"*"&amp;$T$9:$T$15&amp;"*")),"Female","Male")</f>
        <v>Male</v>
      </c>
      <c r="G130">
        <v>45</v>
      </c>
      <c r="H130">
        <v>0</v>
      </c>
      <c r="I130">
        <v>0</v>
      </c>
      <c r="J130">
        <v>3</v>
      </c>
      <c r="K130">
        <v>6.9749999999999996</v>
      </c>
      <c r="L130">
        <f t="shared" si="6"/>
        <v>0</v>
      </c>
      <c r="M130">
        <f t="shared" si="7"/>
        <v>45</v>
      </c>
      <c r="N130" t="str">
        <f t="shared" si="8"/>
        <v>Adult</v>
      </c>
      <c r="O130">
        <f t="shared" si="9"/>
        <v>6.98</v>
      </c>
    </row>
    <row r="131" spans="1:15" x14ac:dyDescent="0.3">
      <c r="A131">
        <v>130</v>
      </c>
      <c r="B131">
        <v>0</v>
      </c>
      <c r="C131" t="str">
        <f t="shared" ref="C131:C194" si="10">IF(B131=0,"No","Yes")</f>
        <v>No</v>
      </c>
      <c r="D131" t="s">
        <v>956</v>
      </c>
      <c r="E131" t="s">
        <v>1090</v>
      </c>
      <c r="F131" t="str" cm="1">
        <f t="array" ref="F131">IF(OR(COUNTIF(D131,"*"&amp;$T$9:$T$15&amp;"*")),"Female","Male")</f>
        <v>Male</v>
      </c>
      <c r="G131">
        <v>33</v>
      </c>
      <c r="H131">
        <v>0</v>
      </c>
      <c r="I131">
        <v>0</v>
      </c>
      <c r="J131">
        <v>3</v>
      </c>
      <c r="K131">
        <v>7.8958000000000004</v>
      </c>
      <c r="L131">
        <f t="shared" ref="L131:L194" si="11">IF(F131 = "Male", 0, 1)</f>
        <v>0</v>
      </c>
      <c r="M131">
        <f t="shared" ref="M131:M194" si="12">ROUND(G131, 0)</f>
        <v>33</v>
      </c>
      <c r="N131" t="str">
        <f t="shared" ref="N131:N194" si="13">IF(G131&lt;=16,"Child","Adult")</f>
        <v>Adult</v>
      </c>
      <c r="O131">
        <f t="shared" ref="O131:O194" si="14">ROUND(K131, 2)</f>
        <v>7.9</v>
      </c>
    </row>
    <row r="132" spans="1:15" x14ac:dyDescent="0.3">
      <c r="A132">
        <v>131</v>
      </c>
      <c r="B132">
        <v>0</v>
      </c>
      <c r="C132" t="str">
        <f t="shared" si="10"/>
        <v>No</v>
      </c>
      <c r="D132" t="s">
        <v>956</v>
      </c>
      <c r="E132" t="s">
        <v>1091</v>
      </c>
      <c r="F132" t="str" cm="1">
        <f t="array" ref="F132">IF(OR(COUNTIF(D132,"*"&amp;$T$9:$T$15&amp;"*")),"Female","Male")</f>
        <v>Male</v>
      </c>
      <c r="G132">
        <v>20</v>
      </c>
      <c r="H132">
        <v>0</v>
      </c>
      <c r="I132">
        <v>0</v>
      </c>
      <c r="J132">
        <v>3</v>
      </c>
      <c r="K132">
        <v>7.05</v>
      </c>
      <c r="L132">
        <f t="shared" si="11"/>
        <v>0</v>
      </c>
      <c r="M132">
        <f t="shared" si="12"/>
        <v>20</v>
      </c>
      <c r="N132" t="str">
        <f t="shared" si="13"/>
        <v>Adult</v>
      </c>
      <c r="O132">
        <f t="shared" si="14"/>
        <v>7.05</v>
      </c>
    </row>
    <row r="133" spans="1:15" x14ac:dyDescent="0.3">
      <c r="A133">
        <v>132</v>
      </c>
      <c r="B133">
        <v>0</v>
      </c>
      <c r="C133" t="str">
        <f t="shared" si="10"/>
        <v>No</v>
      </c>
      <c r="D133" t="s">
        <v>958</v>
      </c>
      <c r="E133" t="s">
        <v>1092</v>
      </c>
      <c r="F133" t="str" cm="1">
        <f t="array" ref="F133">IF(OR(COUNTIF(D133,"*"&amp;$T$9:$T$15&amp;"*")),"Female","Male")</f>
        <v>Female</v>
      </c>
      <c r="G133">
        <v>47</v>
      </c>
      <c r="H133">
        <v>1</v>
      </c>
      <c r="I133">
        <v>0</v>
      </c>
      <c r="J133">
        <v>3</v>
      </c>
      <c r="K133">
        <v>14.5</v>
      </c>
      <c r="L133">
        <f t="shared" si="11"/>
        <v>1</v>
      </c>
      <c r="M133">
        <f t="shared" si="12"/>
        <v>47</v>
      </c>
      <c r="N133" t="str">
        <f t="shared" si="13"/>
        <v>Adult</v>
      </c>
      <c r="O133">
        <f t="shared" si="14"/>
        <v>14.5</v>
      </c>
    </row>
    <row r="134" spans="1:15" x14ac:dyDescent="0.3">
      <c r="A134">
        <v>133</v>
      </c>
      <c r="B134">
        <v>1</v>
      </c>
      <c r="C134" t="str">
        <f t="shared" si="10"/>
        <v>Yes</v>
      </c>
      <c r="D134" t="s">
        <v>958</v>
      </c>
      <c r="E134" t="s">
        <v>1093</v>
      </c>
      <c r="F134" t="str" cm="1">
        <f t="array" ref="F134">IF(OR(COUNTIF(D134,"*"&amp;$T$9:$T$15&amp;"*")),"Female","Male")</f>
        <v>Female</v>
      </c>
      <c r="G134">
        <v>29</v>
      </c>
      <c r="H134">
        <v>1</v>
      </c>
      <c r="I134">
        <v>0</v>
      </c>
      <c r="J134">
        <v>2</v>
      </c>
      <c r="K134">
        <v>26</v>
      </c>
      <c r="L134">
        <f t="shared" si="11"/>
        <v>1</v>
      </c>
      <c r="M134">
        <f t="shared" si="12"/>
        <v>29</v>
      </c>
      <c r="N134" t="str">
        <f t="shared" si="13"/>
        <v>Adult</v>
      </c>
      <c r="O134">
        <f t="shared" si="14"/>
        <v>26</v>
      </c>
    </row>
    <row r="135" spans="1:15" x14ac:dyDescent="0.3">
      <c r="A135">
        <v>134</v>
      </c>
      <c r="B135">
        <v>0</v>
      </c>
      <c r="C135" t="str">
        <f t="shared" si="10"/>
        <v>No</v>
      </c>
      <c r="D135" t="s">
        <v>956</v>
      </c>
      <c r="E135" t="s">
        <v>1094</v>
      </c>
      <c r="F135" t="str" cm="1">
        <f t="array" ref="F135">IF(OR(COUNTIF(D135,"*"&amp;$T$9:$T$15&amp;"*")),"Female","Male")</f>
        <v>Male</v>
      </c>
      <c r="G135">
        <v>25</v>
      </c>
      <c r="H135">
        <v>0</v>
      </c>
      <c r="I135">
        <v>0</v>
      </c>
      <c r="J135">
        <v>2</v>
      </c>
      <c r="K135">
        <v>13</v>
      </c>
      <c r="L135">
        <f t="shared" si="11"/>
        <v>0</v>
      </c>
      <c r="M135">
        <f t="shared" si="12"/>
        <v>25</v>
      </c>
      <c r="N135" t="str">
        <f t="shared" si="13"/>
        <v>Adult</v>
      </c>
      <c r="O135">
        <f t="shared" si="14"/>
        <v>13</v>
      </c>
    </row>
    <row r="136" spans="1:15" x14ac:dyDescent="0.3">
      <c r="A136">
        <v>135</v>
      </c>
      <c r="B136">
        <v>0</v>
      </c>
      <c r="C136" t="str">
        <f t="shared" si="10"/>
        <v>No</v>
      </c>
      <c r="D136" t="s">
        <v>956</v>
      </c>
      <c r="E136" t="s">
        <v>1095</v>
      </c>
      <c r="F136" t="str" cm="1">
        <f t="array" ref="F136">IF(OR(COUNTIF(D136,"*"&amp;$T$9:$T$15&amp;"*")),"Female","Male")</f>
        <v>Male</v>
      </c>
      <c r="G136">
        <v>23</v>
      </c>
      <c r="H136">
        <v>0</v>
      </c>
      <c r="I136">
        <v>0</v>
      </c>
      <c r="J136">
        <v>2</v>
      </c>
      <c r="K136">
        <v>15.0458</v>
      </c>
      <c r="L136">
        <f t="shared" si="11"/>
        <v>0</v>
      </c>
      <c r="M136">
        <f t="shared" si="12"/>
        <v>23</v>
      </c>
      <c r="N136" t="str">
        <f t="shared" si="13"/>
        <v>Adult</v>
      </c>
      <c r="O136">
        <f t="shared" si="14"/>
        <v>15.05</v>
      </c>
    </row>
    <row r="137" spans="1:15" x14ac:dyDescent="0.3">
      <c r="A137">
        <v>136</v>
      </c>
      <c r="B137">
        <v>1</v>
      </c>
      <c r="C137" t="str">
        <f t="shared" si="10"/>
        <v>Yes</v>
      </c>
      <c r="D137" t="s">
        <v>960</v>
      </c>
      <c r="E137" t="s">
        <v>1096</v>
      </c>
      <c r="F137" t="str" cm="1">
        <f t="array" ref="F137">IF(OR(COUNTIF(D137,"*"&amp;$T$9:$T$15&amp;"*")),"Female","Male")</f>
        <v>Female</v>
      </c>
      <c r="G137">
        <v>19</v>
      </c>
      <c r="H137">
        <v>0</v>
      </c>
      <c r="I137">
        <v>2</v>
      </c>
      <c r="J137">
        <v>1</v>
      </c>
      <c r="K137">
        <v>26.283300000000001</v>
      </c>
      <c r="L137">
        <f t="shared" si="11"/>
        <v>1</v>
      </c>
      <c r="M137">
        <f t="shared" si="12"/>
        <v>19</v>
      </c>
      <c r="N137" t="str">
        <f t="shared" si="13"/>
        <v>Adult</v>
      </c>
      <c r="O137">
        <f t="shared" si="14"/>
        <v>26.28</v>
      </c>
    </row>
    <row r="138" spans="1:15" x14ac:dyDescent="0.3">
      <c r="A138">
        <v>137</v>
      </c>
      <c r="B138">
        <v>0</v>
      </c>
      <c r="C138" t="str">
        <f t="shared" si="10"/>
        <v>No</v>
      </c>
      <c r="D138" t="s">
        <v>956</v>
      </c>
      <c r="E138" t="s">
        <v>1097</v>
      </c>
      <c r="F138" t="str" cm="1">
        <f t="array" ref="F138">IF(OR(COUNTIF(D138,"*"&amp;$T$9:$T$15&amp;"*")),"Female","Male")</f>
        <v>Male</v>
      </c>
      <c r="G138">
        <v>37</v>
      </c>
      <c r="H138">
        <v>1</v>
      </c>
      <c r="I138">
        <v>0</v>
      </c>
      <c r="J138">
        <v>1</v>
      </c>
      <c r="K138">
        <v>53.1</v>
      </c>
      <c r="L138">
        <f t="shared" si="11"/>
        <v>0</v>
      </c>
      <c r="M138">
        <f t="shared" si="12"/>
        <v>37</v>
      </c>
      <c r="N138" t="str">
        <f t="shared" si="13"/>
        <v>Adult</v>
      </c>
      <c r="O138">
        <f t="shared" si="14"/>
        <v>53.1</v>
      </c>
    </row>
    <row r="139" spans="1:15" x14ac:dyDescent="0.3">
      <c r="A139">
        <v>138</v>
      </c>
      <c r="B139">
        <v>0</v>
      </c>
      <c r="C139" t="str">
        <f t="shared" si="10"/>
        <v>No</v>
      </c>
      <c r="D139" t="s">
        <v>956</v>
      </c>
      <c r="E139" t="s">
        <v>1098</v>
      </c>
      <c r="F139" t="str" cm="1">
        <f t="array" ref="F139">IF(OR(COUNTIF(D139,"*"&amp;$T$9:$T$15&amp;"*")),"Female","Male")</f>
        <v>Male</v>
      </c>
      <c r="G139">
        <v>16</v>
      </c>
      <c r="H139">
        <v>0</v>
      </c>
      <c r="I139">
        <v>0</v>
      </c>
      <c r="J139">
        <v>3</v>
      </c>
      <c r="K139">
        <v>9.2166999999999994</v>
      </c>
      <c r="L139">
        <f t="shared" si="11"/>
        <v>0</v>
      </c>
      <c r="M139">
        <f t="shared" si="12"/>
        <v>16</v>
      </c>
      <c r="N139" t="str">
        <f t="shared" si="13"/>
        <v>Child</v>
      </c>
      <c r="O139">
        <f t="shared" si="14"/>
        <v>9.2200000000000006</v>
      </c>
    </row>
    <row r="140" spans="1:15" x14ac:dyDescent="0.3">
      <c r="A140">
        <v>139</v>
      </c>
      <c r="B140">
        <v>0</v>
      </c>
      <c r="C140" t="str">
        <f t="shared" si="10"/>
        <v>No</v>
      </c>
      <c r="D140" t="s">
        <v>956</v>
      </c>
      <c r="E140" t="s">
        <v>1099</v>
      </c>
      <c r="F140" t="str" cm="1">
        <f t="array" ref="F140">IF(OR(COUNTIF(D140,"*"&amp;$T$9:$T$15&amp;"*")),"Female","Male")</f>
        <v>Male</v>
      </c>
      <c r="G140">
        <v>24</v>
      </c>
      <c r="H140">
        <v>0</v>
      </c>
      <c r="I140">
        <v>0</v>
      </c>
      <c r="J140">
        <v>1</v>
      </c>
      <c r="K140">
        <v>79.2</v>
      </c>
      <c r="L140">
        <f t="shared" si="11"/>
        <v>0</v>
      </c>
      <c r="M140">
        <f t="shared" si="12"/>
        <v>24</v>
      </c>
      <c r="N140" t="str">
        <f t="shared" si="13"/>
        <v>Adult</v>
      </c>
      <c r="O140">
        <f t="shared" si="14"/>
        <v>79.2</v>
      </c>
    </row>
    <row r="141" spans="1:15" x14ac:dyDescent="0.3">
      <c r="A141">
        <v>140</v>
      </c>
      <c r="B141">
        <v>0</v>
      </c>
      <c r="C141" t="str">
        <f t="shared" si="10"/>
        <v>No</v>
      </c>
      <c r="D141" t="s">
        <v>958</v>
      </c>
      <c r="E141" t="s">
        <v>1100</v>
      </c>
      <c r="F141" t="str" cm="1">
        <f t="array" ref="F141">IF(OR(COUNTIF(D141,"*"&amp;$T$9:$T$15&amp;"*")),"Female","Male")</f>
        <v>Female</v>
      </c>
      <c r="G141">
        <v>40</v>
      </c>
      <c r="H141">
        <v>0</v>
      </c>
      <c r="I141">
        <v>2</v>
      </c>
      <c r="J141">
        <v>3</v>
      </c>
      <c r="K141">
        <v>15.245799999999999</v>
      </c>
      <c r="L141">
        <f t="shared" si="11"/>
        <v>1</v>
      </c>
      <c r="M141">
        <f t="shared" si="12"/>
        <v>40</v>
      </c>
      <c r="N141" t="str">
        <f t="shared" si="13"/>
        <v>Adult</v>
      </c>
      <c r="O141">
        <f t="shared" si="14"/>
        <v>15.25</v>
      </c>
    </row>
    <row r="142" spans="1:15" x14ac:dyDescent="0.3">
      <c r="A142">
        <v>141</v>
      </c>
      <c r="B142">
        <v>1</v>
      </c>
      <c r="C142" t="str">
        <f t="shared" si="10"/>
        <v>Yes</v>
      </c>
      <c r="D142" t="s">
        <v>960</v>
      </c>
      <c r="E142" t="s">
        <v>1101</v>
      </c>
      <c r="F142" t="str" cm="1">
        <f t="array" ref="F142">IF(OR(COUNTIF(D142,"*"&amp;$T$9:$T$15&amp;"*")),"Female","Male")</f>
        <v>Female</v>
      </c>
      <c r="G142">
        <v>22</v>
      </c>
      <c r="H142">
        <v>0</v>
      </c>
      <c r="I142">
        <v>0</v>
      </c>
      <c r="J142">
        <v>3</v>
      </c>
      <c r="K142">
        <v>7.75</v>
      </c>
      <c r="L142">
        <f t="shared" si="11"/>
        <v>1</v>
      </c>
      <c r="M142">
        <f t="shared" si="12"/>
        <v>22</v>
      </c>
      <c r="N142" t="str">
        <f t="shared" si="13"/>
        <v>Adult</v>
      </c>
      <c r="O142">
        <f t="shared" si="14"/>
        <v>7.75</v>
      </c>
    </row>
    <row r="143" spans="1:15" x14ac:dyDescent="0.3">
      <c r="A143">
        <v>142</v>
      </c>
      <c r="B143">
        <v>1</v>
      </c>
      <c r="C143" t="str">
        <f t="shared" si="10"/>
        <v>Yes</v>
      </c>
      <c r="D143" t="s">
        <v>958</v>
      </c>
      <c r="E143" t="s">
        <v>1102</v>
      </c>
      <c r="F143" t="str" cm="1">
        <f t="array" ref="F143">IF(OR(COUNTIF(D143,"*"&amp;$T$9:$T$15&amp;"*")),"Female","Male")</f>
        <v>Female</v>
      </c>
      <c r="G143">
        <v>24</v>
      </c>
      <c r="H143">
        <v>1</v>
      </c>
      <c r="I143">
        <v>0</v>
      </c>
      <c r="J143">
        <v>3</v>
      </c>
      <c r="K143">
        <v>15.85</v>
      </c>
      <c r="L143">
        <f t="shared" si="11"/>
        <v>1</v>
      </c>
      <c r="M143">
        <f t="shared" si="12"/>
        <v>24</v>
      </c>
      <c r="N143" t="str">
        <f t="shared" si="13"/>
        <v>Adult</v>
      </c>
      <c r="O143">
        <f t="shared" si="14"/>
        <v>15.85</v>
      </c>
    </row>
    <row r="144" spans="1:15" x14ac:dyDescent="0.3">
      <c r="A144">
        <v>143</v>
      </c>
      <c r="B144">
        <v>0</v>
      </c>
      <c r="C144" t="str">
        <f t="shared" si="10"/>
        <v>No</v>
      </c>
      <c r="D144" t="s">
        <v>956</v>
      </c>
      <c r="E144" t="s">
        <v>1103</v>
      </c>
      <c r="F144" t="str" cm="1">
        <f t="array" ref="F144">IF(OR(COUNTIF(D144,"*"&amp;$T$9:$T$15&amp;"*")),"Female","Male")</f>
        <v>Male</v>
      </c>
      <c r="G144">
        <v>19</v>
      </c>
      <c r="H144">
        <v>0</v>
      </c>
      <c r="I144">
        <v>0</v>
      </c>
      <c r="J144">
        <v>3</v>
      </c>
      <c r="K144">
        <v>6.75</v>
      </c>
      <c r="L144">
        <f t="shared" si="11"/>
        <v>0</v>
      </c>
      <c r="M144">
        <f t="shared" si="12"/>
        <v>19</v>
      </c>
      <c r="N144" t="str">
        <f t="shared" si="13"/>
        <v>Adult</v>
      </c>
      <c r="O144">
        <f t="shared" si="14"/>
        <v>6.75</v>
      </c>
    </row>
    <row r="145" spans="1:15" x14ac:dyDescent="0.3">
      <c r="A145">
        <v>144</v>
      </c>
      <c r="B145">
        <v>0</v>
      </c>
      <c r="C145" t="str">
        <f t="shared" si="10"/>
        <v>No</v>
      </c>
      <c r="D145" t="s">
        <v>956</v>
      </c>
      <c r="E145" t="s">
        <v>1104</v>
      </c>
      <c r="F145" t="str" cm="1">
        <f t="array" ref="F145">IF(OR(COUNTIF(D145,"*"&amp;$T$9:$T$15&amp;"*")),"Female","Male")</f>
        <v>Male</v>
      </c>
      <c r="G145">
        <v>18</v>
      </c>
      <c r="H145">
        <v>0</v>
      </c>
      <c r="I145">
        <v>0</v>
      </c>
      <c r="J145">
        <v>2</v>
      </c>
      <c r="K145">
        <v>11.5</v>
      </c>
      <c r="L145">
        <f t="shared" si="11"/>
        <v>0</v>
      </c>
      <c r="M145">
        <f t="shared" si="12"/>
        <v>18</v>
      </c>
      <c r="N145" t="str">
        <f t="shared" si="13"/>
        <v>Adult</v>
      </c>
      <c r="O145">
        <f t="shared" si="14"/>
        <v>11.5</v>
      </c>
    </row>
    <row r="146" spans="1:15" x14ac:dyDescent="0.3">
      <c r="A146">
        <v>145</v>
      </c>
      <c r="B146">
        <v>0</v>
      </c>
      <c r="C146" t="str">
        <f t="shared" si="10"/>
        <v>No</v>
      </c>
      <c r="D146" t="s">
        <v>956</v>
      </c>
      <c r="E146" t="s">
        <v>1105</v>
      </c>
      <c r="F146" t="str" cm="1">
        <f t="array" ref="F146">IF(OR(COUNTIF(D146,"*"&amp;$T$9:$T$15&amp;"*")),"Female","Male")</f>
        <v>Male</v>
      </c>
      <c r="G146">
        <v>19</v>
      </c>
      <c r="H146">
        <v>1</v>
      </c>
      <c r="I146">
        <v>1</v>
      </c>
      <c r="J146">
        <v>2</v>
      </c>
      <c r="K146">
        <v>36.75</v>
      </c>
      <c r="L146">
        <f t="shared" si="11"/>
        <v>0</v>
      </c>
      <c r="M146">
        <f t="shared" si="12"/>
        <v>19</v>
      </c>
      <c r="N146" t="str">
        <f t="shared" si="13"/>
        <v>Adult</v>
      </c>
      <c r="O146">
        <f t="shared" si="14"/>
        <v>36.75</v>
      </c>
    </row>
    <row r="147" spans="1:15" x14ac:dyDescent="0.3">
      <c r="A147">
        <v>146</v>
      </c>
      <c r="B147">
        <v>1</v>
      </c>
      <c r="C147" t="str">
        <f t="shared" si="10"/>
        <v>Yes</v>
      </c>
      <c r="D147" t="s">
        <v>956</v>
      </c>
      <c r="E147" t="s">
        <v>1106</v>
      </c>
      <c r="F147" t="str" cm="1">
        <f t="array" ref="F147">IF(OR(COUNTIF(D147,"*"&amp;$T$9:$T$15&amp;"*")),"Female","Male")</f>
        <v>Male</v>
      </c>
      <c r="G147">
        <v>27</v>
      </c>
      <c r="H147">
        <v>0</v>
      </c>
      <c r="I147">
        <v>0</v>
      </c>
      <c r="J147">
        <v>3</v>
      </c>
      <c r="K147">
        <v>7.7957999999999998</v>
      </c>
      <c r="L147">
        <f t="shared" si="11"/>
        <v>0</v>
      </c>
      <c r="M147">
        <f t="shared" si="12"/>
        <v>27</v>
      </c>
      <c r="N147" t="str">
        <f t="shared" si="13"/>
        <v>Adult</v>
      </c>
      <c r="O147">
        <f t="shared" si="14"/>
        <v>7.8</v>
      </c>
    </row>
    <row r="148" spans="1:15" x14ac:dyDescent="0.3">
      <c r="A148">
        <v>147</v>
      </c>
      <c r="B148">
        <v>0</v>
      </c>
      <c r="C148" t="str">
        <f t="shared" si="10"/>
        <v>No</v>
      </c>
      <c r="D148" t="s">
        <v>960</v>
      </c>
      <c r="E148" t="s">
        <v>1107</v>
      </c>
      <c r="F148" t="str" cm="1">
        <f t="array" ref="F148">IF(OR(COUNTIF(D148,"*"&amp;$T$9:$T$15&amp;"*")),"Female","Male")</f>
        <v>Female</v>
      </c>
      <c r="G148">
        <v>9</v>
      </c>
      <c r="H148">
        <v>2</v>
      </c>
      <c r="I148">
        <v>2</v>
      </c>
      <c r="J148">
        <v>3</v>
      </c>
      <c r="K148">
        <v>34.375</v>
      </c>
      <c r="L148">
        <f t="shared" si="11"/>
        <v>1</v>
      </c>
      <c r="M148">
        <f t="shared" si="12"/>
        <v>9</v>
      </c>
      <c r="N148" t="str">
        <f t="shared" si="13"/>
        <v>Child</v>
      </c>
      <c r="O148">
        <f t="shared" si="14"/>
        <v>34.380000000000003</v>
      </c>
    </row>
    <row r="149" spans="1:15" x14ac:dyDescent="0.3">
      <c r="A149">
        <v>148</v>
      </c>
      <c r="B149">
        <v>0</v>
      </c>
      <c r="C149" t="str">
        <f t="shared" si="10"/>
        <v>No</v>
      </c>
      <c r="D149" t="s">
        <v>956</v>
      </c>
      <c r="E149" t="s">
        <v>1108</v>
      </c>
      <c r="F149" t="str" cm="1">
        <f t="array" ref="F149">IF(OR(COUNTIF(D149,"*"&amp;$T$9:$T$15&amp;"*")),"Female","Male")</f>
        <v>Male</v>
      </c>
      <c r="G149">
        <v>36.5</v>
      </c>
      <c r="H149">
        <v>0</v>
      </c>
      <c r="I149">
        <v>2</v>
      </c>
      <c r="J149">
        <v>2</v>
      </c>
      <c r="K149">
        <v>26</v>
      </c>
      <c r="L149">
        <f t="shared" si="11"/>
        <v>0</v>
      </c>
      <c r="M149">
        <f t="shared" si="12"/>
        <v>37</v>
      </c>
      <c r="N149" t="str">
        <f t="shared" si="13"/>
        <v>Adult</v>
      </c>
      <c r="O149">
        <f t="shared" si="14"/>
        <v>26</v>
      </c>
    </row>
    <row r="150" spans="1:15" x14ac:dyDescent="0.3">
      <c r="A150">
        <v>149</v>
      </c>
      <c r="B150">
        <v>0</v>
      </c>
      <c r="C150" t="str">
        <f t="shared" si="10"/>
        <v>No</v>
      </c>
      <c r="D150" t="s">
        <v>1109</v>
      </c>
      <c r="E150" t="s">
        <v>1110</v>
      </c>
      <c r="F150" t="str" cm="1">
        <f t="array" ref="F150">IF(OR(COUNTIF(D150,"*"&amp;$T$9:$T$15&amp;"*")),"Female","Male")</f>
        <v>Male</v>
      </c>
      <c r="G150">
        <v>42</v>
      </c>
      <c r="H150">
        <v>0</v>
      </c>
      <c r="I150">
        <v>0</v>
      </c>
      <c r="J150">
        <v>2</v>
      </c>
      <c r="K150">
        <v>13</v>
      </c>
      <c r="L150">
        <f t="shared" si="11"/>
        <v>0</v>
      </c>
      <c r="M150">
        <f t="shared" si="12"/>
        <v>42</v>
      </c>
      <c r="N150" t="str">
        <f t="shared" si="13"/>
        <v>Adult</v>
      </c>
      <c r="O150">
        <f t="shared" si="14"/>
        <v>13</v>
      </c>
    </row>
    <row r="151" spans="1:15" x14ac:dyDescent="0.3">
      <c r="A151">
        <v>150</v>
      </c>
      <c r="B151">
        <v>0</v>
      </c>
      <c r="C151" t="str">
        <f t="shared" si="10"/>
        <v>No</v>
      </c>
      <c r="D151" t="s">
        <v>1109</v>
      </c>
      <c r="E151" t="s">
        <v>1111</v>
      </c>
      <c r="F151" t="str" cm="1">
        <f t="array" ref="F151">IF(OR(COUNTIF(D151,"*"&amp;$T$9:$T$15&amp;"*")),"Female","Male")</f>
        <v>Male</v>
      </c>
      <c r="G151">
        <v>51</v>
      </c>
      <c r="H151">
        <v>0</v>
      </c>
      <c r="I151">
        <v>0</v>
      </c>
      <c r="J151">
        <v>2</v>
      </c>
      <c r="K151">
        <v>12.525</v>
      </c>
      <c r="L151">
        <f t="shared" si="11"/>
        <v>0</v>
      </c>
      <c r="M151">
        <f t="shared" si="12"/>
        <v>51</v>
      </c>
      <c r="N151" t="str">
        <f t="shared" si="13"/>
        <v>Adult</v>
      </c>
      <c r="O151">
        <f t="shared" si="14"/>
        <v>12.53</v>
      </c>
    </row>
    <row r="152" spans="1:15" x14ac:dyDescent="0.3">
      <c r="A152">
        <v>151</v>
      </c>
      <c r="B152">
        <v>1</v>
      </c>
      <c r="C152" t="str">
        <f t="shared" si="10"/>
        <v>Yes</v>
      </c>
      <c r="D152" t="s">
        <v>958</v>
      </c>
      <c r="E152" t="s">
        <v>1112</v>
      </c>
      <c r="F152" t="str" cm="1">
        <f t="array" ref="F152">IF(OR(COUNTIF(D152,"*"&amp;$T$9:$T$15&amp;"*")),"Female","Male")</f>
        <v>Female</v>
      </c>
      <c r="G152">
        <v>22</v>
      </c>
      <c r="H152">
        <v>1</v>
      </c>
      <c r="I152">
        <v>0</v>
      </c>
      <c r="J152">
        <v>1</v>
      </c>
      <c r="K152">
        <v>66.599999999999994</v>
      </c>
      <c r="L152">
        <f t="shared" si="11"/>
        <v>1</v>
      </c>
      <c r="M152">
        <f t="shared" si="12"/>
        <v>22</v>
      </c>
      <c r="N152" t="str">
        <f t="shared" si="13"/>
        <v>Adult</v>
      </c>
      <c r="O152">
        <f t="shared" si="14"/>
        <v>66.599999999999994</v>
      </c>
    </row>
    <row r="153" spans="1:15" x14ac:dyDescent="0.3">
      <c r="A153">
        <v>152</v>
      </c>
      <c r="B153">
        <v>0</v>
      </c>
      <c r="C153" t="str">
        <f t="shared" si="10"/>
        <v>No</v>
      </c>
      <c r="D153" t="s">
        <v>956</v>
      </c>
      <c r="E153" t="s">
        <v>1113</v>
      </c>
      <c r="F153" t="str" cm="1">
        <f t="array" ref="F153">IF(OR(COUNTIF(D153,"*"&amp;$T$9:$T$15&amp;"*")),"Female","Male")</f>
        <v>Male</v>
      </c>
      <c r="G153">
        <v>55.5</v>
      </c>
      <c r="H153">
        <v>0</v>
      </c>
      <c r="I153">
        <v>0</v>
      </c>
      <c r="J153">
        <v>3</v>
      </c>
      <c r="K153">
        <v>8.0500000000000007</v>
      </c>
      <c r="L153">
        <f t="shared" si="11"/>
        <v>0</v>
      </c>
      <c r="M153">
        <f t="shared" si="12"/>
        <v>56</v>
      </c>
      <c r="N153" t="str">
        <f t="shared" si="13"/>
        <v>Adult</v>
      </c>
      <c r="O153">
        <f t="shared" si="14"/>
        <v>8.0500000000000007</v>
      </c>
    </row>
    <row r="154" spans="1:15" x14ac:dyDescent="0.3">
      <c r="A154">
        <v>153</v>
      </c>
      <c r="B154">
        <v>0</v>
      </c>
      <c r="C154" t="str">
        <f t="shared" si="10"/>
        <v>No</v>
      </c>
      <c r="D154" t="s">
        <v>956</v>
      </c>
      <c r="E154" t="s">
        <v>1114</v>
      </c>
      <c r="F154" t="str" cm="1">
        <f t="array" ref="F154">IF(OR(COUNTIF(D154,"*"&amp;$T$9:$T$15&amp;"*")),"Female","Male")</f>
        <v>Male</v>
      </c>
      <c r="G154">
        <v>40.5</v>
      </c>
      <c r="H154">
        <v>0</v>
      </c>
      <c r="I154">
        <v>2</v>
      </c>
      <c r="J154">
        <v>3</v>
      </c>
      <c r="K154">
        <v>14.5</v>
      </c>
      <c r="L154">
        <f t="shared" si="11"/>
        <v>0</v>
      </c>
      <c r="M154">
        <f t="shared" si="12"/>
        <v>41</v>
      </c>
      <c r="N154" t="str">
        <f t="shared" si="13"/>
        <v>Adult</v>
      </c>
      <c r="O154">
        <f t="shared" si="14"/>
        <v>14.5</v>
      </c>
    </row>
    <row r="155" spans="1:15" x14ac:dyDescent="0.3">
      <c r="A155">
        <v>154</v>
      </c>
      <c r="B155">
        <v>0</v>
      </c>
      <c r="C155" t="str">
        <f t="shared" si="10"/>
        <v>No</v>
      </c>
      <c r="D155" t="s">
        <v>956</v>
      </c>
      <c r="E155" t="s">
        <v>1115</v>
      </c>
      <c r="F155" t="str" cm="1">
        <f t="array" ref="F155">IF(OR(COUNTIF(D155,"*"&amp;$T$9:$T$15&amp;"*")),"Female","Male")</f>
        <v>Male</v>
      </c>
      <c r="G155">
        <v>27</v>
      </c>
      <c r="H155">
        <v>0</v>
      </c>
      <c r="I155">
        <v>0</v>
      </c>
      <c r="J155">
        <v>3</v>
      </c>
      <c r="K155">
        <v>7.3125</v>
      </c>
      <c r="L155">
        <f t="shared" si="11"/>
        <v>0</v>
      </c>
      <c r="M155">
        <f t="shared" si="12"/>
        <v>27</v>
      </c>
      <c r="N155" t="str">
        <f t="shared" si="13"/>
        <v>Adult</v>
      </c>
      <c r="O155">
        <f t="shared" si="14"/>
        <v>7.31</v>
      </c>
    </row>
    <row r="156" spans="1:15" x14ac:dyDescent="0.3">
      <c r="A156">
        <v>155</v>
      </c>
      <c r="B156">
        <v>0</v>
      </c>
      <c r="C156" t="str">
        <f t="shared" si="10"/>
        <v>No</v>
      </c>
      <c r="D156" t="s">
        <v>956</v>
      </c>
      <c r="E156" t="s">
        <v>1116</v>
      </c>
      <c r="F156" t="str" cm="1">
        <f t="array" ref="F156">IF(OR(COUNTIF(D156,"*"&amp;$T$9:$T$15&amp;"*")),"Female","Male")</f>
        <v>Male</v>
      </c>
      <c r="G156">
        <v>51</v>
      </c>
      <c r="H156">
        <v>0</v>
      </c>
      <c r="I156">
        <v>1</v>
      </c>
      <c r="J156">
        <v>1</v>
      </c>
      <c r="K156">
        <v>61.379199999999997</v>
      </c>
      <c r="L156">
        <f t="shared" si="11"/>
        <v>0</v>
      </c>
      <c r="M156">
        <f t="shared" si="12"/>
        <v>51</v>
      </c>
      <c r="N156" t="str">
        <f t="shared" si="13"/>
        <v>Adult</v>
      </c>
      <c r="O156">
        <f t="shared" si="14"/>
        <v>61.38</v>
      </c>
    </row>
    <row r="157" spans="1:15" x14ac:dyDescent="0.3">
      <c r="A157">
        <v>156</v>
      </c>
      <c r="B157">
        <v>1</v>
      </c>
      <c r="C157" t="str">
        <f t="shared" si="10"/>
        <v>Yes</v>
      </c>
      <c r="D157" t="s">
        <v>960</v>
      </c>
      <c r="E157" t="s">
        <v>1117</v>
      </c>
      <c r="F157" t="str" cm="1">
        <f t="array" ref="F157">IF(OR(COUNTIF(D157,"*"&amp;$T$9:$T$15&amp;"*")),"Female","Male")</f>
        <v>Female</v>
      </c>
      <c r="G157">
        <v>16</v>
      </c>
      <c r="H157">
        <v>0</v>
      </c>
      <c r="I157">
        <v>0</v>
      </c>
      <c r="J157">
        <v>3</v>
      </c>
      <c r="K157">
        <v>7.7332999999999998</v>
      </c>
      <c r="L157">
        <f t="shared" si="11"/>
        <v>1</v>
      </c>
      <c r="M157">
        <f t="shared" si="12"/>
        <v>16</v>
      </c>
      <c r="N157" t="str">
        <f t="shared" si="13"/>
        <v>Child</v>
      </c>
      <c r="O157">
        <f t="shared" si="14"/>
        <v>7.73</v>
      </c>
    </row>
    <row r="158" spans="1:15" x14ac:dyDescent="0.3">
      <c r="A158">
        <v>157</v>
      </c>
      <c r="B158">
        <v>0</v>
      </c>
      <c r="C158" t="str">
        <f t="shared" si="10"/>
        <v>No</v>
      </c>
      <c r="D158" t="s">
        <v>956</v>
      </c>
      <c r="E158" t="s">
        <v>1118</v>
      </c>
      <c r="F158" t="str" cm="1">
        <f t="array" ref="F158">IF(OR(COUNTIF(D158,"*"&amp;$T$9:$T$15&amp;"*")),"Female","Male")</f>
        <v>Male</v>
      </c>
      <c r="G158">
        <v>30</v>
      </c>
      <c r="H158">
        <v>0</v>
      </c>
      <c r="I158">
        <v>0</v>
      </c>
      <c r="J158">
        <v>3</v>
      </c>
      <c r="K158">
        <v>8.0500000000000007</v>
      </c>
      <c r="L158">
        <f t="shared" si="11"/>
        <v>0</v>
      </c>
      <c r="M158">
        <f t="shared" si="12"/>
        <v>30</v>
      </c>
      <c r="N158" t="str">
        <f t="shared" si="13"/>
        <v>Adult</v>
      </c>
      <c r="O158">
        <f t="shared" si="14"/>
        <v>8.0500000000000007</v>
      </c>
    </row>
    <row r="159" spans="1:15" x14ac:dyDescent="0.3">
      <c r="A159">
        <v>158</v>
      </c>
      <c r="B159">
        <v>0</v>
      </c>
      <c r="C159" t="str">
        <f t="shared" si="10"/>
        <v>No</v>
      </c>
      <c r="D159" t="s">
        <v>956</v>
      </c>
      <c r="E159" t="s">
        <v>1119</v>
      </c>
      <c r="F159" t="str" cm="1">
        <f t="array" ref="F159">IF(OR(COUNTIF(D159,"*"&amp;$T$9:$T$15&amp;"*")),"Female","Male")</f>
        <v>Male</v>
      </c>
      <c r="G159">
        <v>37</v>
      </c>
      <c r="H159">
        <v>0</v>
      </c>
      <c r="I159">
        <v>0</v>
      </c>
      <c r="J159">
        <v>3</v>
      </c>
      <c r="K159">
        <v>8.6624999999999996</v>
      </c>
      <c r="L159">
        <f t="shared" si="11"/>
        <v>0</v>
      </c>
      <c r="M159">
        <f t="shared" si="12"/>
        <v>37</v>
      </c>
      <c r="N159" t="str">
        <f t="shared" si="13"/>
        <v>Adult</v>
      </c>
      <c r="O159">
        <f t="shared" si="14"/>
        <v>8.66</v>
      </c>
    </row>
    <row r="160" spans="1:15" x14ac:dyDescent="0.3">
      <c r="A160">
        <v>159</v>
      </c>
      <c r="B160">
        <v>0</v>
      </c>
      <c r="C160" t="str">
        <f t="shared" si="10"/>
        <v>No</v>
      </c>
      <c r="D160" t="s">
        <v>966</v>
      </c>
      <c r="E160" t="s">
        <v>1120</v>
      </c>
      <c r="F160" t="str" cm="1">
        <f t="array" ref="F160">IF(OR(COUNTIF(D160,"*"&amp;$T$9:$T$15&amp;"*")),"Female","Male")</f>
        <v>Male</v>
      </c>
      <c r="G160">
        <v>5</v>
      </c>
      <c r="H160">
        <v>8</v>
      </c>
      <c r="I160">
        <v>2</v>
      </c>
      <c r="J160">
        <v>3</v>
      </c>
      <c r="K160">
        <v>69.55</v>
      </c>
      <c r="L160">
        <f t="shared" si="11"/>
        <v>0</v>
      </c>
      <c r="M160">
        <f t="shared" si="12"/>
        <v>5</v>
      </c>
      <c r="N160" t="str">
        <f t="shared" si="13"/>
        <v>Child</v>
      </c>
      <c r="O160">
        <f t="shared" si="14"/>
        <v>69.55</v>
      </c>
    </row>
    <row r="161" spans="1:15" x14ac:dyDescent="0.3">
      <c r="A161">
        <v>160</v>
      </c>
      <c r="B161">
        <v>0</v>
      </c>
      <c r="C161" t="str">
        <f t="shared" si="10"/>
        <v>No</v>
      </c>
      <c r="D161" t="s">
        <v>956</v>
      </c>
      <c r="E161" t="s">
        <v>1121</v>
      </c>
      <c r="F161" t="str" cm="1">
        <f t="array" ref="F161">IF(OR(COUNTIF(D161,"*"&amp;$T$9:$T$15&amp;"*")),"Female","Male")</f>
        <v>Male</v>
      </c>
      <c r="G161">
        <v>44</v>
      </c>
      <c r="H161">
        <v>0</v>
      </c>
      <c r="I161">
        <v>1</v>
      </c>
      <c r="J161">
        <v>3</v>
      </c>
      <c r="K161">
        <v>16.100000000000001</v>
      </c>
      <c r="L161">
        <f t="shared" si="11"/>
        <v>0</v>
      </c>
      <c r="M161">
        <f t="shared" si="12"/>
        <v>44</v>
      </c>
      <c r="N161" t="str">
        <f t="shared" si="13"/>
        <v>Adult</v>
      </c>
      <c r="O161">
        <f t="shared" si="14"/>
        <v>16.100000000000001</v>
      </c>
    </row>
    <row r="162" spans="1:15" x14ac:dyDescent="0.3">
      <c r="A162">
        <v>161</v>
      </c>
      <c r="B162">
        <v>1</v>
      </c>
      <c r="C162" t="str">
        <f t="shared" si="10"/>
        <v>Yes</v>
      </c>
      <c r="D162" t="s">
        <v>958</v>
      </c>
      <c r="E162" t="s">
        <v>1122</v>
      </c>
      <c r="F162" t="str" cm="1">
        <f t="array" ref="F162">IF(OR(COUNTIF(D162,"*"&amp;$T$9:$T$15&amp;"*")),"Female","Male")</f>
        <v>Female</v>
      </c>
      <c r="G162">
        <v>40</v>
      </c>
      <c r="H162">
        <v>0</v>
      </c>
      <c r="I162">
        <v>0</v>
      </c>
      <c r="J162">
        <v>2</v>
      </c>
      <c r="K162">
        <v>15.75</v>
      </c>
      <c r="L162">
        <f t="shared" si="11"/>
        <v>1</v>
      </c>
      <c r="M162">
        <f t="shared" si="12"/>
        <v>40</v>
      </c>
      <c r="N162" t="str">
        <f t="shared" si="13"/>
        <v>Adult</v>
      </c>
      <c r="O162">
        <f t="shared" si="14"/>
        <v>15.75</v>
      </c>
    </row>
    <row r="163" spans="1:15" x14ac:dyDescent="0.3">
      <c r="A163">
        <v>162</v>
      </c>
      <c r="B163">
        <v>0</v>
      </c>
      <c r="C163" t="str">
        <f t="shared" si="10"/>
        <v>No</v>
      </c>
      <c r="D163" t="s">
        <v>956</v>
      </c>
      <c r="E163" t="s">
        <v>1123</v>
      </c>
      <c r="F163" t="str" cm="1">
        <f t="array" ref="F163">IF(OR(COUNTIF(D163,"*"&amp;$T$9:$T$15&amp;"*")),"Female","Male")</f>
        <v>Male</v>
      </c>
      <c r="G163">
        <v>26</v>
      </c>
      <c r="H163">
        <v>0</v>
      </c>
      <c r="I163">
        <v>0</v>
      </c>
      <c r="J163">
        <v>3</v>
      </c>
      <c r="K163">
        <v>7.7750000000000004</v>
      </c>
      <c r="L163">
        <f t="shared" si="11"/>
        <v>0</v>
      </c>
      <c r="M163">
        <f t="shared" si="12"/>
        <v>26</v>
      </c>
      <c r="N163" t="str">
        <f t="shared" si="13"/>
        <v>Adult</v>
      </c>
      <c r="O163">
        <f t="shared" si="14"/>
        <v>7.78</v>
      </c>
    </row>
    <row r="164" spans="1:15" x14ac:dyDescent="0.3">
      <c r="A164">
        <v>163</v>
      </c>
      <c r="B164">
        <v>0</v>
      </c>
      <c r="C164" t="str">
        <f t="shared" si="10"/>
        <v>No</v>
      </c>
      <c r="D164" t="s">
        <v>956</v>
      </c>
      <c r="E164" t="s">
        <v>1124</v>
      </c>
      <c r="F164" t="str" cm="1">
        <f t="array" ref="F164">IF(OR(COUNTIF(D164,"*"&amp;$T$9:$T$15&amp;"*")),"Female","Male")</f>
        <v>Male</v>
      </c>
      <c r="G164">
        <v>17</v>
      </c>
      <c r="H164">
        <v>0</v>
      </c>
      <c r="I164">
        <v>0</v>
      </c>
      <c r="J164">
        <v>3</v>
      </c>
      <c r="K164">
        <v>8.6624999999999996</v>
      </c>
      <c r="L164">
        <f t="shared" si="11"/>
        <v>0</v>
      </c>
      <c r="M164">
        <f t="shared" si="12"/>
        <v>17</v>
      </c>
      <c r="N164" t="str">
        <f t="shared" si="13"/>
        <v>Adult</v>
      </c>
      <c r="O164">
        <f t="shared" si="14"/>
        <v>8.66</v>
      </c>
    </row>
    <row r="165" spans="1:15" x14ac:dyDescent="0.3">
      <c r="A165">
        <v>164</v>
      </c>
      <c r="B165">
        <v>0</v>
      </c>
      <c r="C165" t="str">
        <f t="shared" si="10"/>
        <v>No</v>
      </c>
      <c r="D165" t="s">
        <v>966</v>
      </c>
      <c r="E165" t="s">
        <v>1125</v>
      </c>
      <c r="F165" t="str" cm="1">
        <f t="array" ref="F165">IF(OR(COUNTIF(D165,"*"&amp;$T$9:$T$15&amp;"*")),"Female","Male")</f>
        <v>Male</v>
      </c>
      <c r="G165">
        <v>1</v>
      </c>
      <c r="H165">
        <v>4</v>
      </c>
      <c r="I165">
        <v>1</v>
      </c>
      <c r="J165">
        <v>3</v>
      </c>
      <c r="K165">
        <v>39.6875</v>
      </c>
      <c r="L165">
        <f t="shared" si="11"/>
        <v>0</v>
      </c>
      <c r="M165">
        <f t="shared" si="12"/>
        <v>1</v>
      </c>
      <c r="N165" t="str">
        <f t="shared" si="13"/>
        <v>Child</v>
      </c>
      <c r="O165">
        <f t="shared" si="14"/>
        <v>39.69</v>
      </c>
    </row>
    <row r="166" spans="1:15" x14ac:dyDescent="0.3">
      <c r="A166">
        <v>165</v>
      </c>
      <c r="B166">
        <v>1</v>
      </c>
      <c r="C166" t="str">
        <f t="shared" si="10"/>
        <v>Yes</v>
      </c>
      <c r="D166" t="s">
        <v>966</v>
      </c>
      <c r="E166" t="s">
        <v>1126</v>
      </c>
      <c r="F166" t="str" cm="1">
        <f t="array" ref="F166">IF(OR(COUNTIF(D166,"*"&amp;$T$9:$T$15&amp;"*")),"Female","Male")</f>
        <v>Male</v>
      </c>
      <c r="G166">
        <v>9</v>
      </c>
      <c r="H166">
        <v>0</v>
      </c>
      <c r="I166">
        <v>2</v>
      </c>
      <c r="J166">
        <v>3</v>
      </c>
      <c r="K166">
        <v>20.524999999999999</v>
      </c>
      <c r="L166">
        <f t="shared" si="11"/>
        <v>0</v>
      </c>
      <c r="M166">
        <f t="shared" si="12"/>
        <v>9</v>
      </c>
      <c r="N166" t="str">
        <f t="shared" si="13"/>
        <v>Child</v>
      </c>
      <c r="O166">
        <f t="shared" si="14"/>
        <v>20.53</v>
      </c>
    </row>
    <row r="167" spans="1:15" x14ac:dyDescent="0.3">
      <c r="A167">
        <v>166</v>
      </c>
      <c r="B167">
        <v>1</v>
      </c>
      <c r="C167" t="str">
        <f t="shared" si="10"/>
        <v>Yes</v>
      </c>
      <c r="D167" t="s">
        <v>958</v>
      </c>
      <c r="E167" t="s">
        <v>1127</v>
      </c>
      <c r="F167" t="str" cm="1">
        <f t="array" ref="F167">IF(OR(COUNTIF(D167,"*"&amp;$T$9:$T$15&amp;"*")),"Female","Male")</f>
        <v>Female</v>
      </c>
      <c r="G167">
        <v>48</v>
      </c>
      <c r="H167">
        <v>0</v>
      </c>
      <c r="I167">
        <v>1</v>
      </c>
      <c r="J167">
        <v>1</v>
      </c>
      <c r="K167">
        <v>55</v>
      </c>
      <c r="L167">
        <f t="shared" si="11"/>
        <v>1</v>
      </c>
      <c r="M167">
        <f t="shared" si="12"/>
        <v>48</v>
      </c>
      <c r="N167" t="str">
        <f t="shared" si="13"/>
        <v>Adult</v>
      </c>
      <c r="O167">
        <f t="shared" si="14"/>
        <v>55</v>
      </c>
    </row>
    <row r="168" spans="1:15" x14ac:dyDescent="0.3">
      <c r="A168">
        <v>167</v>
      </c>
      <c r="B168">
        <v>0</v>
      </c>
      <c r="C168" t="str">
        <f t="shared" si="10"/>
        <v>No</v>
      </c>
      <c r="D168" t="s">
        <v>958</v>
      </c>
      <c r="E168" t="s">
        <v>1128</v>
      </c>
      <c r="F168" t="str" cm="1">
        <f t="array" ref="F168">IF(OR(COUNTIF(D168,"*"&amp;$T$9:$T$15&amp;"*")),"Female","Male")</f>
        <v>Female</v>
      </c>
      <c r="G168">
        <v>45</v>
      </c>
      <c r="H168">
        <v>1</v>
      </c>
      <c r="I168">
        <v>4</v>
      </c>
      <c r="J168">
        <v>3</v>
      </c>
      <c r="K168">
        <v>27.9</v>
      </c>
      <c r="L168">
        <f t="shared" si="11"/>
        <v>1</v>
      </c>
      <c r="M168">
        <f t="shared" si="12"/>
        <v>45</v>
      </c>
      <c r="N168" t="str">
        <f t="shared" si="13"/>
        <v>Adult</v>
      </c>
      <c r="O168">
        <f t="shared" si="14"/>
        <v>27.9</v>
      </c>
    </row>
    <row r="169" spans="1:15" x14ac:dyDescent="0.3">
      <c r="A169">
        <v>168</v>
      </c>
      <c r="B169">
        <v>0</v>
      </c>
      <c r="C169" t="str">
        <f t="shared" si="10"/>
        <v>No</v>
      </c>
      <c r="D169" t="s">
        <v>956</v>
      </c>
      <c r="E169" t="s">
        <v>1129</v>
      </c>
      <c r="F169" t="str" cm="1">
        <f t="array" ref="F169">IF(OR(COUNTIF(D169,"*"&amp;$T$9:$T$15&amp;"*")),"Female","Male")</f>
        <v>Male</v>
      </c>
      <c r="G169">
        <v>60</v>
      </c>
      <c r="H169">
        <v>0</v>
      </c>
      <c r="I169">
        <v>0</v>
      </c>
      <c r="J169">
        <v>1</v>
      </c>
      <c r="K169">
        <v>25.925000000000001</v>
      </c>
      <c r="L169">
        <f t="shared" si="11"/>
        <v>0</v>
      </c>
      <c r="M169">
        <f t="shared" si="12"/>
        <v>60</v>
      </c>
      <c r="N169" t="str">
        <f t="shared" si="13"/>
        <v>Adult</v>
      </c>
      <c r="O169">
        <f t="shared" si="14"/>
        <v>25.93</v>
      </c>
    </row>
    <row r="170" spans="1:15" x14ac:dyDescent="0.3">
      <c r="A170">
        <v>169</v>
      </c>
      <c r="B170">
        <v>0</v>
      </c>
      <c r="C170" t="str">
        <f t="shared" si="10"/>
        <v>No</v>
      </c>
      <c r="D170" t="s">
        <v>956</v>
      </c>
      <c r="E170" t="s">
        <v>1130</v>
      </c>
      <c r="F170" t="str" cm="1">
        <f t="array" ref="F170">IF(OR(COUNTIF(D170,"*"&amp;$T$9:$T$15&amp;"*")),"Female","Male")</f>
        <v>Male</v>
      </c>
      <c r="G170">
        <v>28</v>
      </c>
      <c r="H170">
        <v>0</v>
      </c>
      <c r="I170">
        <v>0</v>
      </c>
      <c r="J170">
        <v>3</v>
      </c>
      <c r="K170">
        <v>56.495800000000003</v>
      </c>
      <c r="L170">
        <f t="shared" si="11"/>
        <v>0</v>
      </c>
      <c r="M170">
        <f t="shared" si="12"/>
        <v>28</v>
      </c>
      <c r="N170" t="str">
        <f t="shared" si="13"/>
        <v>Adult</v>
      </c>
      <c r="O170">
        <f t="shared" si="14"/>
        <v>56.5</v>
      </c>
    </row>
    <row r="171" spans="1:15" x14ac:dyDescent="0.3">
      <c r="A171">
        <v>170</v>
      </c>
      <c r="B171">
        <v>0</v>
      </c>
      <c r="C171" t="str">
        <f t="shared" si="10"/>
        <v>No</v>
      </c>
      <c r="D171" t="s">
        <v>956</v>
      </c>
      <c r="E171" t="s">
        <v>1131</v>
      </c>
      <c r="F171" t="str" cm="1">
        <f t="array" ref="F171">IF(OR(COUNTIF(D171,"*"&amp;$T$9:$T$15&amp;"*")),"Female","Male")</f>
        <v>Male</v>
      </c>
      <c r="G171">
        <v>61</v>
      </c>
      <c r="H171">
        <v>0</v>
      </c>
      <c r="I171">
        <v>0</v>
      </c>
      <c r="J171">
        <v>1</v>
      </c>
      <c r="K171">
        <v>33.5</v>
      </c>
      <c r="L171">
        <f t="shared" si="11"/>
        <v>0</v>
      </c>
      <c r="M171">
        <f t="shared" si="12"/>
        <v>61</v>
      </c>
      <c r="N171" t="str">
        <f t="shared" si="13"/>
        <v>Adult</v>
      </c>
      <c r="O171">
        <f t="shared" si="14"/>
        <v>33.5</v>
      </c>
    </row>
    <row r="172" spans="1:15" x14ac:dyDescent="0.3">
      <c r="A172">
        <v>171</v>
      </c>
      <c r="B172">
        <v>0</v>
      </c>
      <c r="C172" t="str">
        <f t="shared" si="10"/>
        <v>No</v>
      </c>
      <c r="D172" t="s">
        <v>966</v>
      </c>
      <c r="E172" t="s">
        <v>1132</v>
      </c>
      <c r="F172" t="str" cm="1">
        <f t="array" ref="F172">IF(OR(COUNTIF(D172,"*"&amp;$T$9:$T$15&amp;"*")),"Female","Male")</f>
        <v>Male</v>
      </c>
      <c r="G172">
        <v>4</v>
      </c>
      <c r="H172">
        <v>4</v>
      </c>
      <c r="I172">
        <v>1</v>
      </c>
      <c r="J172">
        <v>3</v>
      </c>
      <c r="K172">
        <v>29.125</v>
      </c>
      <c r="L172">
        <f t="shared" si="11"/>
        <v>0</v>
      </c>
      <c r="M172">
        <f t="shared" si="12"/>
        <v>4</v>
      </c>
      <c r="N172" t="str">
        <f t="shared" si="13"/>
        <v>Child</v>
      </c>
      <c r="O172">
        <f t="shared" si="14"/>
        <v>29.13</v>
      </c>
    </row>
    <row r="173" spans="1:15" x14ac:dyDescent="0.3">
      <c r="A173">
        <v>172</v>
      </c>
      <c r="B173">
        <v>1</v>
      </c>
      <c r="C173" t="str">
        <f t="shared" si="10"/>
        <v>Yes</v>
      </c>
      <c r="D173" t="s">
        <v>960</v>
      </c>
      <c r="E173" t="s">
        <v>1133</v>
      </c>
      <c r="F173" t="str" cm="1">
        <f t="array" ref="F173">IF(OR(COUNTIF(D173,"*"&amp;$T$9:$T$15&amp;"*")),"Female","Male")</f>
        <v>Female</v>
      </c>
      <c r="G173">
        <v>1</v>
      </c>
      <c r="H173">
        <v>1</v>
      </c>
      <c r="I173">
        <v>1</v>
      </c>
      <c r="J173">
        <v>3</v>
      </c>
      <c r="K173">
        <v>11.1333</v>
      </c>
      <c r="L173">
        <f t="shared" si="11"/>
        <v>1</v>
      </c>
      <c r="M173">
        <f t="shared" si="12"/>
        <v>1</v>
      </c>
      <c r="N173" t="str">
        <f t="shared" si="13"/>
        <v>Child</v>
      </c>
      <c r="O173">
        <f t="shared" si="14"/>
        <v>11.13</v>
      </c>
    </row>
    <row r="174" spans="1:15" x14ac:dyDescent="0.3">
      <c r="A174">
        <v>173</v>
      </c>
      <c r="B174">
        <v>0</v>
      </c>
      <c r="C174" t="str">
        <f t="shared" si="10"/>
        <v>No</v>
      </c>
      <c r="D174" t="s">
        <v>956</v>
      </c>
      <c r="E174" t="s">
        <v>1134</v>
      </c>
      <c r="F174" t="str" cm="1">
        <f t="array" ref="F174">IF(OR(COUNTIF(D174,"*"&amp;$T$9:$T$15&amp;"*")),"Female","Male")</f>
        <v>Male</v>
      </c>
      <c r="G174">
        <v>21</v>
      </c>
      <c r="H174">
        <v>0</v>
      </c>
      <c r="I174">
        <v>0</v>
      </c>
      <c r="J174">
        <v>3</v>
      </c>
      <c r="K174">
        <v>7.9249999999999998</v>
      </c>
      <c r="L174">
        <f t="shared" si="11"/>
        <v>0</v>
      </c>
      <c r="M174">
        <f t="shared" si="12"/>
        <v>21</v>
      </c>
      <c r="N174" t="str">
        <f t="shared" si="13"/>
        <v>Adult</v>
      </c>
      <c r="O174">
        <f t="shared" si="14"/>
        <v>7.93</v>
      </c>
    </row>
    <row r="175" spans="1:15" x14ac:dyDescent="0.3">
      <c r="A175">
        <v>174</v>
      </c>
      <c r="B175">
        <v>0</v>
      </c>
      <c r="C175" t="str">
        <f t="shared" si="10"/>
        <v>No</v>
      </c>
      <c r="D175" t="s">
        <v>956</v>
      </c>
      <c r="E175" t="s">
        <v>1135</v>
      </c>
      <c r="F175" t="str" cm="1">
        <f t="array" ref="F175">IF(OR(COUNTIF(D175,"*"&amp;$T$9:$T$15&amp;"*")),"Female","Male")</f>
        <v>Male</v>
      </c>
      <c r="G175">
        <v>56</v>
      </c>
      <c r="H175">
        <v>0</v>
      </c>
      <c r="I175">
        <v>0</v>
      </c>
      <c r="J175">
        <v>1</v>
      </c>
      <c r="K175">
        <v>30.695799999999998</v>
      </c>
      <c r="L175">
        <f t="shared" si="11"/>
        <v>0</v>
      </c>
      <c r="M175">
        <f t="shared" si="12"/>
        <v>56</v>
      </c>
      <c r="N175" t="str">
        <f t="shared" si="13"/>
        <v>Adult</v>
      </c>
      <c r="O175">
        <f t="shared" si="14"/>
        <v>30.7</v>
      </c>
    </row>
    <row r="176" spans="1:15" x14ac:dyDescent="0.3">
      <c r="A176">
        <v>175</v>
      </c>
      <c r="B176">
        <v>0</v>
      </c>
      <c r="C176" t="str">
        <f t="shared" si="10"/>
        <v>No</v>
      </c>
      <c r="D176" t="s">
        <v>956</v>
      </c>
      <c r="E176" t="s">
        <v>1136</v>
      </c>
      <c r="F176" t="str" cm="1">
        <f t="array" ref="F176">IF(OR(COUNTIF(D176,"*"&amp;$T$9:$T$15&amp;"*")),"Female","Male")</f>
        <v>Male</v>
      </c>
      <c r="G176">
        <v>18</v>
      </c>
      <c r="H176">
        <v>1</v>
      </c>
      <c r="I176">
        <v>1</v>
      </c>
      <c r="J176">
        <v>3</v>
      </c>
      <c r="K176">
        <v>7.8541999999999996</v>
      </c>
      <c r="L176">
        <f t="shared" si="11"/>
        <v>0</v>
      </c>
      <c r="M176">
        <f t="shared" si="12"/>
        <v>18</v>
      </c>
      <c r="N176" t="str">
        <f t="shared" si="13"/>
        <v>Adult</v>
      </c>
      <c r="O176">
        <f t="shared" si="14"/>
        <v>7.85</v>
      </c>
    </row>
    <row r="177" spans="1:15" x14ac:dyDescent="0.3">
      <c r="A177">
        <v>176</v>
      </c>
      <c r="B177">
        <v>0</v>
      </c>
      <c r="C177" t="str">
        <f t="shared" si="10"/>
        <v>No</v>
      </c>
      <c r="D177" t="s">
        <v>966</v>
      </c>
      <c r="E177" t="s">
        <v>1137</v>
      </c>
      <c r="F177" t="str" cm="1">
        <f t="array" ref="F177">IF(OR(COUNTIF(D177,"*"&amp;$T$9:$T$15&amp;"*")),"Female","Male")</f>
        <v>Male</v>
      </c>
      <c r="G177">
        <v>5</v>
      </c>
      <c r="H177">
        <v>3</v>
      </c>
      <c r="I177">
        <v>1</v>
      </c>
      <c r="J177">
        <v>3</v>
      </c>
      <c r="K177">
        <v>25.466699999999999</v>
      </c>
      <c r="L177">
        <f t="shared" si="11"/>
        <v>0</v>
      </c>
      <c r="M177">
        <f t="shared" si="12"/>
        <v>5</v>
      </c>
      <c r="N177" t="str">
        <f t="shared" si="13"/>
        <v>Child</v>
      </c>
      <c r="O177">
        <f t="shared" si="14"/>
        <v>25.47</v>
      </c>
    </row>
    <row r="178" spans="1:15" x14ac:dyDescent="0.3">
      <c r="A178">
        <v>177</v>
      </c>
      <c r="B178">
        <v>0</v>
      </c>
      <c r="C178" t="str">
        <f t="shared" si="10"/>
        <v>No</v>
      </c>
      <c r="D178" t="s">
        <v>960</v>
      </c>
      <c r="E178" t="s">
        <v>1138</v>
      </c>
      <c r="F178" t="str" cm="1">
        <f t="array" ref="F178">IF(OR(COUNTIF(D178,"*"&amp;$T$9:$T$15&amp;"*")),"Female","Male")</f>
        <v>Female</v>
      </c>
      <c r="G178">
        <v>50</v>
      </c>
      <c r="H178">
        <v>0</v>
      </c>
      <c r="I178">
        <v>0</v>
      </c>
      <c r="J178">
        <v>1</v>
      </c>
      <c r="K178">
        <v>28.712499999999999</v>
      </c>
      <c r="L178">
        <f t="shared" si="11"/>
        <v>1</v>
      </c>
      <c r="M178">
        <f t="shared" si="12"/>
        <v>50</v>
      </c>
      <c r="N178" t="str">
        <f t="shared" si="13"/>
        <v>Adult</v>
      </c>
      <c r="O178">
        <f t="shared" si="14"/>
        <v>28.71</v>
      </c>
    </row>
    <row r="179" spans="1:15" x14ac:dyDescent="0.3">
      <c r="A179">
        <v>178</v>
      </c>
      <c r="B179">
        <v>0</v>
      </c>
      <c r="C179" t="str">
        <f t="shared" si="10"/>
        <v>No</v>
      </c>
      <c r="D179" t="s">
        <v>956</v>
      </c>
      <c r="E179" t="s">
        <v>1139</v>
      </c>
      <c r="F179" t="str" cm="1">
        <f t="array" ref="F179">IF(OR(COUNTIF(D179,"*"&amp;$T$9:$T$15&amp;"*")),"Female","Male")</f>
        <v>Male</v>
      </c>
      <c r="G179">
        <v>30</v>
      </c>
      <c r="H179">
        <v>0</v>
      </c>
      <c r="I179">
        <v>0</v>
      </c>
      <c r="J179">
        <v>2</v>
      </c>
      <c r="K179">
        <v>13</v>
      </c>
      <c r="L179">
        <f t="shared" si="11"/>
        <v>0</v>
      </c>
      <c r="M179">
        <f t="shared" si="12"/>
        <v>30</v>
      </c>
      <c r="N179" t="str">
        <f t="shared" si="13"/>
        <v>Adult</v>
      </c>
      <c r="O179">
        <f t="shared" si="14"/>
        <v>13</v>
      </c>
    </row>
    <row r="180" spans="1:15" x14ac:dyDescent="0.3">
      <c r="A180">
        <v>179</v>
      </c>
      <c r="B180">
        <v>0</v>
      </c>
      <c r="C180" t="str">
        <f t="shared" si="10"/>
        <v>No</v>
      </c>
      <c r="D180" t="s">
        <v>956</v>
      </c>
      <c r="E180" t="s">
        <v>1140</v>
      </c>
      <c r="F180" t="str" cm="1">
        <f t="array" ref="F180">IF(OR(COUNTIF(D180,"*"&amp;$T$9:$T$15&amp;"*")),"Female","Male")</f>
        <v>Male</v>
      </c>
      <c r="G180">
        <v>36</v>
      </c>
      <c r="H180">
        <v>0</v>
      </c>
      <c r="I180">
        <v>0</v>
      </c>
      <c r="J180">
        <v>3</v>
      </c>
      <c r="K180">
        <v>0</v>
      </c>
      <c r="L180">
        <f t="shared" si="11"/>
        <v>0</v>
      </c>
      <c r="M180">
        <f t="shared" si="12"/>
        <v>36</v>
      </c>
      <c r="N180" t="str">
        <f t="shared" si="13"/>
        <v>Adult</v>
      </c>
      <c r="O180">
        <f t="shared" si="14"/>
        <v>0</v>
      </c>
    </row>
    <row r="181" spans="1:15" x14ac:dyDescent="0.3">
      <c r="A181">
        <v>180</v>
      </c>
      <c r="B181">
        <v>0</v>
      </c>
      <c r="C181" t="str">
        <f t="shared" si="10"/>
        <v>No</v>
      </c>
      <c r="D181" t="s">
        <v>960</v>
      </c>
      <c r="E181" t="s">
        <v>1141</v>
      </c>
      <c r="F181" t="str" cm="1">
        <f t="array" ref="F181">IF(OR(COUNTIF(D181,"*"&amp;$T$9:$T$15&amp;"*")),"Female","Male")</f>
        <v>Female</v>
      </c>
      <c r="G181">
        <v>8</v>
      </c>
      <c r="H181">
        <v>8</v>
      </c>
      <c r="I181">
        <v>2</v>
      </c>
      <c r="J181">
        <v>3</v>
      </c>
      <c r="K181">
        <v>69.55</v>
      </c>
      <c r="L181">
        <f t="shared" si="11"/>
        <v>1</v>
      </c>
      <c r="M181">
        <f t="shared" si="12"/>
        <v>8</v>
      </c>
      <c r="N181" t="str">
        <f t="shared" si="13"/>
        <v>Child</v>
      </c>
      <c r="O181">
        <f t="shared" si="14"/>
        <v>69.55</v>
      </c>
    </row>
    <row r="182" spans="1:15" x14ac:dyDescent="0.3">
      <c r="A182">
        <v>181</v>
      </c>
      <c r="B182">
        <v>0</v>
      </c>
      <c r="C182" t="str">
        <f t="shared" si="10"/>
        <v>No</v>
      </c>
      <c r="D182" t="s">
        <v>956</v>
      </c>
      <c r="E182" t="s">
        <v>1142</v>
      </c>
      <c r="F182" t="str" cm="1">
        <f t="array" ref="F182">IF(OR(COUNTIF(D182,"*"&amp;$T$9:$T$15&amp;"*")),"Female","Male")</f>
        <v>Male</v>
      </c>
      <c r="G182">
        <v>39</v>
      </c>
      <c r="H182">
        <v>0</v>
      </c>
      <c r="I182">
        <v>0</v>
      </c>
      <c r="J182">
        <v>2</v>
      </c>
      <c r="K182">
        <v>15.05</v>
      </c>
      <c r="L182">
        <f t="shared" si="11"/>
        <v>0</v>
      </c>
      <c r="M182">
        <f t="shared" si="12"/>
        <v>39</v>
      </c>
      <c r="N182" t="str">
        <f t="shared" si="13"/>
        <v>Adult</v>
      </c>
      <c r="O182">
        <f t="shared" si="14"/>
        <v>15.05</v>
      </c>
    </row>
    <row r="183" spans="1:15" x14ac:dyDescent="0.3">
      <c r="A183">
        <v>182</v>
      </c>
      <c r="B183">
        <v>0</v>
      </c>
      <c r="C183" t="str">
        <f t="shared" si="10"/>
        <v>No</v>
      </c>
      <c r="D183" t="s">
        <v>966</v>
      </c>
      <c r="E183" t="s">
        <v>1143</v>
      </c>
      <c r="F183" t="str" cm="1">
        <f t="array" ref="F183">IF(OR(COUNTIF(D183,"*"&amp;$T$9:$T$15&amp;"*")),"Female","Male")</f>
        <v>Male</v>
      </c>
      <c r="G183">
        <v>9</v>
      </c>
      <c r="H183">
        <v>4</v>
      </c>
      <c r="I183">
        <v>2</v>
      </c>
      <c r="J183">
        <v>3</v>
      </c>
      <c r="K183">
        <v>31.387499999999999</v>
      </c>
      <c r="L183">
        <f t="shared" si="11"/>
        <v>0</v>
      </c>
      <c r="M183">
        <f t="shared" si="12"/>
        <v>9</v>
      </c>
      <c r="N183" t="str">
        <f t="shared" si="13"/>
        <v>Child</v>
      </c>
      <c r="O183">
        <f t="shared" si="14"/>
        <v>31.39</v>
      </c>
    </row>
    <row r="184" spans="1:15" x14ac:dyDescent="0.3">
      <c r="A184">
        <v>183</v>
      </c>
      <c r="B184">
        <v>1</v>
      </c>
      <c r="C184" t="str">
        <f t="shared" si="10"/>
        <v>Yes</v>
      </c>
      <c r="D184" t="s">
        <v>966</v>
      </c>
      <c r="E184" t="s">
        <v>1144</v>
      </c>
      <c r="F184" t="str" cm="1">
        <f t="array" ref="F184">IF(OR(COUNTIF(D184,"*"&amp;$T$9:$T$15&amp;"*")),"Female","Male")</f>
        <v>Male</v>
      </c>
      <c r="G184">
        <v>1</v>
      </c>
      <c r="H184">
        <v>2</v>
      </c>
      <c r="I184">
        <v>1</v>
      </c>
      <c r="J184">
        <v>2</v>
      </c>
      <c r="K184">
        <v>39</v>
      </c>
      <c r="L184">
        <f t="shared" si="11"/>
        <v>0</v>
      </c>
      <c r="M184">
        <f t="shared" si="12"/>
        <v>1</v>
      </c>
      <c r="N184" t="str">
        <f t="shared" si="13"/>
        <v>Child</v>
      </c>
      <c r="O184">
        <f t="shared" si="14"/>
        <v>39</v>
      </c>
    </row>
    <row r="185" spans="1:15" x14ac:dyDescent="0.3">
      <c r="A185">
        <v>184</v>
      </c>
      <c r="B185">
        <v>1</v>
      </c>
      <c r="C185" t="str">
        <f t="shared" si="10"/>
        <v>Yes</v>
      </c>
      <c r="D185" t="s">
        <v>960</v>
      </c>
      <c r="E185" t="s">
        <v>1145</v>
      </c>
      <c r="F185" t="str" cm="1">
        <f t="array" ref="F185">IF(OR(COUNTIF(D185,"*"&amp;$T$9:$T$15&amp;"*")),"Female","Male")</f>
        <v>Female</v>
      </c>
      <c r="G185">
        <v>4</v>
      </c>
      <c r="H185">
        <v>0</v>
      </c>
      <c r="I185">
        <v>2</v>
      </c>
      <c r="J185">
        <v>3</v>
      </c>
      <c r="K185">
        <v>22.024999999999999</v>
      </c>
      <c r="L185">
        <f t="shared" si="11"/>
        <v>1</v>
      </c>
      <c r="M185">
        <f t="shared" si="12"/>
        <v>4</v>
      </c>
      <c r="N185" t="str">
        <f t="shared" si="13"/>
        <v>Child</v>
      </c>
      <c r="O185">
        <f t="shared" si="14"/>
        <v>22.03</v>
      </c>
    </row>
    <row r="186" spans="1:15" x14ac:dyDescent="0.3">
      <c r="A186">
        <v>185</v>
      </c>
      <c r="B186">
        <v>0</v>
      </c>
      <c r="C186" t="str">
        <f t="shared" si="10"/>
        <v>No</v>
      </c>
      <c r="D186" t="s">
        <v>956</v>
      </c>
      <c r="E186" t="s">
        <v>1146</v>
      </c>
      <c r="F186" t="str" cm="1">
        <f t="array" ref="F186">IF(OR(COUNTIF(D186,"*"&amp;$T$9:$T$15&amp;"*")),"Female","Male")</f>
        <v>Male</v>
      </c>
      <c r="G186">
        <v>39</v>
      </c>
      <c r="H186">
        <v>0</v>
      </c>
      <c r="I186">
        <v>0</v>
      </c>
      <c r="J186">
        <v>1</v>
      </c>
      <c r="K186">
        <v>50</v>
      </c>
      <c r="L186">
        <f t="shared" si="11"/>
        <v>0</v>
      </c>
      <c r="M186">
        <f t="shared" si="12"/>
        <v>39</v>
      </c>
      <c r="N186" t="str">
        <f t="shared" si="13"/>
        <v>Adult</v>
      </c>
      <c r="O186">
        <f t="shared" si="14"/>
        <v>50</v>
      </c>
    </row>
    <row r="187" spans="1:15" x14ac:dyDescent="0.3">
      <c r="A187">
        <v>186</v>
      </c>
      <c r="B187">
        <v>1</v>
      </c>
      <c r="C187" t="str">
        <f t="shared" si="10"/>
        <v>Yes</v>
      </c>
      <c r="D187" t="s">
        <v>958</v>
      </c>
      <c r="E187" t="s">
        <v>1147</v>
      </c>
      <c r="F187" t="str" cm="1">
        <f t="array" ref="F187">IF(OR(COUNTIF(D187,"*"&amp;$T$9:$T$15&amp;"*")),"Female","Male")</f>
        <v>Female</v>
      </c>
      <c r="G187">
        <v>26</v>
      </c>
      <c r="H187">
        <v>1</v>
      </c>
      <c r="I187">
        <v>0</v>
      </c>
      <c r="J187">
        <v>3</v>
      </c>
      <c r="K187">
        <v>15.5</v>
      </c>
      <c r="L187">
        <f t="shared" si="11"/>
        <v>1</v>
      </c>
      <c r="M187">
        <f t="shared" si="12"/>
        <v>26</v>
      </c>
      <c r="N187" t="str">
        <f t="shared" si="13"/>
        <v>Adult</v>
      </c>
      <c r="O187">
        <f t="shared" si="14"/>
        <v>15.5</v>
      </c>
    </row>
    <row r="188" spans="1:15" x14ac:dyDescent="0.3">
      <c r="A188">
        <v>187</v>
      </c>
      <c r="B188">
        <v>1</v>
      </c>
      <c r="C188" t="str">
        <f t="shared" si="10"/>
        <v>Yes</v>
      </c>
      <c r="D188" t="s">
        <v>956</v>
      </c>
      <c r="E188" t="s">
        <v>1148</v>
      </c>
      <c r="F188" t="str" cm="1">
        <f t="array" ref="F188">IF(OR(COUNTIF(D188,"*"&amp;$T$9:$T$15&amp;"*")),"Female","Male")</f>
        <v>Male</v>
      </c>
      <c r="G188">
        <v>45</v>
      </c>
      <c r="H188">
        <v>0</v>
      </c>
      <c r="I188">
        <v>0</v>
      </c>
      <c r="J188">
        <v>1</v>
      </c>
      <c r="K188">
        <v>26.55</v>
      </c>
      <c r="L188">
        <f t="shared" si="11"/>
        <v>0</v>
      </c>
      <c r="M188">
        <f t="shared" si="12"/>
        <v>45</v>
      </c>
      <c r="N188" t="str">
        <f t="shared" si="13"/>
        <v>Adult</v>
      </c>
      <c r="O188">
        <f t="shared" si="14"/>
        <v>26.55</v>
      </c>
    </row>
    <row r="189" spans="1:15" x14ac:dyDescent="0.3">
      <c r="A189">
        <v>188</v>
      </c>
      <c r="B189">
        <v>0</v>
      </c>
      <c r="C189" t="str">
        <f t="shared" si="10"/>
        <v>No</v>
      </c>
      <c r="D189" t="s">
        <v>956</v>
      </c>
      <c r="E189" t="s">
        <v>1149</v>
      </c>
      <c r="F189" t="str" cm="1">
        <f t="array" ref="F189">IF(OR(COUNTIF(D189,"*"&amp;$T$9:$T$15&amp;"*")),"Female","Male")</f>
        <v>Male</v>
      </c>
      <c r="G189">
        <v>40</v>
      </c>
      <c r="H189">
        <v>1</v>
      </c>
      <c r="I189">
        <v>1</v>
      </c>
      <c r="J189">
        <v>3</v>
      </c>
      <c r="K189">
        <v>15.5</v>
      </c>
      <c r="L189">
        <f t="shared" si="11"/>
        <v>0</v>
      </c>
      <c r="M189">
        <f t="shared" si="12"/>
        <v>40</v>
      </c>
      <c r="N189" t="str">
        <f t="shared" si="13"/>
        <v>Adult</v>
      </c>
      <c r="O189">
        <f t="shared" si="14"/>
        <v>15.5</v>
      </c>
    </row>
    <row r="190" spans="1:15" x14ac:dyDescent="0.3">
      <c r="A190">
        <v>189</v>
      </c>
      <c r="B190">
        <v>0</v>
      </c>
      <c r="C190" t="str">
        <f t="shared" si="10"/>
        <v>No</v>
      </c>
      <c r="D190" t="s">
        <v>956</v>
      </c>
      <c r="E190" t="s">
        <v>1150</v>
      </c>
      <c r="F190" t="str" cm="1">
        <f t="array" ref="F190">IF(OR(COUNTIF(D190,"*"&amp;$T$9:$T$15&amp;"*")),"Female","Male")</f>
        <v>Male</v>
      </c>
      <c r="G190">
        <v>36</v>
      </c>
      <c r="H190">
        <v>0</v>
      </c>
      <c r="I190">
        <v>0</v>
      </c>
      <c r="J190">
        <v>3</v>
      </c>
      <c r="K190">
        <v>7.8958000000000004</v>
      </c>
      <c r="L190">
        <f t="shared" si="11"/>
        <v>0</v>
      </c>
      <c r="M190">
        <f t="shared" si="12"/>
        <v>36</v>
      </c>
      <c r="N190" t="str">
        <f t="shared" si="13"/>
        <v>Adult</v>
      </c>
      <c r="O190">
        <f t="shared" si="14"/>
        <v>7.9</v>
      </c>
    </row>
    <row r="191" spans="1:15" x14ac:dyDescent="0.3">
      <c r="A191">
        <v>190</v>
      </c>
      <c r="B191">
        <v>1</v>
      </c>
      <c r="C191" t="str">
        <f t="shared" si="10"/>
        <v>Yes</v>
      </c>
      <c r="D191" t="s">
        <v>958</v>
      </c>
      <c r="E191" t="s">
        <v>1151</v>
      </c>
      <c r="F191" t="str" cm="1">
        <f t="array" ref="F191">IF(OR(COUNTIF(D191,"*"&amp;$T$9:$T$15&amp;"*")),"Female","Male")</f>
        <v>Female</v>
      </c>
      <c r="G191">
        <v>32</v>
      </c>
      <c r="H191">
        <v>0</v>
      </c>
      <c r="I191">
        <v>0</v>
      </c>
      <c r="J191">
        <v>2</v>
      </c>
      <c r="K191">
        <v>13</v>
      </c>
      <c r="L191">
        <f t="shared" si="11"/>
        <v>1</v>
      </c>
      <c r="M191">
        <f t="shared" si="12"/>
        <v>32</v>
      </c>
      <c r="N191" t="str">
        <f t="shared" si="13"/>
        <v>Adult</v>
      </c>
      <c r="O191">
        <f t="shared" si="14"/>
        <v>13</v>
      </c>
    </row>
    <row r="192" spans="1:15" x14ac:dyDescent="0.3">
      <c r="A192">
        <v>191</v>
      </c>
      <c r="B192">
        <v>0</v>
      </c>
      <c r="C192" t="str">
        <f t="shared" si="10"/>
        <v>No</v>
      </c>
      <c r="D192" t="s">
        <v>956</v>
      </c>
      <c r="E192" t="s">
        <v>1152</v>
      </c>
      <c r="F192" t="str" cm="1">
        <f t="array" ref="F192">IF(OR(COUNTIF(D192,"*"&amp;$T$9:$T$15&amp;"*")),"Female","Male")</f>
        <v>Male</v>
      </c>
      <c r="G192">
        <v>19</v>
      </c>
      <c r="H192">
        <v>0</v>
      </c>
      <c r="I192">
        <v>0</v>
      </c>
      <c r="J192">
        <v>2</v>
      </c>
      <c r="K192">
        <v>13</v>
      </c>
      <c r="L192">
        <f t="shared" si="11"/>
        <v>0</v>
      </c>
      <c r="M192">
        <f t="shared" si="12"/>
        <v>19</v>
      </c>
      <c r="N192" t="str">
        <f t="shared" si="13"/>
        <v>Adult</v>
      </c>
      <c r="O192">
        <f t="shared" si="14"/>
        <v>13</v>
      </c>
    </row>
    <row r="193" spans="1:15" x14ac:dyDescent="0.3">
      <c r="A193">
        <v>192</v>
      </c>
      <c r="B193">
        <v>1</v>
      </c>
      <c r="C193" t="str">
        <f t="shared" si="10"/>
        <v>Yes</v>
      </c>
      <c r="D193" t="s">
        <v>960</v>
      </c>
      <c r="E193" t="s">
        <v>1153</v>
      </c>
      <c r="F193" t="str" cm="1">
        <f t="array" ref="F193">IF(OR(COUNTIF(D193,"*"&amp;$T$9:$T$15&amp;"*")),"Female","Male")</f>
        <v>Female</v>
      </c>
      <c r="G193">
        <v>19</v>
      </c>
      <c r="H193">
        <v>1</v>
      </c>
      <c r="I193">
        <v>0</v>
      </c>
      <c r="J193">
        <v>3</v>
      </c>
      <c r="K193">
        <v>7.8541999999999996</v>
      </c>
      <c r="L193">
        <f t="shared" si="11"/>
        <v>1</v>
      </c>
      <c r="M193">
        <f t="shared" si="12"/>
        <v>19</v>
      </c>
      <c r="N193" t="str">
        <f t="shared" si="13"/>
        <v>Adult</v>
      </c>
      <c r="O193">
        <f t="shared" si="14"/>
        <v>7.85</v>
      </c>
    </row>
    <row r="194" spans="1:15" x14ac:dyDescent="0.3">
      <c r="A194">
        <v>193</v>
      </c>
      <c r="B194">
        <v>1</v>
      </c>
      <c r="C194" t="str">
        <f t="shared" si="10"/>
        <v>Yes</v>
      </c>
      <c r="D194" t="s">
        <v>966</v>
      </c>
      <c r="E194" t="s">
        <v>1154</v>
      </c>
      <c r="F194" t="str" cm="1">
        <f t="array" ref="F194">IF(OR(COUNTIF(D194,"*"&amp;$T$9:$T$15&amp;"*")),"Female","Male")</f>
        <v>Male</v>
      </c>
      <c r="G194">
        <v>3</v>
      </c>
      <c r="H194">
        <v>1</v>
      </c>
      <c r="I194">
        <v>1</v>
      </c>
      <c r="J194">
        <v>2</v>
      </c>
      <c r="K194">
        <v>26</v>
      </c>
      <c r="L194">
        <f t="shared" si="11"/>
        <v>0</v>
      </c>
      <c r="M194">
        <f t="shared" si="12"/>
        <v>3</v>
      </c>
      <c r="N194" t="str">
        <f t="shared" si="13"/>
        <v>Child</v>
      </c>
      <c r="O194">
        <f t="shared" si="14"/>
        <v>26</v>
      </c>
    </row>
    <row r="195" spans="1:15" x14ac:dyDescent="0.3">
      <c r="A195">
        <v>194</v>
      </c>
      <c r="B195">
        <v>1</v>
      </c>
      <c r="C195" t="str">
        <f t="shared" ref="C195:C258" si="15">IF(B195=0,"No","Yes")</f>
        <v>Yes</v>
      </c>
      <c r="D195" t="s">
        <v>958</v>
      </c>
      <c r="E195" t="s">
        <v>1155</v>
      </c>
      <c r="F195" t="str" cm="1">
        <f t="array" ref="F195">IF(OR(COUNTIF(D195,"*"&amp;$T$9:$T$15&amp;"*")),"Female","Male")</f>
        <v>Female</v>
      </c>
      <c r="G195">
        <v>44</v>
      </c>
      <c r="H195">
        <v>0</v>
      </c>
      <c r="I195">
        <v>0</v>
      </c>
      <c r="J195">
        <v>1</v>
      </c>
      <c r="K195">
        <v>27.720800000000001</v>
      </c>
      <c r="L195">
        <f t="shared" ref="L195:L258" si="16">IF(F195 = "Male", 0, 1)</f>
        <v>1</v>
      </c>
      <c r="M195">
        <f t="shared" ref="M195:M258" si="17">ROUND(G195, 0)</f>
        <v>44</v>
      </c>
      <c r="N195" t="str">
        <f t="shared" ref="N195:N258" si="18">IF(G195&lt;=16,"Child","Adult")</f>
        <v>Adult</v>
      </c>
      <c r="O195">
        <f t="shared" ref="O195:O258" si="19">ROUND(K195, 2)</f>
        <v>27.72</v>
      </c>
    </row>
    <row r="196" spans="1:15" x14ac:dyDescent="0.3">
      <c r="A196">
        <v>195</v>
      </c>
      <c r="B196">
        <v>1</v>
      </c>
      <c r="C196" t="str">
        <f t="shared" si="15"/>
        <v>Yes</v>
      </c>
      <c r="D196" t="s">
        <v>960</v>
      </c>
      <c r="E196" t="s">
        <v>1156</v>
      </c>
      <c r="F196" t="str" cm="1">
        <f t="array" ref="F196">IF(OR(COUNTIF(D196,"*"&amp;$T$9:$T$15&amp;"*")),"Female","Male")</f>
        <v>Female</v>
      </c>
      <c r="G196">
        <v>58</v>
      </c>
      <c r="H196">
        <v>0</v>
      </c>
      <c r="I196">
        <v>0</v>
      </c>
      <c r="J196">
        <v>1</v>
      </c>
      <c r="K196">
        <v>146.52080000000001</v>
      </c>
      <c r="L196">
        <f t="shared" si="16"/>
        <v>1</v>
      </c>
      <c r="M196">
        <f t="shared" si="17"/>
        <v>58</v>
      </c>
      <c r="N196" t="str">
        <f t="shared" si="18"/>
        <v>Adult</v>
      </c>
      <c r="O196">
        <f t="shared" si="19"/>
        <v>146.52000000000001</v>
      </c>
    </row>
    <row r="197" spans="1:15" x14ac:dyDescent="0.3">
      <c r="A197">
        <v>196</v>
      </c>
      <c r="B197">
        <v>0</v>
      </c>
      <c r="C197" t="str">
        <f t="shared" si="15"/>
        <v>No</v>
      </c>
      <c r="D197" t="s">
        <v>956</v>
      </c>
      <c r="E197" t="s">
        <v>1157</v>
      </c>
      <c r="F197" t="str" cm="1">
        <f t="array" ref="F197">IF(OR(COUNTIF(D197,"*"&amp;$T$9:$T$15&amp;"*")),"Female","Male")</f>
        <v>Male</v>
      </c>
      <c r="G197">
        <v>28</v>
      </c>
      <c r="H197">
        <v>0</v>
      </c>
      <c r="I197">
        <v>0</v>
      </c>
      <c r="J197">
        <v>3</v>
      </c>
      <c r="K197">
        <v>7.75</v>
      </c>
      <c r="L197">
        <f t="shared" si="16"/>
        <v>0</v>
      </c>
      <c r="M197">
        <f t="shared" si="17"/>
        <v>28</v>
      </c>
      <c r="N197" t="str">
        <f t="shared" si="18"/>
        <v>Adult</v>
      </c>
      <c r="O197">
        <f t="shared" si="19"/>
        <v>7.75</v>
      </c>
    </row>
    <row r="198" spans="1:15" x14ac:dyDescent="0.3">
      <c r="A198">
        <v>197</v>
      </c>
      <c r="B198">
        <v>0</v>
      </c>
      <c r="C198" t="str">
        <f t="shared" si="15"/>
        <v>No</v>
      </c>
      <c r="D198" t="s">
        <v>956</v>
      </c>
      <c r="E198" t="s">
        <v>1158</v>
      </c>
      <c r="F198" t="str" cm="1">
        <f t="array" ref="F198">IF(OR(COUNTIF(D198,"*"&amp;$T$9:$T$15&amp;"*")),"Female","Male")</f>
        <v>Male</v>
      </c>
      <c r="G198">
        <v>42</v>
      </c>
      <c r="H198">
        <v>0</v>
      </c>
      <c r="I198">
        <v>1</v>
      </c>
      <c r="J198">
        <v>3</v>
      </c>
      <c r="K198">
        <v>8.4041999999999994</v>
      </c>
      <c r="L198">
        <f t="shared" si="16"/>
        <v>0</v>
      </c>
      <c r="M198">
        <f t="shared" si="17"/>
        <v>42</v>
      </c>
      <c r="N198" t="str">
        <f t="shared" si="18"/>
        <v>Adult</v>
      </c>
      <c r="O198">
        <f t="shared" si="19"/>
        <v>8.4</v>
      </c>
    </row>
    <row r="199" spans="1:15" x14ac:dyDescent="0.3">
      <c r="A199">
        <v>198</v>
      </c>
      <c r="B199">
        <v>1</v>
      </c>
      <c r="C199" t="str">
        <f t="shared" si="15"/>
        <v>Yes</v>
      </c>
      <c r="D199" t="s">
        <v>960</v>
      </c>
      <c r="E199" t="s">
        <v>1159</v>
      </c>
      <c r="F199" t="str" cm="1">
        <f t="array" ref="F199">IF(OR(COUNTIF(D199,"*"&amp;$T$9:$T$15&amp;"*")),"Female","Male")</f>
        <v>Female</v>
      </c>
      <c r="G199">
        <v>21</v>
      </c>
      <c r="H199">
        <v>0</v>
      </c>
      <c r="I199">
        <v>0</v>
      </c>
      <c r="J199">
        <v>3</v>
      </c>
      <c r="K199">
        <v>7.75</v>
      </c>
      <c r="L199">
        <f t="shared" si="16"/>
        <v>1</v>
      </c>
      <c r="M199">
        <f t="shared" si="17"/>
        <v>21</v>
      </c>
      <c r="N199" t="str">
        <f t="shared" si="18"/>
        <v>Adult</v>
      </c>
      <c r="O199">
        <f t="shared" si="19"/>
        <v>7.75</v>
      </c>
    </row>
    <row r="200" spans="1:15" x14ac:dyDescent="0.3">
      <c r="A200">
        <v>199</v>
      </c>
      <c r="B200">
        <v>0</v>
      </c>
      <c r="C200" t="str">
        <f t="shared" si="15"/>
        <v>No</v>
      </c>
      <c r="D200" t="s">
        <v>960</v>
      </c>
      <c r="E200" t="s">
        <v>1160</v>
      </c>
      <c r="F200" t="str" cm="1">
        <f t="array" ref="F200">IF(OR(COUNTIF(D200,"*"&amp;$T$9:$T$15&amp;"*")),"Female","Male")</f>
        <v>Female</v>
      </c>
      <c r="G200">
        <v>24</v>
      </c>
      <c r="H200">
        <v>0</v>
      </c>
      <c r="I200">
        <v>0</v>
      </c>
      <c r="J200">
        <v>2</v>
      </c>
      <c r="K200">
        <v>13</v>
      </c>
      <c r="L200">
        <f t="shared" si="16"/>
        <v>1</v>
      </c>
      <c r="M200">
        <f t="shared" si="17"/>
        <v>24</v>
      </c>
      <c r="N200" t="str">
        <f t="shared" si="18"/>
        <v>Adult</v>
      </c>
      <c r="O200">
        <f t="shared" si="19"/>
        <v>13</v>
      </c>
    </row>
    <row r="201" spans="1:15" x14ac:dyDescent="0.3">
      <c r="A201">
        <v>200</v>
      </c>
      <c r="B201">
        <v>0</v>
      </c>
      <c r="C201" t="str">
        <f t="shared" si="15"/>
        <v>No</v>
      </c>
      <c r="D201" t="s">
        <v>956</v>
      </c>
      <c r="E201" t="s">
        <v>1161</v>
      </c>
      <c r="F201" t="str" cm="1">
        <f t="array" ref="F201">IF(OR(COUNTIF(D201,"*"&amp;$T$9:$T$15&amp;"*")),"Female","Male")</f>
        <v>Male</v>
      </c>
      <c r="G201">
        <v>28</v>
      </c>
      <c r="H201">
        <v>0</v>
      </c>
      <c r="I201">
        <v>0</v>
      </c>
      <c r="J201">
        <v>3</v>
      </c>
      <c r="K201">
        <v>9.5</v>
      </c>
      <c r="L201">
        <f t="shared" si="16"/>
        <v>0</v>
      </c>
      <c r="M201">
        <f t="shared" si="17"/>
        <v>28</v>
      </c>
      <c r="N201" t="str">
        <f t="shared" si="18"/>
        <v>Adult</v>
      </c>
      <c r="O201">
        <f t="shared" si="19"/>
        <v>9.5</v>
      </c>
    </row>
    <row r="202" spans="1:15" x14ac:dyDescent="0.3">
      <c r="A202">
        <v>201</v>
      </c>
      <c r="B202">
        <v>0</v>
      </c>
      <c r="C202" t="str">
        <f t="shared" si="15"/>
        <v>No</v>
      </c>
      <c r="D202" t="s">
        <v>956</v>
      </c>
      <c r="E202" t="s">
        <v>1162</v>
      </c>
      <c r="F202" t="str" cm="1">
        <f t="array" ref="F202">IF(OR(COUNTIF(D202,"*"&amp;$T$9:$T$15&amp;"*")),"Female","Male")</f>
        <v>Male</v>
      </c>
      <c r="G202">
        <v>17</v>
      </c>
      <c r="H202">
        <v>8</v>
      </c>
      <c r="I202">
        <v>2</v>
      </c>
      <c r="J202">
        <v>3</v>
      </c>
      <c r="K202">
        <v>69.55</v>
      </c>
      <c r="L202">
        <f t="shared" si="16"/>
        <v>0</v>
      </c>
      <c r="M202">
        <f t="shared" si="17"/>
        <v>17</v>
      </c>
      <c r="N202" t="str">
        <f t="shared" si="18"/>
        <v>Adult</v>
      </c>
      <c r="O202">
        <f t="shared" si="19"/>
        <v>69.55</v>
      </c>
    </row>
    <row r="203" spans="1:15" x14ac:dyDescent="0.3">
      <c r="A203">
        <v>202</v>
      </c>
      <c r="B203">
        <v>0</v>
      </c>
      <c r="C203" t="str">
        <f t="shared" si="15"/>
        <v>No</v>
      </c>
      <c r="D203" t="s">
        <v>956</v>
      </c>
      <c r="E203" t="s">
        <v>1163</v>
      </c>
      <c r="F203" t="str" cm="1">
        <f t="array" ref="F203">IF(OR(COUNTIF(D203,"*"&amp;$T$9:$T$15&amp;"*")),"Female","Male")</f>
        <v>Male</v>
      </c>
      <c r="G203">
        <v>34</v>
      </c>
      <c r="H203">
        <v>0</v>
      </c>
      <c r="I203">
        <v>0</v>
      </c>
      <c r="J203">
        <v>3</v>
      </c>
      <c r="K203">
        <v>6.4958</v>
      </c>
      <c r="L203">
        <f t="shared" si="16"/>
        <v>0</v>
      </c>
      <c r="M203">
        <f t="shared" si="17"/>
        <v>34</v>
      </c>
      <c r="N203" t="str">
        <f t="shared" si="18"/>
        <v>Adult</v>
      </c>
      <c r="O203">
        <f t="shared" si="19"/>
        <v>6.5</v>
      </c>
    </row>
    <row r="204" spans="1:15" x14ac:dyDescent="0.3">
      <c r="A204">
        <v>203</v>
      </c>
      <c r="B204">
        <v>0</v>
      </c>
      <c r="C204" t="str">
        <f t="shared" si="15"/>
        <v>No</v>
      </c>
      <c r="D204" t="s">
        <v>956</v>
      </c>
      <c r="E204" t="s">
        <v>1164</v>
      </c>
      <c r="F204" t="str" cm="1">
        <f t="array" ref="F204">IF(OR(COUNTIF(D204,"*"&amp;$T$9:$T$15&amp;"*")),"Female","Male")</f>
        <v>Male</v>
      </c>
      <c r="G204">
        <v>45.5</v>
      </c>
      <c r="H204">
        <v>0</v>
      </c>
      <c r="I204">
        <v>0</v>
      </c>
      <c r="J204">
        <v>3</v>
      </c>
      <c r="K204">
        <v>7.2249999999999996</v>
      </c>
      <c r="L204">
        <f t="shared" si="16"/>
        <v>0</v>
      </c>
      <c r="M204">
        <f t="shared" si="17"/>
        <v>46</v>
      </c>
      <c r="N204" t="str">
        <f t="shared" si="18"/>
        <v>Adult</v>
      </c>
      <c r="O204">
        <f t="shared" si="19"/>
        <v>7.23</v>
      </c>
    </row>
    <row r="205" spans="1:15" x14ac:dyDescent="0.3">
      <c r="A205">
        <v>204</v>
      </c>
      <c r="B205">
        <v>1</v>
      </c>
      <c r="C205" t="str">
        <f t="shared" si="15"/>
        <v>Yes</v>
      </c>
      <c r="D205" t="s">
        <v>956</v>
      </c>
      <c r="E205" t="s">
        <v>1165</v>
      </c>
      <c r="F205" t="str" cm="1">
        <f t="array" ref="F205">IF(OR(COUNTIF(D205,"*"&amp;$T$9:$T$15&amp;"*")),"Female","Male")</f>
        <v>Male</v>
      </c>
      <c r="G205">
        <v>18</v>
      </c>
      <c r="H205">
        <v>0</v>
      </c>
      <c r="I205">
        <v>0</v>
      </c>
      <c r="J205">
        <v>3</v>
      </c>
      <c r="K205">
        <v>8.0500000000000007</v>
      </c>
      <c r="L205">
        <f t="shared" si="16"/>
        <v>0</v>
      </c>
      <c r="M205">
        <f t="shared" si="17"/>
        <v>18</v>
      </c>
      <c r="N205" t="str">
        <f t="shared" si="18"/>
        <v>Adult</v>
      </c>
      <c r="O205">
        <f t="shared" si="19"/>
        <v>8.0500000000000007</v>
      </c>
    </row>
    <row r="206" spans="1:15" x14ac:dyDescent="0.3">
      <c r="A206">
        <v>205</v>
      </c>
      <c r="B206">
        <v>0</v>
      </c>
      <c r="C206" t="str">
        <f t="shared" si="15"/>
        <v>No</v>
      </c>
      <c r="D206" t="s">
        <v>960</v>
      </c>
      <c r="E206" t="s">
        <v>1166</v>
      </c>
      <c r="F206" t="str" cm="1">
        <f t="array" ref="F206">IF(OR(COUNTIF(D206,"*"&amp;$T$9:$T$15&amp;"*")),"Female","Male")</f>
        <v>Female</v>
      </c>
      <c r="G206">
        <v>2</v>
      </c>
      <c r="H206">
        <v>0</v>
      </c>
      <c r="I206">
        <v>1</v>
      </c>
      <c r="J206">
        <v>3</v>
      </c>
      <c r="K206">
        <v>10.4625</v>
      </c>
      <c r="L206">
        <f t="shared" si="16"/>
        <v>1</v>
      </c>
      <c r="M206">
        <f t="shared" si="17"/>
        <v>2</v>
      </c>
      <c r="N206" t="str">
        <f t="shared" si="18"/>
        <v>Child</v>
      </c>
      <c r="O206">
        <f t="shared" si="19"/>
        <v>10.46</v>
      </c>
    </row>
    <row r="207" spans="1:15" x14ac:dyDescent="0.3">
      <c r="A207">
        <v>206</v>
      </c>
      <c r="B207">
        <v>0</v>
      </c>
      <c r="C207" t="str">
        <f t="shared" si="15"/>
        <v>No</v>
      </c>
      <c r="D207" t="s">
        <v>956</v>
      </c>
      <c r="E207" t="s">
        <v>1167</v>
      </c>
      <c r="F207" t="str" cm="1">
        <f t="array" ref="F207">IF(OR(COUNTIF(D207,"*"&amp;$T$9:$T$15&amp;"*")),"Female","Male")</f>
        <v>Male</v>
      </c>
      <c r="G207">
        <v>32</v>
      </c>
      <c r="H207">
        <v>1</v>
      </c>
      <c r="I207">
        <v>0</v>
      </c>
      <c r="J207">
        <v>3</v>
      </c>
      <c r="K207">
        <v>15.85</v>
      </c>
      <c r="L207">
        <f t="shared" si="16"/>
        <v>0</v>
      </c>
      <c r="M207">
        <f t="shared" si="17"/>
        <v>32</v>
      </c>
      <c r="N207" t="str">
        <f t="shared" si="18"/>
        <v>Adult</v>
      </c>
      <c r="O207">
        <f t="shared" si="19"/>
        <v>15.85</v>
      </c>
    </row>
    <row r="208" spans="1:15" x14ac:dyDescent="0.3">
      <c r="A208">
        <v>207</v>
      </c>
      <c r="B208">
        <v>1</v>
      </c>
      <c r="C208" t="str">
        <f t="shared" si="15"/>
        <v>Yes</v>
      </c>
      <c r="D208" t="s">
        <v>956</v>
      </c>
      <c r="E208" t="s">
        <v>1168</v>
      </c>
      <c r="F208" t="str" cm="1">
        <f t="array" ref="F208">IF(OR(COUNTIF(D208,"*"&amp;$T$9:$T$15&amp;"*")),"Female","Male")</f>
        <v>Male</v>
      </c>
      <c r="G208">
        <v>26</v>
      </c>
      <c r="H208">
        <v>0</v>
      </c>
      <c r="I208">
        <v>0</v>
      </c>
      <c r="J208">
        <v>3</v>
      </c>
      <c r="K208">
        <v>18.787500000000001</v>
      </c>
      <c r="L208">
        <f t="shared" si="16"/>
        <v>0</v>
      </c>
      <c r="M208">
        <f t="shared" si="17"/>
        <v>26</v>
      </c>
      <c r="N208" t="str">
        <f t="shared" si="18"/>
        <v>Adult</v>
      </c>
      <c r="O208">
        <f t="shared" si="19"/>
        <v>18.79</v>
      </c>
    </row>
    <row r="209" spans="1:15" x14ac:dyDescent="0.3">
      <c r="A209">
        <v>208</v>
      </c>
      <c r="B209">
        <v>1</v>
      </c>
      <c r="C209" t="str">
        <f t="shared" si="15"/>
        <v>Yes</v>
      </c>
      <c r="D209" t="s">
        <v>960</v>
      </c>
      <c r="E209" t="s">
        <v>1169</v>
      </c>
      <c r="F209" t="str" cm="1">
        <f t="array" ref="F209">IF(OR(COUNTIF(D209,"*"&amp;$T$9:$T$15&amp;"*")),"Female","Male")</f>
        <v>Female</v>
      </c>
      <c r="G209">
        <v>16</v>
      </c>
      <c r="H209">
        <v>0</v>
      </c>
      <c r="I209">
        <v>0</v>
      </c>
      <c r="J209">
        <v>3</v>
      </c>
      <c r="K209">
        <v>7.75</v>
      </c>
      <c r="L209">
        <f t="shared" si="16"/>
        <v>1</v>
      </c>
      <c r="M209">
        <f t="shared" si="17"/>
        <v>16</v>
      </c>
      <c r="N209" t="str">
        <f t="shared" si="18"/>
        <v>Child</v>
      </c>
      <c r="O209">
        <f t="shared" si="19"/>
        <v>7.75</v>
      </c>
    </row>
    <row r="210" spans="1:15" x14ac:dyDescent="0.3">
      <c r="A210">
        <v>209</v>
      </c>
      <c r="B210">
        <v>1</v>
      </c>
      <c r="C210" t="str">
        <f t="shared" si="15"/>
        <v>Yes</v>
      </c>
      <c r="D210" t="s">
        <v>956</v>
      </c>
      <c r="E210" t="s">
        <v>1170</v>
      </c>
      <c r="F210" t="str" cm="1">
        <f t="array" ref="F210">IF(OR(COUNTIF(D210,"*"&amp;$T$9:$T$15&amp;"*")),"Female","Male")</f>
        <v>Male</v>
      </c>
      <c r="G210">
        <v>40</v>
      </c>
      <c r="H210">
        <v>0</v>
      </c>
      <c r="I210">
        <v>0</v>
      </c>
      <c r="J210">
        <v>1</v>
      </c>
      <c r="K210">
        <v>31</v>
      </c>
      <c r="L210">
        <f t="shared" si="16"/>
        <v>0</v>
      </c>
      <c r="M210">
        <f t="shared" si="17"/>
        <v>40</v>
      </c>
      <c r="N210" t="str">
        <f t="shared" si="18"/>
        <v>Adult</v>
      </c>
      <c r="O210">
        <f t="shared" si="19"/>
        <v>31</v>
      </c>
    </row>
    <row r="211" spans="1:15" x14ac:dyDescent="0.3">
      <c r="A211">
        <v>210</v>
      </c>
      <c r="B211">
        <v>0</v>
      </c>
      <c r="C211" t="str">
        <f t="shared" si="15"/>
        <v>No</v>
      </c>
      <c r="D211" t="s">
        <v>956</v>
      </c>
      <c r="E211" t="s">
        <v>1171</v>
      </c>
      <c r="F211" t="str" cm="1">
        <f t="array" ref="F211">IF(OR(COUNTIF(D211,"*"&amp;$T$9:$T$15&amp;"*")),"Female","Male")</f>
        <v>Male</v>
      </c>
      <c r="G211">
        <v>24</v>
      </c>
      <c r="H211">
        <v>0</v>
      </c>
      <c r="I211">
        <v>0</v>
      </c>
      <c r="J211">
        <v>3</v>
      </c>
      <c r="K211">
        <v>7.05</v>
      </c>
      <c r="L211">
        <f t="shared" si="16"/>
        <v>0</v>
      </c>
      <c r="M211">
        <f t="shared" si="17"/>
        <v>24</v>
      </c>
      <c r="N211" t="str">
        <f t="shared" si="18"/>
        <v>Adult</v>
      </c>
      <c r="O211">
        <f t="shared" si="19"/>
        <v>7.05</v>
      </c>
    </row>
    <row r="212" spans="1:15" x14ac:dyDescent="0.3">
      <c r="A212">
        <v>211</v>
      </c>
      <c r="B212">
        <v>1</v>
      </c>
      <c r="C212" t="str">
        <f t="shared" si="15"/>
        <v>Yes</v>
      </c>
      <c r="D212" t="s">
        <v>960</v>
      </c>
      <c r="E212" t="s">
        <v>1172</v>
      </c>
      <c r="F212" t="str" cm="1">
        <f t="array" ref="F212">IF(OR(COUNTIF(D212,"*"&amp;$T$9:$T$15&amp;"*")),"Female","Male")</f>
        <v>Female</v>
      </c>
      <c r="G212">
        <v>35</v>
      </c>
      <c r="H212">
        <v>0</v>
      </c>
      <c r="I212">
        <v>0</v>
      </c>
      <c r="J212">
        <v>2</v>
      </c>
      <c r="K212">
        <v>21</v>
      </c>
      <c r="L212">
        <f t="shared" si="16"/>
        <v>1</v>
      </c>
      <c r="M212">
        <f t="shared" si="17"/>
        <v>35</v>
      </c>
      <c r="N212" t="str">
        <f t="shared" si="18"/>
        <v>Adult</v>
      </c>
      <c r="O212">
        <f t="shared" si="19"/>
        <v>21</v>
      </c>
    </row>
    <row r="213" spans="1:15" x14ac:dyDescent="0.3">
      <c r="A213">
        <v>212</v>
      </c>
      <c r="B213">
        <v>0</v>
      </c>
      <c r="C213" t="str">
        <f t="shared" si="15"/>
        <v>No</v>
      </c>
      <c r="D213" t="s">
        <v>956</v>
      </c>
      <c r="E213" t="s">
        <v>1173</v>
      </c>
      <c r="F213" t="str" cm="1">
        <f t="array" ref="F213">IF(OR(COUNTIF(D213,"*"&amp;$T$9:$T$15&amp;"*")),"Female","Male")</f>
        <v>Male</v>
      </c>
      <c r="G213">
        <v>22</v>
      </c>
      <c r="H213">
        <v>0</v>
      </c>
      <c r="I213">
        <v>0</v>
      </c>
      <c r="J213">
        <v>3</v>
      </c>
      <c r="K213">
        <v>7.25</v>
      </c>
      <c r="L213">
        <f t="shared" si="16"/>
        <v>0</v>
      </c>
      <c r="M213">
        <f t="shared" si="17"/>
        <v>22</v>
      </c>
      <c r="N213" t="str">
        <f t="shared" si="18"/>
        <v>Adult</v>
      </c>
      <c r="O213">
        <f t="shared" si="19"/>
        <v>7.25</v>
      </c>
    </row>
    <row r="214" spans="1:15" x14ac:dyDescent="0.3">
      <c r="A214">
        <v>213</v>
      </c>
      <c r="B214">
        <v>0</v>
      </c>
      <c r="C214" t="str">
        <f t="shared" si="15"/>
        <v>No</v>
      </c>
      <c r="D214" t="s">
        <v>956</v>
      </c>
      <c r="E214" t="s">
        <v>1174</v>
      </c>
      <c r="F214" t="str" cm="1">
        <f t="array" ref="F214">IF(OR(COUNTIF(D214,"*"&amp;$T$9:$T$15&amp;"*")),"Female","Male")</f>
        <v>Male</v>
      </c>
      <c r="G214">
        <v>30</v>
      </c>
      <c r="H214">
        <v>0</v>
      </c>
      <c r="I214">
        <v>0</v>
      </c>
      <c r="J214">
        <v>2</v>
      </c>
      <c r="K214">
        <v>13</v>
      </c>
      <c r="L214">
        <f t="shared" si="16"/>
        <v>0</v>
      </c>
      <c r="M214">
        <f t="shared" si="17"/>
        <v>30</v>
      </c>
      <c r="N214" t="str">
        <f t="shared" si="18"/>
        <v>Adult</v>
      </c>
      <c r="O214">
        <f t="shared" si="19"/>
        <v>13</v>
      </c>
    </row>
    <row r="215" spans="1:15" x14ac:dyDescent="0.3">
      <c r="A215">
        <v>214</v>
      </c>
      <c r="B215">
        <v>0</v>
      </c>
      <c r="C215" t="str">
        <f t="shared" si="15"/>
        <v>No</v>
      </c>
      <c r="D215" t="s">
        <v>956</v>
      </c>
      <c r="E215" t="s">
        <v>1175</v>
      </c>
      <c r="F215" t="str" cm="1">
        <f t="array" ref="F215">IF(OR(COUNTIF(D215,"*"&amp;$T$9:$T$15&amp;"*")),"Female","Male")</f>
        <v>Male</v>
      </c>
      <c r="G215">
        <v>22</v>
      </c>
      <c r="H215">
        <v>1</v>
      </c>
      <c r="I215">
        <v>0</v>
      </c>
      <c r="J215">
        <v>3</v>
      </c>
      <c r="K215">
        <v>7.75</v>
      </c>
      <c r="L215">
        <f t="shared" si="16"/>
        <v>0</v>
      </c>
      <c r="M215">
        <f t="shared" si="17"/>
        <v>22</v>
      </c>
      <c r="N215" t="str">
        <f t="shared" si="18"/>
        <v>Adult</v>
      </c>
      <c r="O215">
        <f t="shared" si="19"/>
        <v>7.75</v>
      </c>
    </row>
    <row r="216" spans="1:15" x14ac:dyDescent="0.3">
      <c r="A216">
        <v>215</v>
      </c>
      <c r="B216">
        <v>1</v>
      </c>
      <c r="C216" t="str">
        <f t="shared" si="15"/>
        <v>Yes</v>
      </c>
      <c r="D216" t="s">
        <v>960</v>
      </c>
      <c r="E216" t="s">
        <v>1176</v>
      </c>
      <c r="F216" t="str" cm="1">
        <f t="array" ref="F216">IF(OR(COUNTIF(D216,"*"&amp;$T$9:$T$15&amp;"*")),"Female","Male")</f>
        <v>Female</v>
      </c>
      <c r="G216">
        <v>31</v>
      </c>
      <c r="H216">
        <v>1</v>
      </c>
      <c r="I216">
        <v>0</v>
      </c>
      <c r="J216">
        <v>1</v>
      </c>
      <c r="K216">
        <v>113.27500000000001</v>
      </c>
      <c r="L216">
        <f t="shared" si="16"/>
        <v>1</v>
      </c>
      <c r="M216">
        <f t="shared" si="17"/>
        <v>31</v>
      </c>
      <c r="N216" t="str">
        <f t="shared" si="18"/>
        <v>Adult</v>
      </c>
      <c r="O216">
        <f t="shared" si="19"/>
        <v>113.28</v>
      </c>
    </row>
    <row r="217" spans="1:15" x14ac:dyDescent="0.3">
      <c r="A217">
        <v>216</v>
      </c>
      <c r="B217">
        <v>1</v>
      </c>
      <c r="C217" t="str">
        <f t="shared" si="15"/>
        <v>Yes</v>
      </c>
      <c r="D217" t="s">
        <v>960</v>
      </c>
      <c r="E217" t="s">
        <v>1177</v>
      </c>
      <c r="F217" t="str" cm="1">
        <f t="array" ref="F217">IF(OR(COUNTIF(D217,"*"&amp;$T$9:$T$15&amp;"*")),"Female","Male")</f>
        <v>Female</v>
      </c>
      <c r="G217">
        <v>27</v>
      </c>
      <c r="H217">
        <v>0</v>
      </c>
      <c r="I217">
        <v>0</v>
      </c>
      <c r="J217">
        <v>3</v>
      </c>
      <c r="K217">
        <v>7.9249999999999998</v>
      </c>
      <c r="L217">
        <f t="shared" si="16"/>
        <v>1</v>
      </c>
      <c r="M217">
        <f t="shared" si="17"/>
        <v>27</v>
      </c>
      <c r="N217" t="str">
        <f t="shared" si="18"/>
        <v>Adult</v>
      </c>
      <c r="O217">
        <f t="shared" si="19"/>
        <v>7.93</v>
      </c>
    </row>
    <row r="218" spans="1:15" x14ac:dyDescent="0.3">
      <c r="A218">
        <v>217</v>
      </c>
      <c r="B218">
        <v>0</v>
      </c>
      <c r="C218" t="str">
        <f t="shared" si="15"/>
        <v>No</v>
      </c>
      <c r="D218" t="s">
        <v>956</v>
      </c>
      <c r="E218" t="s">
        <v>1178</v>
      </c>
      <c r="F218" t="str" cm="1">
        <f t="array" ref="F218">IF(OR(COUNTIF(D218,"*"&amp;$T$9:$T$15&amp;"*")),"Female","Male")</f>
        <v>Male</v>
      </c>
      <c r="G218">
        <v>42</v>
      </c>
      <c r="H218">
        <v>1</v>
      </c>
      <c r="I218">
        <v>0</v>
      </c>
      <c r="J218">
        <v>2</v>
      </c>
      <c r="K218">
        <v>27</v>
      </c>
      <c r="L218">
        <f t="shared" si="16"/>
        <v>0</v>
      </c>
      <c r="M218">
        <f t="shared" si="17"/>
        <v>42</v>
      </c>
      <c r="N218" t="str">
        <f t="shared" si="18"/>
        <v>Adult</v>
      </c>
      <c r="O218">
        <f t="shared" si="19"/>
        <v>27</v>
      </c>
    </row>
    <row r="219" spans="1:15" x14ac:dyDescent="0.3">
      <c r="A219">
        <v>218</v>
      </c>
      <c r="B219">
        <v>1</v>
      </c>
      <c r="C219" t="str">
        <f t="shared" si="15"/>
        <v>Yes</v>
      </c>
      <c r="D219" t="s">
        <v>960</v>
      </c>
      <c r="E219" t="s">
        <v>1179</v>
      </c>
      <c r="F219" t="str" cm="1">
        <f t="array" ref="F219">IF(OR(COUNTIF(D219,"*"&amp;$T$9:$T$15&amp;"*")),"Female","Male")</f>
        <v>Female</v>
      </c>
      <c r="G219">
        <v>32</v>
      </c>
      <c r="H219">
        <v>0</v>
      </c>
      <c r="I219">
        <v>0</v>
      </c>
      <c r="J219">
        <v>1</v>
      </c>
      <c r="K219">
        <v>76.291700000000006</v>
      </c>
      <c r="L219">
        <f t="shared" si="16"/>
        <v>1</v>
      </c>
      <c r="M219">
        <f t="shared" si="17"/>
        <v>32</v>
      </c>
      <c r="N219" t="str">
        <f t="shared" si="18"/>
        <v>Adult</v>
      </c>
      <c r="O219">
        <f t="shared" si="19"/>
        <v>76.290000000000006</v>
      </c>
    </row>
    <row r="220" spans="1:15" x14ac:dyDescent="0.3">
      <c r="A220">
        <v>219</v>
      </c>
      <c r="B220">
        <v>0</v>
      </c>
      <c r="C220" t="str">
        <f t="shared" si="15"/>
        <v>No</v>
      </c>
      <c r="D220" t="s">
        <v>956</v>
      </c>
      <c r="E220" t="s">
        <v>1180</v>
      </c>
      <c r="F220" t="str" cm="1">
        <f t="array" ref="F220">IF(OR(COUNTIF(D220,"*"&amp;$T$9:$T$15&amp;"*")),"Female","Male")</f>
        <v>Male</v>
      </c>
      <c r="G220">
        <v>30</v>
      </c>
      <c r="H220">
        <v>0</v>
      </c>
      <c r="I220">
        <v>0</v>
      </c>
      <c r="J220">
        <v>2</v>
      </c>
      <c r="K220">
        <v>10.5</v>
      </c>
      <c r="L220">
        <f t="shared" si="16"/>
        <v>0</v>
      </c>
      <c r="M220">
        <f t="shared" si="17"/>
        <v>30</v>
      </c>
      <c r="N220" t="str">
        <f t="shared" si="18"/>
        <v>Adult</v>
      </c>
      <c r="O220">
        <f t="shared" si="19"/>
        <v>10.5</v>
      </c>
    </row>
    <row r="221" spans="1:15" x14ac:dyDescent="0.3">
      <c r="A221">
        <v>220</v>
      </c>
      <c r="B221">
        <v>1</v>
      </c>
      <c r="C221" t="str">
        <f t="shared" si="15"/>
        <v>Yes</v>
      </c>
      <c r="D221" t="s">
        <v>956</v>
      </c>
      <c r="E221" t="s">
        <v>1181</v>
      </c>
      <c r="F221" t="str" cm="1">
        <f t="array" ref="F221">IF(OR(COUNTIF(D221,"*"&amp;$T$9:$T$15&amp;"*")),"Female","Male")</f>
        <v>Male</v>
      </c>
      <c r="G221">
        <v>16</v>
      </c>
      <c r="H221">
        <v>0</v>
      </c>
      <c r="I221">
        <v>0</v>
      </c>
      <c r="J221">
        <v>3</v>
      </c>
      <c r="K221">
        <v>8.0500000000000007</v>
      </c>
      <c r="L221">
        <f t="shared" si="16"/>
        <v>0</v>
      </c>
      <c r="M221">
        <f t="shared" si="17"/>
        <v>16</v>
      </c>
      <c r="N221" t="str">
        <f t="shared" si="18"/>
        <v>Child</v>
      </c>
      <c r="O221">
        <f t="shared" si="19"/>
        <v>8.0500000000000007</v>
      </c>
    </row>
    <row r="222" spans="1:15" x14ac:dyDescent="0.3">
      <c r="A222">
        <v>221</v>
      </c>
      <c r="B222">
        <v>0</v>
      </c>
      <c r="C222" t="str">
        <f t="shared" si="15"/>
        <v>No</v>
      </c>
      <c r="D222" t="s">
        <v>956</v>
      </c>
      <c r="E222" t="s">
        <v>1182</v>
      </c>
      <c r="F222" t="str" cm="1">
        <f t="array" ref="F222">IF(OR(COUNTIF(D222,"*"&amp;$T$9:$T$15&amp;"*")),"Female","Male")</f>
        <v>Male</v>
      </c>
      <c r="G222">
        <v>27</v>
      </c>
      <c r="H222">
        <v>0</v>
      </c>
      <c r="I222">
        <v>0</v>
      </c>
      <c r="J222">
        <v>2</v>
      </c>
      <c r="K222">
        <v>13</v>
      </c>
      <c r="L222">
        <f t="shared" si="16"/>
        <v>0</v>
      </c>
      <c r="M222">
        <f t="shared" si="17"/>
        <v>27</v>
      </c>
      <c r="N222" t="str">
        <f t="shared" si="18"/>
        <v>Adult</v>
      </c>
      <c r="O222">
        <f t="shared" si="19"/>
        <v>13</v>
      </c>
    </row>
    <row r="223" spans="1:15" x14ac:dyDescent="0.3">
      <c r="A223">
        <v>222</v>
      </c>
      <c r="B223">
        <v>0</v>
      </c>
      <c r="C223" t="str">
        <f t="shared" si="15"/>
        <v>No</v>
      </c>
      <c r="D223" t="s">
        <v>956</v>
      </c>
      <c r="E223" t="s">
        <v>1183</v>
      </c>
      <c r="F223" t="str" cm="1">
        <f t="array" ref="F223">IF(OR(COUNTIF(D223,"*"&amp;$T$9:$T$15&amp;"*")),"Female","Male")</f>
        <v>Male</v>
      </c>
      <c r="G223">
        <v>51</v>
      </c>
      <c r="H223">
        <v>0</v>
      </c>
      <c r="I223">
        <v>0</v>
      </c>
      <c r="J223">
        <v>3</v>
      </c>
      <c r="K223">
        <v>8.0500000000000007</v>
      </c>
      <c r="L223">
        <f t="shared" si="16"/>
        <v>0</v>
      </c>
      <c r="M223">
        <f t="shared" si="17"/>
        <v>51</v>
      </c>
      <c r="N223" t="str">
        <f t="shared" si="18"/>
        <v>Adult</v>
      </c>
      <c r="O223">
        <f t="shared" si="19"/>
        <v>8.0500000000000007</v>
      </c>
    </row>
    <row r="224" spans="1:15" x14ac:dyDescent="0.3">
      <c r="A224">
        <v>223</v>
      </c>
      <c r="B224">
        <v>0</v>
      </c>
      <c r="C224" t="str">
        <f t="shared" si="15"/>
        <v>No</v>
      </c>
      <c r="D224" t="s">
        <v>956</v>
      </c>
      <c r="E224" t="s">
        <v>1184</v>
      </c>
      <c r="F224" t="str" cm="1">
        <f t="array" ref="F224">IF(OR(COUNTIF(D224,"*"&amp;$T$9:$T$15&amp;"*")),"Female","Male")</f>
        <v>Male</v>
      </c>
      <c r="G224">
        <v>22</v>
      </c>
      <c r="H224">
        <v>0</v>
      </c>
      <c r="I224">
        <v>0</v>
      </c>
      <c r="J224">
        <v>3</v>
      </c>
      <c r="K224">
        <v>7.8958000000000004</v>
      </c>
      <c r="L224">
        <f t="shared" si="16"/>
        <v>0</v>
      </c>
      <c r="M224">
        <f t="shared" si="17"/>
        <v>22</v>
      </c>
      <c r="N224" t="str">
        <f t="shared" si="18"/>
        <v>Adult</v>
      </c>
      <c r="O224">
        <f t="shared" si="19"/>
        <v>7.9</v>
      </c>
    </row>
    <row r="225" spans="1:15" x14ac:dyDescent="0.3">
      <c r="A225">
        <v>224</v>
      </c>
      <c r="B225">
        <v>1</v>
      </c>
      <c r="C225" t="str">
        <f t="shared" si="15"/>
        <v>Yes</v>
      </c>
      <c r="D225" t="s">
        <v>956</v>
      </c>
      <c r="E225" t="s">
        <v>1185</v>
      </c>
      <c r="F225" t="str" cm="1">
        <f t="array" ref="F225">IF(OR(COUNTIF(D225,"*"&amp;$T$9:$T$15&amp;"*")),"Female","Male")</f>
        <v>Male</v>
      </c>
      <c r="G225">
        <v>38</v>
      </c>
      <c r="H225">
        <v>1</v>
      </c>
      <c r="I225">
        <v>0</v>
      </c>
      <c r="J225">
        <v>1</v>
      </c>
      <c r="K225">
        <v>90</v>
      </c>
      <c r="L225">
        <f t="shared" si="16"/>
        <v>0</v>
      </c>
      <c r="M225">
        <f t="shared" si="17"/>
        <v>38</v>
      </c>
      <c r="N225" t="str">
        <f t="shared" si="18"/>
        <v>Adult</v>
      </c>
      <c r="O225">
        <f t="shared" si="19"/>
        <v>90</v>
      </c>
    </row>
    <row r="226" spans="1:15" x14ac:dyDescent="0.3">
      <c r="A226">
        <v>225</v>
      </c>
      <c r="B226">
        <v>0</v>
      </c>
      <c r="C226" t="str">
        <f t="shared" si="15"/>
        <v>No</v>
      </c>
      <c r="D226" t="s">
        <v>956</v>
      </c>
      <c r="E226" t="s">
        <v>1186</v>
      </c>
      <c r="F226" t="str" cm="1">
        <f t="array" ref="F226">IF(OR(COUNTIF(D226,"*"&amp;$T$9:$T$15&amp;"*")),"Female","Male")</f>
        <v>Male</v>
      </c>
      <c r="G226">
        <v>22</v>
      </c>
      <c r="H226">
        <v>0</v>
      </c>
      <c r="I226">
        <v>0</v>
      </c>
      <c r="J226">
        <v>3</v>
      </c>
      <c r="K226">
        <v>9.35</v>
      </c>
      <c r="L226">
        <f t="shared" si="16"/>
        <v>0</v>
      </c>
      <c r="M226">
        <f t="shared" si="17"/>
        <v>22</v>
      </c>
      <c r="N226" t="str">
        <f t="shared" si="18"/>
        <v>Adult</v>
      </c>
      <c r="O226">
        <f t="shared" si="19"/>
        <v>9.35</v>
      </c>
    </row>
    <row r="227" spans="1:15" x14ac:dyDescent="0.3">
      <c r="A227">
        <v>226</v>
      </c>
      <c r="B227">
        <v>1</v>
      </c>
      <c r="C227" t="str">
        <f t="shared" si="15"/>
        <v>Yes</v>
      </c>
      <c r="D227" t="s">
        <v>956</v>
      </c>
      <c r="E227" t="s">
        <v>1187</v>
      </c>
      <c r="F227" t="str" cm="1">
        <f t="array" ref="F227">IF(OR(COUNTIF(D227,"*"&amp;$T$9:$T$15&amp;"*")),"Female","Male")</f>
        <v>Male</v>
      </c>
      <c r="G227">
        <v>19</v>
      </c>
      <c r="H227">
        <v>0</v>
      </c>
      <c r="I227">
        <v>0</v>
      </c>
      <c r="J227">
        <v>2</v>
      </c>
      <c r="K227">
        <v>10.5</v>
      </c>
      <c r="L227">
        <f t="shared" si="16"/>
        <v>0</v>
      </c>
      <c r="M227">
        <f t="shared" si="17"/>
        <v>19</v>
      </c>
      <c r="N227" t="str">
        <f t="shared" si="18"/>
        <v>Adult</v>
      </c>
      <c r="O227">
        <f t="shared" si="19"/>
        <v>10.5</v>
      </c>
    </row>
    <row r="228" spans="1:15" x14ac:dyDescent="0.3">
      <c r="A228">
        <v>227</v>
      </c>
      <c r="B228">
        <v>0</v>
      </c>
      <c r="C228" t="str">
        <f t="shared" si="15"/>
        <v>No</v>
      </c>
      <c r="D228" t="s">
        <v>956</v>
      </c>
      <c r="E228" t="s">
        <v>1188</v>
      </c>
      <c r="F228" t="str" cm="1">
        <f t="array" ref="F228">IF(OR(COUNTIF(D228,"*"&amp;$T$9:$T$15&amp;"*")),"Female","Male")</f>
        <v>Male</v>
      </c>
      <c r="G228">
        <v>20.5</v>
      </c>
      <c r="H228">
        <v>0</v>
      </c>
      <c r="I228">
        <v>0</v>
      </c>
      <c r="J228">
        <v>3</v>
      </c>
      <c r="K228">
        <v>7.25</v>
      </c>
      <c r="L228">
        <f t="shared" si="16"/>
        <v>0</v>
      </c>
      <c r="M228">
        <f t="shared" si="17"/>
        <v>21</v>
      </c>
      <c r="N228" t="str">
        <f t="shared" si="18"/>
        <v>Adult</v>
      </c>
      <c r="O228">
        <f t="shared" si="19"/>
        <v>7.25</v>
      </c>
    </row>
    <row r="229" spans="1:15" x14ac:dyDescent="0.3">
      <c r="A229">
        <v>228</v>
      </c>
      <c r="B229">
        <v>0</v>
      </c>
      <c r="C229" t="str">
        <f t="shared" si="15"/>
        <v>No</v>
      </c>
      <c r="D229" t="s">
        <v>956</v>
      </c>
      <c r="E229" t="s">
        <v>1189</v>
      </c>
      <c r="F229" t="str" cm="1">
        <f t="array" ref="F229">IF(OR(COUNTIF(D229,"*"&amp;$T$9:$T$15&amp;"*")),"Female","Male")</f>
        <v>Male</v>
      </c>
      <c r="G229">
        <v>18</v>
      </c>
      <c r="H229">
        <v>0</v>
      </c>
      <c r="I229">
        <v>0</v>
      </c>
      <c r="J229">
        <v>2</v>
      </c>
      <c r="K229">
        <v>13</v>
      </c>
      <c r="L229">
        <f t="shared" si="16"/>
        <v>0</v>
      </c>
      <c r="M229">
        <f t="shared" si="17"/>
        <v>18</v>
      </c>
      <c r="N229" t="str">
        <f t="shared" si="18"/>
        <v>Adult</v>
      </c>
      <c r="O229">
        <f t="shared" si="19"/>
        <v>13</v>
      </c>
    </row>
    <row r="230" spans="1:15" x14ac:dyDescent="0.3">
      <c r="A230">
        <v>229</v>
      </c>
      <c r="B230">
        <v>0</v>
      </c>
      <c r="C230" t="str">
        <f t="shared" si="15"/>
        <v>No</v>
      </c>
      <c r="D230" t="s">
        <v>960</v>
      </c>
      <c r="E230" t="s">
        <v>1190</v>
      </c>
      <c r="F230" t="str" cm="1">
        <f t="array" ref="F230">IF(OR(COUNTIF(D230,"*"&amp;$T$9:$T$15&amp;"*")),"Female","Male")</f>
        <v>Female</v>
      </c>
      <c r="G230">
        <v>12</v>
      </c>
      <c r="H230">
        <v>3</v>
      </c>
      <c r="I230">
        <v>1</v>
      </c>
      <c r="J230">
        <v>3</v>
      </c>
      <c r="K230">
        <v>25.466699999999999</v>
      </c>
      <c r="L230">
        <f t="shared" si="16"/>
        <v>1</v>
      </c>
      <c r="M230">
        <f t="shared" si="17"/>
        <v>12</v>
      </c>
      <c r="N230" t="str">
        <f t="shared" si="18"/>
        <v>Child</v>
      </c>
      <c r="O230">
        <f t="shared" si="19"/>
        <v>25.47</v>
      </c>
    </row>
    <row r="231" spans="1:15" x14ac:dyDescent="0.3">
      <c r="A231">
        <v>230</v>
      </c>
      <c r="B231">
        <v>1</v>
      </c>
      <c r="C231" t="str">
        <f t="shared" si="15"/>
        <v>Yes</v>
      </c>
      <c r="D231" t="s">
        <v>958</v>
      </c>
      <c r="E231" t="s">
        <v>1191</v>
      </c>
      <c r="F231" t="str" cm="1">
        <f t="array" ref="F231">IF(OR(COUNTIF(D231,"*"&amp;$T$9:$T$15&amp;"*")),"Female","Male")</f>
        <v>Female</v>
      </c>
      <c r="G231">
        <v>35</v>
      </c>
      <c r="H231">
        <v>1</v>
      </c>
      <c r="I231">
        <v>0</v>
      </c>
      <c r="J231">
        <v>1</v>
      </c>
      <c r="K231">
        <v>83.474999999999994</v>
      </c>
      <c r="L231">
        <f t="shared" si="16"/>
        <v>1</v>
      </c>
      <c r="M231">
        <f t="shared" si="17"/>
        <v>35</v>
      </c>
      <c r="N231" t="str">
        <f t="shared" si="18"/>
        <v>Adult</v>
      </c>
      <c r="O231">
        <f t="shared" si="19"/>
        <v>83.48</v>
      </c>
    </row>
    <row r="232" spans="1:15" x14ac:dyDescent="0.3">
      <c r="A232">
        <v>231</v>
      </c>
      <c r="B232">
        <v>0</v>
      </c>
      <c r="C232" t="str">
        <f t="shared" si="15"/>
        <v>No</v>
      </c>
      <c r="D232" t="s">
        <v>956</v>
      </c>
      <c r="E232" t="s">
        <v>1192</v>
      </c>
      <c r="F232" t="str" cm="1">
        <f t="array" ref="F232">IF(OR(COUNTIF(D232,"*"&amp;$T$9:$T$15&amp;"*")),"Female","Male")</f>
        <v>Male</v>
      </c>
      <c r="G232">
        <v>29</v>
      </c>
      <c r="H232">
        <v>0</v>
      </c>
      <c r="I232">
        <v>0</v>
      </c>
      <c r="J232">
        <v>3</v>
      </c>
      <c r="K232">
        <v>7.7750000000000004</v>
      </c>
      <c r="L232">
        <f t="shared" si="16"/>
        <v>0</v>
      </c>
      <c r="M232">
        <f t="shared" si="17"/>
        <v>29</v>
      </c>
      <c r="N232" t="str">
        <f t="shared" si="18"/>
        <v>Adult</v>
      </c>
      <c r="O232">
        <f t="shared" si="19"/>
        <v>7.78</v>
      </c>
    </row>
    <row r="233" spans="1:15" x14ac:dyDescent="0.3">
      <c r="A233">
        <v>232</v>
      </c>
      <c r="B233">
        <v>0</v>
      </c>
      <c r="C233" t="str">
        <f t="shared" si="15"/>
        <v>No</v>
      </c>
      <c r="D233" t="s">
        <v>956</v>
      </c>
      <c r="E233" t="s">
        <v>1193</v>
      </c>
      <c r="F233" t="str" cm="1">
        <f t="array" ref="F233">IF(OR(COUNTIF(D233,"*"&amp;$T$9:$T$15&amp;"*")),"Female","Male")</f>
        <v>Male</v>
      </c>
      <c r="G233">
        <v>59</v>
      </c>
      <c r="H233">
        <v>0</v>
      </c>
      <c r="I233">
        <v>0</v>
      </c>
      <c r="J233">
        <v>2</v>
      </c>
      <c r="K233">
        <v>13.5</v>
      </c>
      <c r="L233">
        <f t="shared" si="16"/>
        <v>0</v>
      </c>
      <c r="M233">
        <f t="shared" si="17"/>
        <v>59</v>
      </c>
      <c r="N233" t="str">
        <f t="shared" si="18"/>
        <v>Adult</v>
      </c>
      <c r="O233">
        <f t="shared" si="19"/>
        <v>13.5</v>
      </c>
    </row>
    <row r="234" spans="1:15" x14ac:dyDescent="0.3">
      <c r="A234">
        <v>233</v>
      </c>
      <c r="B234">
        <v>1</v>
      </c>
      <c r="C234" t="str">
        <f t="shared" si="15"/>
        <v>Yes</v>
      </c>
      <c r="D234" t="s">
        <v>960</v>
      </c>
      <c r="E234" t="s">
        <v>1194</v>
      </c>
      <c r="F234" t="str" cm="1">
        <f t="array" ref="F234">IF(OR(COUNTIF(D234,"*"&amp;$T$9:$T$15&amp;"*")),"Female","Male")</f>
        <v>Female</v>
      </c>
      <c r="G234">
        <v>5</v>
      </c>
      <c r="H234">
        <v>4</v>
      </c>
      <c r="I234">
        <v>2</v>
      </c>
      <c r="J234">
        <v>3</v>
      </c>
      <c r="K234">
        <v>31.387499999999999</v>
      </c>
      <c r="L234">
        <f t="shared" si="16"/>
        <v>1</v>
      </c>
      <c r="M234">
        <f t="shared" si="17"/>
        <v>5</v>
      </c>
      <c r="N234" t="str">
        <f t="shared" si="18"/>
        <v>Child</v>
      </c>
      <c r="O234">
        <f t="shared" si="19"/>
        <v>31.39</v>
      </c>
    </row>
    <row r="235" spans="1:15" x14ac:dyDescent="0.3">
      <c r="A235">
        <v>234</v>
      </c>
      <c r="B235">
        <v>0</v>
      </c>
      <c r="C235" t="str">
        <f t="shared" si="15"/>
        <v>No</v>
      </c>
      <c r="D235" t="s">
        <v>956</v>
      </c>
      <c r="E235" t="s">
        <v>1195</v>
      </c>
      <c r="F235" t="str" cm="1">
        <f t="array" ref="F235">IF(OR(COUNTIF(D235,"*"&amp;$T$9:$T$15&amp;"*")),"Female","Male")</f>
        <v>Male</v>
      </c>
      <c r="G235">
        <v>24</v>
      </c>
      <c r="H235">
        <v>0</v>
      </c>
      <c r="I235">
        <v>0</v>
      </c>
      <c r="J235">
        <v>2</v>
      </c>
      <c r="K235">
        <v>10.5</v>
      </c>
      <c r="L235">
        <f t="shared" si="16"/>
        <v>0</v>
      </c>
      <c r="M235">
        <f t="shared" si="17"/>
        <v>24</v>
      </c>
      <c r="N235" t="str">
        <f t="shared" si="18"/>
        <v>Adult</v>
      </c>
      <c r="O235">
        <f t="shared" si="19"/>
        <v>10.5</v>
      </c>
    </row>
    <row r="236" spans="1:15" x14ac:dyDescent="0.3">
      <c r="A236">
        <v>235</v>
      </c>
      <c r="B236">
        <v>0</v>
      </c>
      <c r="C236" t="str">
        <f t="shared" si="15"/>
        <v>No</v>
      </c>
      <c r="D236" t="s">
        <v>960</v>
      </c>
      <c r="E236" t="s">
        <v>1196</v>
      </c>
      <c r="F236" t="str" cm="1">
        <f t="array" ref="F236">IF(OR(COUNTIF(D236,"*"&amp;$T$9:$T$15&amp;"*")),"Female","Male")</f>
        <v>Female</v>
      </c>
      <c r="G236">
        <v>21</v>
      </c>
      <c r="H236">
        <v>0</v>
      </c>
      <c r="I236">
        <v>0</v>
      </c>
      <c r="J236">
        <v>3</v>
      </c>
      <c r="K236">
        <v>7.55</v>
      </c>
      <c r="L236">
        <f t="shared" si="16"/>
        <v>1</v>
      </c>
      <c r="M236">
        <f t="shared" si="17"/>
        <v>21</v>
      </c>
      <c r="N236" t="str">
        <f t="shared" si="18"/>
        <v>Adult</v>
      </c>
      <c r="O236">
        <f t="shared" si="19"/>
        <v>7.55</v>
      </c>
    </row>
    <row r="237" spans="1:15" x14ac:dyDescent="0.3">
      <c r="A237">
        <v>236</v>
      </c>
      <c r="B237">
        <v>0</v>
      </c>
      <c r="C237" t="str">
        <f t="shared" si="15"/>
        <v>No</v>
      </c>
      <c r="D237" t="s">
        <v>956</v>
      </c>
      <c r="E237" t="s">
        <v>1197</v>
      </c>
      <c r="F237" t="str" cm="1">
        <f t="array" ref="F237">IF(OR(COUNTIF(D237,"*"&amp;$T$9:$T$15&amp;"*")),"Female","Male")</f>
        <v>Male</v>
      </c>
      <c r="G237">
        <v>44</v>
      </c>
      <c r="H237">
        <v>1</v>
      </c>
      <c r="I237">
        <v>0</v>
      </c>
      <c r="J237">
        <v>2</v>
      </c>
      <c r="K237">
        <v>26</v>
      </c>
      <c r="L237">
        <f t="shared" si="16"/>
        <v>0</v>
      </c>
      <c r="M237">
        <f t="shared" si="17"/>
        <v>44</v>
      </c>
      <c r="N237" t="str">
        <f t="shared" si="18"/>
        <v>Adult</v>
      </c>
      <c r="O237">
        <f t="shared" si="19"/>
        <v>26</v>
      </c>
    </row>
    <row r="238" spans="1:15" x14ac:dyDescent="0.3">
      <c r="A238">
        <v>237</v>
      </c>
      <c r="B238">
        <v>1</v>
      </c>
      <c r="C238" t="str">
        <f t="shared" si="15"/>
        <v>Yes</v>
      </c>
      <c r="D238" t="s">
        <v>960</v>
      </c>
      <c r="E238" t="s">
        <v>1198</v>
      </c>
      <c r="F238" t="str" cm="1">
        <f t="array" ref="F238">IF(OR(COUNTIF(D238,"*"&amp;$T$9:$T$15&amp;"*")),"Female","Male")</f>
        <v>Female</v>
      </c>
      <c r="G238">
        <v>8</v>
      </c>
      <c r="H238">
        <v>0</v>
      </c>
      <c r="I238">
        <v>2</v>
      </c>
      <c r="J238">
        <v>2</v>
      </c>
      <c r="K238">
        <v>26.25</v>
      </c>
      <c r="L238">
        <f t="shared" si="16"/>
        <v>1</v>
      </c>
      <c r="M238">
        <f t="shared" si="17"/>
        <v>8</v>
      </c>
      <c r="N238" t="str">
        <f t="shared" si="18"/>
        <v>Child</v>
      </c>
      <c r="O238">
        <f t="shared" si="19"/>
        <v>26.25</v>
      </c>
    </row>
    <row r="239" spans="1:15" x14ac:dyDescent="0.3">
      <c r="A239">
        <v>238</v>
      </c>
      <c r="B239">
        <v>0</v>
      </c>
      <c r="C239" t="str">
        <f t="shared" si="15"/>
        <v>No</v>
      </c>
      <c r="D239" t="s">
        <v>956</v>
      </c>
      <c r="E239" t="s">
        <v>1199</v>
      </c>
      <c r="F239" t="str" cm="1">
        <f t="array" ref="F239">IF(OR(COUNTIF(D239,"*"&amp;$T$9:$T$15&amp;"*")),"Female","Male")</f>
        <v>Male</v>
      </c>
      <c r="G239">
        <v>19</v>
      </c>
      <c r="H239">
        <v>0</v>
      </c>
      <c r="I239">
        <v>0</v>
      </c>
      <c r="J239">
        <v>2</v>
      </c>
      <c r="K239">
        <v>10.5</v>
      </c>
      <c r="L239">
        <f t="shared" si="16"/>
        <v>0</v>
      </c>
      <c r="M239">
        <f t="shared" si="17"/>
        <v>19</v>
      </c>
      <c r="N239" t="str">
        <f t="shared" si="18"/>
        <v>Adult</v>
      </c>
      <c r="O239">
        <f t="shared" si="19"/>
        <v>10.5</v>
      </c>
    </row>
    <row r="240" spans="1:15" x14ac:dyDescent="0.3">
      <c r="A240">
        <v>239</v>
      </c>
      <c r="B240">
        <v>0</v>
      </c>
      <c r="C240" t="str">
        <f t="shared" si="15"/>
        <v>No</v>
      </c>
      <c r="D240" t="s">
        <v>956</v>
      </c>
      <c r="E240" t="s">
        <v>1200</v>
      </c>
      <c r="F240" t="str" cm="1">
        <f t="array" ref="F240">IF(OR(COUNTIF(D240,"*"&amp;$T$9:$T$15&amp;"*")),"Female","Male")</f>
        <v>Male</v>
      </c>
      <c r="G240">
        <v>33</v>
      </c>
      <c r="H240">
        <v>0</v>
      </c>
      <c r="I240">
        <v>0</v>
      </c>
      <c r="J240">
        <v>2</v>
      </c>
      <c r="K240">
        <v>12.275</v>
      </c>
      <c r="L240">
        <f t="shared" si="16"/>
        <v>0</v>
      </c>
      <c r="M240">
        <f t="shared" si="17"/>
        <v>33</v>
      </c>
      <c r="N240" t="str">
        <f t="shared" si="18"/>
        <v>Adult</v>
      </c>
      <c r="O240">
        <f t="shared" si="19"/>
        <v>12.28</v>
      </c>
    </row>
    <row r="241" spans="1:15" x14ac:dyDescent="0.3">
      <c r="A241">
        <v>240</v>
      </c>
      <c r="B241">
        <v>0</v>
      </c>
      <c r="C241" t="str">
        <f t="shared" si="15"/>
        <v>No</v>
      </c>
      <c r="D241" t="s">
        <v>960</v>
      </c>
      <c r="E241" t="s">
        <v>1201</v>
      </c>
      <c r="F241" t="str" cm="1">
        <f t="array" ref="F241">IF(OR(COUNTIF(D241,"*"&amp;$T$9:$T$15&amp;"*")),"Female","Male")</f>
        <v>Female</v>
      </c>
      <c r="G241">
        <v>19</v>
      </c>
      <c r="H241">
        <v>1</v>
      </c>
      <c r="I241">
        <v>0</v>
      </c>
      <c r="J241">
        <v>3</v>
      </c>
      <c r="K241">
        <v>14.4542</v>
      </c>
      <c r="L241">
        <f t="shared" si="16"/>
        <v>1</v>
      </c>
      <c r="M241">
        <f t="shared" si="17"/>
        <v>19</v>
      </c>
      <c r="N241" t="str">
        <f t="shared" si="18"/>
        <v>Adult</v>
      </c>
      <c r="O241">
        <f t="shared" si="19"/>
        <v>14.45</v>
      </c>
    </row>
    <row r="242" spans="1:15" x14ac:dyDescent="0.3">
      <c r="A242">
        <v>241</v>
      </c>
      <c r="B242">
        <v>1</v>
      </c>
      <c r="C242" t="str">
        <f t="shared" si="15"/>
        <v>Yes</v>
      </c>
      <c r="D242" t="s">
        <v>960</v>
      </c>
      <c r="E242" t="s">
        <v>1202</v>
      </c>
      <c r="F242" t="str" cm="1">
        <f t="array" ref="F242">IF(OR(COUNTIF(D242,"*"&amp;$T$9:$T$15&amp;"*")),"Female","Male")</f>
        <v>Female</v>
      </c>
      <c r="G242">
        <v>18</v>
      </c>
      <c r="H242">
        <v>1</v>
      </c>
      <c r="I242">
        <v>0</v>
      </c>
      <c r="J242">
        <v>3</v>
      </c>
      <c r="K242">
        <v>15.5</v>
      </c>
      <c r="L242">
        <f t="shared" si="16"/>
        <v>1</v>
      </c>
      <c r="M242">
        <f t="shared" si="17"/>
        <v>18</v>
      </c>
      <c r="N242" t="str">
        <f t="shared" si="18"/>
        <v>Adult</v>
      </c>
      <c r="O242">
        <f t="shared" si="19"/>
        <v>15.5</v>
      </c>
    </row>
    <row r="243" spans="1:15" x14ac:dyDescent="0.3">
      <c r="A243">
        <v>242</v>
      </c>
      <c r="B243">
        <v>0</v>
      </c>
      <c r="C243" t="str">
        <f t="shared" si="15"/>
        <v>No</v>
      </c>
      <c r="D243" t="s">
        <v>956</v>
      </c>
      <c r="E243" t="s">
        <v>1203</v>
      </c>
      <c r="F243" t="str" cm="1">
        <f t="array" ref="F243">IF(OR(COUNTIF(D243,"*"&amp;$T$9:$T$15&amp;"*")),"Female","Male")</f>
        <v>Male</v>
      </c>
      <c r="G243">
        <v>29</v>
      </c>
      <c r="H243">
        <v>0</v>
      </c>
      <c r="I243">
        <v>0</v>
      </c>
      <c r="J243">
        <v>2</v>
      </c>
      <c r="K243">
        <v>10.5</v>
      </c>
      <c r="L243">
        <f t="shared" si="16"/>
        <v>0</v>
      </c>
      <c r="M243">
        <f t="shared" si="17"/>
        <v>29</v>
      </c>
      <c r="N243" t="str">
        <f t="shared" si="18"/>
        <v>Adult</v>
      </c>
      <c r="O243">
        <f t="shared" si="19"/>
        <v>10.5</v>
      </c>
    </row>
    <row r="244" spans="1:15" x14ac:dyDescent="0.3">
      <c r="A244">
        <v>243</v>
      </c>
      <c r="B244">
        <v>0</v>
      </c>
      <c r="C244" t="str">
        <f t="shared" si="15"/>
        <v>No</v>
      </c>
      <c r="D244" t="s">
        <v>956</v>
      </c>
      <c r="E244" t="s">
        <v>1204</v>
      </c>
      <c r="F244" t="str" cm="1">
        <f t="array" ref="F244">IF(OR(COUNTIF(D244,"*"&amp;$T$9:$T$15&amp;"*")),"Female","Male")</f>
        <v>Male</v>
      </c>
      <c r="G244">
        <v>22</v>
      </c>
      <c r="H244">
        <v>0</v>
      </c>
      <c r="I244">
        <v>0</v>
      </c>
      <c r="J244">
        <v>3</v>
      </c>
      <c r="K244">
        <v>7.125</v>
      </c>
      <c r="L244">
        <f t="shared" si="16"/>
        <v>0</v>
      </c>
      <c r="M244">
        <f t="shared" si="17"/>
        <v>22</v>
      </c>
      <c r="N244" t="str">
        <f t="shared" si="18"/>
        <v>Adult</v>
      </c>
      <c r="O244">
        <f t="shared" si="19"/>
        <v>7.13</v>
      </c>
    </row>
    <row r="245" spans="1:15" x14ac:dyDescent="0.3">
      <c r="A245">
        <v>244</v>
      </c>
      <c r="B245">
        <v>0</v>
      </c>
      <c r="C245" t="str">
        <f t="shared" si="15"/>
        <v>No</v>
      </c>
      <c r="D245" t="s">
        <v>956</v>
      </c>
      <c r="E245" t="s">
        <v>1205</v>
      </c>
      <c r="F245" t="str" cm="1">
        <f t="array" ref="F245">IF(OR(COUNTIF(D245,"*"&amp;$T$9:$T$15&amp;"*")),"Female","Male")</f>
        <v>Male</v>
      </c>
      <c r="G245">
        <v>30</v>
      </c>
      <c r="H245">
        <v>0</v>
      </c>
      <c r="I245">
        <v>0</v>
      </c>
      <c r="J245">
        <v>3</v>
      </c>
      <c r="K245">
        <v>7.2249999999999996</v>
      </c>
      <c r="L245">
        <f t="shared" si="16"/>
        <v>0</v>
      </c>
      <c r="M245">
        <f t="shared" si="17"/>
        <v>30</v>
      </c>
      <c r="N245" t="str">
        <f t="shared" si="18"/>
        <v>Adult</v>
      </c>
      <c r="O245">
        <f t="shared" si="19"/>
        <v>7.23</v>
      </c>
    </row>
    <row r="246" spans="1:15" x14ac:dyDescent="0.3">
      <c r="A246">
        <v>245</v>
      </c>
      <c r="B246">
        <v>0</v>
      </c>
      <c r="C246" t="str">
        <f t="shared" si="15"/>
        <v>No</v>
      </c>
      <c r="D246" t="s">
        <v>1206</v>
      </c>
      <c r="E246" t="s">
        <v>1207</v>
      </c>
      <c r="F246" t="str" cm="1">
        <f t="array" ref="F246">IF(OR(COUNTIF(D246,"*"&amp;$T$9:$T$15&amp;"*")),"Female","Male")</f>
        <v>Male</v>
      </c>
      <c r="G246">
        <v>44</v>
      </c>
      <c r="H246">
        <v>2</v>
      </c>
      <c r="I246">
        <v>0</v>
      </c>
      <c r="J246">
        <v>1</v>
      </c>
      <c r="K246">
        <v>90</v>
      </c>
      <c r="L246">
        <f t="shared" si="16"/>
        <v>0</v>
      </c>
      <c r="M246">
        <f t="shared" si="17"/>
        <v>44</v>
      </c>
      <c r="N246" t="str">
        <f t="shared" si="18"/>
        <v>Adult</v>
      </c>
      <c r="O246">
        <f t="shared" si="19"/>
        <v>90</v>
      </c>
    </row>
    <row r="247" spans="1:15" x14ac:dyDescent="0.3">
      <c r="A247">
        <v>246</v>
      </c>
      <c r="B247">
        <v>0</v>
      </c>
      <c r="C247" t="str">
        <f t="shared" si="15"/>
        <v>No</v>
      </c>
      <c r="D247" t="s">
        <v>960</v>
      </c>
      <c r="E247" t="s">
        <v>1208</v>
      </c>
      <c r="F247" t="str" cm="1">
        <f t="array" ref="F247">IF(OR(COUNTIF(D247,"*"&amp;$T$9:$T$15&amp;"*")),"Female","Male")</f>
        <v>Female</v>
      </c>
      <c r="G247">
        <v>25</v>
      </c>
      <c r="H247">
        <v>0</v>
      </c>
      <c r="I247">
        <v>0</v>
      </c>
      <c r="J247">
        <v>3</v>
      </c>
      <c r="K247">
        <v>7.7750000000000004</v>
      </c>
      <c r="L247">
        <f t="shared" si="16"/>
        <v>1</v>
      </c>
      <c r="M247">
        <f t="shared" si="17"/>
        <v>25</v>
      </c>
      <c r="N247" t="str">
        <f t="shared" si="18"/>
        <v>Adult</v>
      </c>
      <c r="O247">
        <f t="shared" si="19"/>
        <v>7.78</v>
      </c>
    </row>
    <row r="248" spans="1:15" x14ac:dyDescent="0.3">
      <c r="A248">
        <v>247</v>
      </c>
      <c r="B248">
        <v>1</v>
      </c>
      <c r="C248" t="str">
        <f t="shared" si="15"/>
        <v>Yes</v>
      </c>
      <c r="D248" t="s">
        <v>958</v>
      </c>
      <c r="E248" t="s">
        <v>1209</v>
      </c>
      <c r="F248" t="str" cm="1">
        <f t="array" ref="F248">IF(OR(COUNTIF(D248,"*"&amp;$T$9:$T$15&amp;"*")),"Female","Male")</f>
        <v>Female</v>
      </c>
      <c r="G248">
        <v>24</v>
      </c>
      <c r="H248">
        <v>0</v>
      </c>
      <c r="I248">
        <v>2</v>
      </c>
      <c r="J248">
        <v>2</v>
      </c>
      <c r="K248">
        <v>14.5</v>
      </c>
      <c r="L248">
        <f t="shared" si="16"/>
        <v>1</v>
      </c>
      <c r="M248">
        <f t="shared" si="17"/>
        <v>24</v>
      </c>
      <c r="N248" t="str">
        <f t="shared" si="18"/>
        <v>Adult</v>
      </c>
      <c r="O248">
        <f t="shared" si="19"/>
        <v>14.5</v>
      </c>
    </row>
    <row r="249" spans="1:15" x14ac:dyDescent="0.3">
      <c r="A249">
        <v>248</v>
      </c>
      <c r="B249">
        <v>1</v>
      </c>
      <c r="C249" t="str">
        <f t="shared" si="15"/>
        <v>Yes</v>
      </c>
      <c r="D249" t="s">
        <v>956</v>
      </c>
      <c r="E249" t="s">
        <v>1210</v>
      </c>
      <c r="F249" t="str" cm="1">
        <f t="array" ref="F249">IF(OR(COUNTIF(D249,"*"&amp;$T$9:$T$15&amp;"*")),"Female","Male")</f>
        <v>Male</v>
      </c>
      <c r="G249">
        <v>37</v>
      </c>
      <c r="H249">
        <v>1</v>
      </c>
      <c r="I249">
        <v>1</v>
      </c>
      <c r="J249">
        <v>1</v>
      </c>
      <c r="K249">
        <v>52.554200000000002</v>
      </c>
      <c r="L249">
        <f t="shared" si="16"/>
        <v>0</v>
      </c>
      <c r="M249">
        <f t="shared" si="17"/>
        <v>37</v>
      </c>
      <c r="N249" t="str">
        <f t="shared" si="18"/>
        <v>Adult</v>
      </c>
      <c r="O249">
        <f t="shared" si="19"/>
        <v>52.55</v>
      </c>
    </row>
    <row r="250" spans="1:15" x14ac:dyDescent="0.3">
      <c r="A250">
        <v>249</v>
      </c>
      <c r="B250">
        <v>0</v>
      </c>
      <c r="C250" t="str">
        <f t="shared" si="15"/>
        <v>No</v>
      </c>
      <c r="D250" t="s">
        <v>1109</v>
      </c>
      <c r="E250" t="s">
        <v>1211</v>
      </c>
      <c r="F250" t="str" cm="1">
        <f t="array" ref="F250">IF(OR(COUNTIF(D250,"*"&amp;$T$9:$T$15&amp;"*")),"Female","Male")</f>
        <v>Male</v>
      </c>
      <c r="G250">
        <v>54</v>
      </c>
      <c r="H250">
        <v>1</v>
      </c>
      <c r="I250">
        <v>0</v>
      </c>
      <c r="J250">
        <v>2</v>
      </c>
      <c r="K250">
        <v>26</v>
      </c>
      <c r="L250">
        <f t="shared" si="16"/>
        <v>0</v>
      </c>
      <c r="M250">
        <f t="shared" si="17"/>
        <v>54</v>
      </c>
      <c r="N250" t="str">
        <f t="shared" si="18"/>
        <v>Adult</v>
      </c>
      <c r="O250">
        <f t="shared" si="19"/>
        <v>26</v>
      </c>
    </row>
    <row r="251" spans="1:15" x14ac:dyDescent="0.3">
      <c r="A251">
        <v>250</v>
      </c>
      <c r="B251">
        <v>0</v>
      </c>
      <c r="C251" t="str">
        <f t="shared" si="15"/>
        <v>No</v>
      </c>
      <c r="D251" t="s">
        <v>956</v>
      </c>
      <c r="E251" t="s">
        <v>1212</v>
      </c>
      <c r="F251" t="str" cm="1">
        <f t="array" ref="F251">IF(OR(COUNTIF(D251,"*"&amp;$T$9:$T$15&amp;"*")),"Female","Male")</f>
        <v>Male</v>
      </c>
      <c r="G251">
        <v>18</v>
      </c>
      <c r="H251">
        <v>0</v>
      </c>
      <c r="I251">
        <v>0</v>
      </c>
      <c r="J251">
        <v>3</v>
      </c>
      <c r="K251">
        <v>7.25</v>
      </c>
      <c r="L251">
        <f t="shared" si="16"/>
        <v>0</v>
      </c>
      <c r="M251">
        <f t="shared" si="17"/>
        <v>18</v>
      </c>
      <c r="N251" t="str">
        <f t="shared" si="18"/>
        <v>Adult</v>
      </c>
      <c r="O251">
        <f t="shared" si="19"/>
        <v>7.25</v>
      </c>
    </row>
    <row r="252" spans="1:15" x14ac:dyDescent="0.3">
      <c r="A252">
        <v>251</v>
      </c>
      <c r="B252">
        <v>0</v>
      </c>
      <c r="C252" t="str">
        <f t="shared" si="15"/>
        <v>No</v>
      </c>
      <c r="D252" t="s">
        <v>958</v>
      </c>
      <c r="E252" t="s">
        <v>1213</v>
      </c>
      <c r="F252" t="str" cm="1">
        <f t="array" ref="F252">IF(OR(COUNTIF(D252,"*"&amp;$T$9:$T$15&amp;"*")),"Female","Male")</f>
        <v>Female</v>
      </c>
      <c r="G252">
        <v>29</v>
      </c>
      <c r="H252">
        <v>1</v>
      </c>
      <c r="I252">
        <v>1</v>
      </c>
      <c r="J252">
        <v>3</v>
      </c>
      <c r="K252">
        <v>10.4625</v>
      </c>
      <c r="L252">
        <f t="shared" si="16"/>
        <v>1</v>
      </c>
      <c r="M252">
        <f t="shared" si="17"/>
        <v>29</v>
      </c>
      <c r="N252" t="str">
        <f t="shared" si="18"/>
        <v>Adult</v>
      </c>
      <c r="O252">
        <f t="shared" si="19"/>
        <v>10.46</v>
      </c>
    </row>
    <row r="253" spans="1:15" x14ac:dyDescent="0.3">
      <c r="A253">
        <v>252</v>
      </c>
      <c r="B253">
        <v>0</v>
      </c>
      <c r="C253" t="str">
        <f t="shared" si="15"/>
        <v>No</v>
      </c>
      <c r="D253" t="s">
        <v>956</v>
      </c>
      <c r="E253" t="s">
        <v>1214</v>
      </c>
      <c r="F253" t="str" cm="1">
        <f t="array" ref="F253">IF(OR(COUNTIF(D253,"*"&amp;$T$9:$T$15&amp;"*")),"Female","Male")</f>
        <v>Male</v>
      </c>
      <c r="G253">
        <v>62</v>
      </c>
      <c r="H253">
        <v>0</v>
      </c>
      <c r="I253">
        <v>0</v>
      </c>
      <c r="J253">
        <v>1</v>
      </c>
      <c r="K253">
        <v>26.55</v>
      </c>
      <c r="L253">
        <f t="shared" si="16"/>
        <v>0</v>
      </c>
      <c r="M253">
        <f t="shared" si="17"/>
        <v>62</v>
      </c>
      <c r="N253" t="str">
        <f t="shared" si="18"/>
        <v>Adult</v>
      </c>
      <c r="O253">
        <f t="shared" si="19"/>
        <v>26.55</v>
      </c>
    </row>
    <row r="254" spans="1:15" x14ac:dyDescent="0.3">
      <c r="A254">
        <v>253</v>
      </c>
      <c r="B254">
        <v>0</v>
      </c>
      <c r="C254" t="str">
        <f t="shared" si="15"/>
        <v>No</v>
      </c>
      <c r="D254" t="s">
        <v>956</v>
      </c>
      <c r="E254" t="s">
        <v>1215</v>
      </c>
      <c r="F254" t="str" cm="1">
        <f t="array" ref="F254">IF(OR(COUNTIF(D254,"*"&amp;$T$9:$T$15&amp;"*")),"Female","Male")</f>
        <v>Male</v>
      </c>
      <c r="G254">
        <v>30</v>
      </c>
      <c r="H254">
        <v>1</v>
      </c>
      <c r="I254">
        <v>0</v>
      </c>
      <c r="J254">
        <v>3</v>
      </c>
      <c r="K254">
        <v>16.100000000000001</v>
      </c>
      <c r="L254">
        <f t="shared" si="16"/>
        <v>0</v>
      </c>
      <c r="M254">
        <f t="shared" si="17"/>
        <v>30</v>
      </c>
      <c r="N254" t="str">
        <f t="shared" si="18"/>
        <v>Adult</v>
      </c>
      <c r="O254">
        <f t="shared" si="19"/>
        <v>16.100000000000001</v>
      </c>
    </row>
    <row r="255" spans="1:15" x14ac:dyDescent="0.3">
      <c r="A255">
        <v>254</v>
      </c>
      <c r="B255">
        <v>0</v>
      </c>
      <c r="C255" t="str">
        <f t="shared" si="15"/>
        <v>No</v>
      </c>
      <c r="D255" t="s">
        <v>958</v>
      </c>
      <c r="E255" t="s">
        <v>1216</v>
      </c>
      <c r="F255" t="str" cm="1">
        <f t="array" ref="F255">IF(OR(COUNTIF(D255,"*"&amp;$T$9:$T$15&amp;"*")),"Female","Male")</f>
        <v>Female</v>
      </c>
      <c r="G255">
        <v>41</v>
      </c>
      <c r="H255">
        <v>0</v>
      </c>
      <c r="I255">
        <v>2</v>
      </c>
      <c r="J255">
        <v>3</v>
      </c>
      <c r="K255">
        <v>20.212499999999999</v>
      </c>
      <c r="L255">
        <f t="shared" si="16"/>
        <v>1</v>
      </c>
      <c r="M255">
        <f t="shared" si="17"/>
        <v>41</v>
      </c>
      <c r="N255" t="str">
        <f t="shared" si="18"/>
        <v>Adult</v>
      </c>
      <c r="O255">
        <f t="shared" si="19"/>
        <v>20.21</v>
      </c>
    </row>
    <row r="256" spans="1:15" x14ac:dyDescent="0.3">
      <c r="A256">
        <v>255</v>
      </c>
      <c r="B256">
        <v>1</v>
      </c>
      <c r="C256" t="str">
        <f t="shared" si="15"/>
        <v>Yes</v>
      </c>
      <c r="D256" t="s">
        <v>958</v>
      </c>
      <c r="E256" t="s">
        <v>1217</v>
      </c>
      <c r="F256" t="str" cm="1">
        <f t="array" ref="F256">IF(OR(COUNTIF(D256,"*"&amp;$T$9:$T$15&amp;"*")),"Female","Male")</f>
        <v>Female</v>
      </c>
      <c r="G256">
        <v>29</v>
      </c>
      <c r="H256">
        <v>0</v>
      </c>
      <c r="I256">
        <v>2</v>
      </c>
      <c r="J256">
        <v>3</v>
      </c>
      <c r="K256">
        <v>15.245799999999999</v>
      </c>
      <c r="L256">
        <f t="shared" si="16"/>
        <v>1</v>
      </c>
      <c r="M256">
        <f t="shared" si="17"/>
        <v>29</v>
      </c>
      <c r="N256" t="str">
        <f t="shared" si="18"/>
        <v>Adult</v>
      </c>
      <c r="O256">
        <f t="shared" si="19"/>
        <v>15.25</v>
      </c>
    </row>
    <row r="257" spans="1:15" x14ac:dyDescent="0.3">
      <c r="A257">
        <v>256</v>
      </c>
      <c r="B257">
        <v>1</v>
      </c>
      <c r="C257" t="str">
        <f t="shared" si="15"/>
        <v>Yes</v>
      </c>
      <c r="D257" t="s">
        <v>958</v>
      </c>
      <c r="E257" t="s">
        <v>1218</v>
      </c>
      <c r="F257" t="str" cm="1">
        <f t="array" ref="F257">IF(OR(COUNTIF(D257,"*"&amp;$T$9:$T$15&amp;"*")),"Female","Male")</f>
        <v>Female</v>
      </c>
      <c r="G257">
        <v>38</v>
      </c>
      <c r="H257">
        <v>0</v>
      </c>
      <c r="I257">
        <v>0</v>
      </c>
      <c r="J257">
        <v>1</v>
      </c>
      <c r="K257">
        <v>79.2</v>
      </c>
      <c r="L257">
        <f t="shared" si="16"/>
        <v>1</v>
      </c>
      <c r="M257">
        <f t="shared" si="17"/>
        <v>38</v>
      </c>
      <c r="N257" t="str">
        <f t="shared" si="18"/>
        <v>Adult</v>
      </c>
      <c r="O257">
        <f t="shared" si="19"/>
        <v>79.2</v>
      </c>
    </row>
    <row r="258" spans="1:15" x14ac:dyDescent="0.3">
      <c r="A258">
        <v>257</v>
      </c>
      <c r="B258">
        <v>1</v>
      </c>
      <c r="C258" t="str">
        <f t="shared" si="15"/>
        <v>Yes</v>
      </c>
      <c r="D258" t="s">
        <v>960</v>
      </c>
      <c r="E258" t="s">
        <v>1219</v>
      </c>
      <c r="F258" t="str" cm="1">
        <f t="array" ref="F258">IF(OR(COUNTIF(D258,"*"&amp;$T$9:$T$15&amp;"*")),"Female","Male")</f>
        <v>Female</v>
      </c>
      <c r="G258">
        <v>30</v>
      </c>
      <c r="H258">
        <v>0</v>
      </c>
      <c r="I258">
        <v>0</v>
      </c>
      <c r="J258">
        <v>1</v>
      </c>
      <c r="K258">
        <v>86.5</v>
      </c>
      <c r="L258">
        <f t="shared" si="16"/>
        <v>1</v>
      </c>
      <c r="M258">
        <f t="shared" si="17"/>
        <v>30</v>
      </c>
      <c r="N258" t="str">
        <f t="shared" si="18"/>
        <v>Adult</v>
      </c>
      <c r="O258">
        <f t="shared" si="19"/>
        <v>86.5</v>
      </c>
    </row>
    <row r="259" spans="1:15" x14ac:dyDescent="0.3">
      <c r="A259">
        <v>258</v>
      </c>
      <c r="B259">
        <v>1</v>
      </c>
      <c r="C259" t="str">
        <f t="shared" ref="C259:C322" si="20">IF(B259=0,"No","Yes")</f>
        <v>Yes</v>
      </c>
      <c r="D259" t="s">
        <v>960</v>
      </c>
      <c r="E259" t="s">
        <v>1220</v>
      </c>
      <c r="F259" t="str" cm="1">
        <f t="array" ref="F259">IF(OR(COUNTIF(D259,"*"&amp;$T$9:$T$15&amp;"*")),"Female","Male")</f>
        <v>Female</v>
      </c>
      <c r="G259">
        <v>35</v>
      </c>
      <c r="H259">
        <v>0</v>
      </c>
      <c r="I259">
        <v>0</v>
      </c>
      <c r="J259">
        <v>1</v>
      </c>
      <c r="K259">
        <v>512.32920000000001</v>
      </c>
      <c r="L259">
        <f t="shared" ref="L259:L322" si="21">IF(F259 = "Male", 0, 1)</f>
        <v>1</v>
      </c>
      <c r="M259">
        <f t="shared" ref="M259:M322" si="22">ROUND(G259, 0)</f>
        <v>35</v>
      </c>
      <c r="N259" t="str">
        <f t="shared" ref="N259:N322" si="23">IF(G259&lt;=16,"Child","Adult")</f>
        <v>Adult</v>
      </c>
      <c r="O259">
        <f t="shared" ref="O259:O322" si="24">ROUND(K259, 2)</f>
        <v>512.33000000000004</v>
      </c>
    </row>
    <row r="260" spans="1:15" x14ac:dyDescent="0.3">
      <c r="A260">
        <v>259</v>
      </c>
      <c r="B260">
        <v>1</v>
      </c>
      <c r="C260" t="str">
        <f t="shared" si="20"/>
        <v>Yes</v>
      </c>
      <c r="D260" t="s">
        <v>958</v>
      </c>
      <c r="E260" t="s">
        <v>1221</v>
      </c>
      <c r="F260" t="str" cm="1">
        <f t="array" ref="F260">IF(OR(COUNTIF(D260,"*"&amp;$T$9:$T$15&amp;"*")),"Female","Male")</f>
        <v>Female</v>
      </c>
      <c r="G260">
        <v>50</v>
      </c>
      <c r="H260">
        <v>0</v>
      </c>
      <c r="I260">
        <v>1</v>
      </c>
      <c r="J260">
        <v>2</v>
      </c>
      <c r="K260">
        <v>26</v>
      </c>
      <c r="L260">
        <f t="shared" si="21"/>
        <v>1</v>
      </c>
      <c r="M260">
        <f t="shared" si="22"/>
        <v>50</v>
      </c>
      <c r="N260" t="str">
        <f t="shared" si="23"/>
        <v>Adult</v>
      </c>
      <c r="O260">
        <f t="shared" si="24"/>
        <v>26</v>
      </c>
    </row>
    <row r="261" spans="1:15" x14ac:dyDescent="0.3">
      <c r="A261">
        <v>260</v>
      </c>
      <c r="B261">
        <v>1</v>
      </c>
      <c r="C261" t="str">
        <f t="shared" si="20"/>
        <v>Yes</v>
      </c>
      <c r="D261" t="s">
        <v>966</v>
      </c>
      <c r="E261" t="s">
        <v>1222</v>
      </c>
      <c r="F261" t="str" cm="1">
        <f t="array" ref="F261">IF(OR(COUNTIF(D261,"*"&amp;$T$9:$T$15&amp;"*")),"Female","Male")</f>
        <v>Male</v>
      </c>
      <c r="G261">
        <v>3</v>
      </c>
      <c r="H261">
        <v>4</v>
      </c>
      <c r="I261">
        <v>2</v>
      </c>
      <c r="J261">
        <v>3</v>
      </c>
      <c r="K261">
        <v>31.387499999999999</v>
      </c>
      <c r="L261">
        <f t="shared" si="21"/>
        <v>0</v>
      </c>
      <c r="M261">
        <f t="shared" si="22"/>
        <v>3</v>
      </c>
      <c r="N261" t="str">
        <f t="shared" si="23"/>
        <v>Child</v>
      </c>
      <c r="O261">
        <f t="shared" si="24"/>
        <v>31.39</v>
      </c>
    </row>
    <row r="262" spans="1:15" x14ac:dyDescent="0.3">
      <c r="A262">
        <v>261</v>
      </c>
      <c r="B262">
        <v>0</v>
      </c>
      <c r="C262" t="str">
        <f t="shared" si="20"/>
        <v>No</v>
      </c>
      <c r="D262" t="s">
        <v>956</v>
      </c>
      <c r="E262" t="s">
        <v>1223</v>
      </c>
      <c r="F262" t="str" cm="1">
        <f t="array" ref="F262">IF(OR(COUNTIF(D262,"*"&amp;$T$9:$T$15&amp;"*")),"Female","Male")</f>
        <v>Male</v>
      </c>
      <c r="G262">
        <v>52</v>
      </c>
      <c r="H262">
        <v>1</v>
      </c>
      <c r="I262">
        <v>1</v>
      </c>
      <c r="J262">
        <v>1</v>
      </c>
      <c r="K262">
        <v>79.650000000000006</v>
      </c>
      <c r="L262">
        <f t="shared" si="21"/>
        <v>0</v>
      </c>
      <c r="M262">
        <f t="shared" si="22"/>
        <v>52</v>
      </c>
      <c r="N262" t="str">
        <f t="shared" si="23"/>
        <v>Adult</v>
      </c>
      <c r="O262">
        <f t="shared" si="24"/>
        <v>79.650000000000006</v>
      </c>
    </row>
    <row r="263" spans="1:15" x14ac:dyDescent="0.3">
      <c r="A263">
        <v>262</v>
      </c>
      <c r="B263">
        <v>0</v>
      </c>
      <c r="C263" t="str">
        <f t="shared" si="20"/>
        <v>No</v>
      </c>
      <c r="D263" t="s">
        <v>956</v>
      </c>
      <c r="E263" t="s">
        <v>1224</v>
      </c>
      <c r="F263" t="str" cm="1">
        <f t="array" ref="F263">IF(OR(COUNTIF(D263,"*"&amp;$T$9:$T$15&amp;"*")),"Female","Male")</f>
        <v>Male</v>
      </c>
      <c r="G263">
        <v>40</v>
      </c>
      <c r="H263">
        <v>0</v>
      </c>
      <c r="I263">
        <v>0</v>
      </c>
      <c r="J263">
        <v>1</v>
      </c>
      <c r="K263">
        <v>0</v>
      </c>
      <c r="L263">
        <f t="shared" si="21"/>
        <v>0</v>
      </c>
      <c r="M263">
        <f t="shared" si="22"/>
        <v>40</v>
      </c>
      <c r="N263" t="str">
        <f t="shared" si="23"/>
        <v>Adult</v>
      </c>
      <c r="O263">
        <f t="shared" si="24"/>
        <v>0</v>
      </c>
    </row>
    <row r="264" spans="1:15" x14ac:dyDescent="0.3">
      <c r="A264">
        <v>263</v>
      </c>
      <c r="B264">
        <v>0</v>
      </c>
      <c r="C264" t="str">
        <f t="shared" si="20"/>
        <v>No</v>
      </c>
      <c r="D264" t="s">
        <v>960</v>
      </c>
      <c r="E264" t="s">
        <v>1225</v>
      </c>
      <c r="F264" t="str" cm="1">
        <f t="array" ref="F264">IF(OR(COUNTIF(D264,"*"&amp;$T$9:$T$15&amp;"*")),"Female","Male")</f>
        <v>Female</v>
      </c>
      <c r="G264">
        <v>21</v>
      </c>
      <c r="H264">
        <v>0</v>
      </c>
      <c r="I264">
        <v>0</v>
      </c>
      <c r="J264">
        <v>3</v>
      </c>
      <c r="K264">
        <v>7.75</v>
      </c>
      <c r="L264">
        <f t="shared" si="21"/>
        <v>1</v>
      </c>
      <c r="M264">
        <f t="shared" si="22"/>
        <v>21</v>
      </c>
      <c r="N264" t="str">
        <f t="shared" si="23"/>
        <v>Adult</v>
      </c>
      <c r="O264">
        <f t="shared" si="24"/>
        <v>7.75</v>
      </c>
    </row>
    <row r="265" spans="1:15" x14ac:dyDescent="0.3">
      <c r="A265">
        <v>264</v>
      </c>
      <c r="B265">
        <v>0</v>
      </c>
      <c r="C265" t="str">
        <f t="shared" si="20"/>
        <v>No</v>
      </c>
      <c r="D265" t="s">
        <v>956</v>
      </c>
      <c r="E265" t="s">
        <v>1226</v>
      </c>
      <c r="F265" t="str" cm="1">
        <f t="array" ref="F265">IF(OR(COUNTIF(D265,"*"&amp;$T$9:$T$15&amp;"*")),"Female","Male")</f>
        <v>Male</v>
      </c>
      <c r="G265">
        <v>36</v>
      </c>
      <c r="H265">
        <v>0</v>
      </c>
      <c r="I265">
        <v>0</v>
      </c>
      <c r="J265">
        <v>2</v>
      </c>
      <c r="K265">
        <v>10.5</v>
      </c>
      <c r="L265">
        <f t="shared" si="21"/>
        <v>0</v>
      </c>
      <c r="M265">
        <f t="shared" si="22"/>
        <v>36</v>
      </c>
      <c r="N265" t="str">
        <f t="shared" si="23"/>
        <v>Adult</v>
      </c>
      <c r="O265">
        <f t="shared" si="24"/>
        <v>10.5</v>
      </c>
    </row>
    <row r="266" spans="1:15" x14ac:dyDescent="0.3">
      <c r="A266">
        <v>265</v>
      </c>
      <c r="B266">
        <v>0</v>
      </c>
      <c r="C266" t="str">
        <f t="shared" si="20"/>
        <v>No</v>
      </c>
      <c r="D266" t="s">
        <v>956</v>
      </c>
      <c r="E266" t="s">
        <v>1227</v>
      </c>
      <c r="F266" t="str" cm="1">
        <f t="array" ref="F266">IF(OR(COUNTIF(D266,"*"&amp;$T$9:$T$15&amp;"*")),"Female","Male")</f>
        <v>Male</v>
      </c>
      <c r="G266">
        <v>16</v>
      </c>
      <c r="H266">
        <v>4</v>
      </c>
      <c r="I266">
        <v>1</v>
      </c>
      <c r="J266">
        <v>3</v>
      </c>
      <c r="K266">
        <v>39.6875</v>
      </c>
      <c r="L266">
        <f t="shared" si="21"/>
        <v>0</v>
      </c>
      <c r="M266">
        <f t="shared" si="22"/>
        <v>16</v>
      </c>
      <c r="N266" t="str">
        <f t="shared" si="23"/>
        <v>Child</v>
      </c>
      <c r="O266">
        <f t="shared" si="24"/>
        <v>39.69</v>
      </c>
    </row>
    <row r="267" spans="1:15" x14ac:dyDescent="0.3">
      <c r="A267">
        <v>266</v>
      </c>
      <c r="B267">
        <v>1</v>
      </c>
      <c r="C267" t="str">
        <f t="shared" si="20"/>
        <v>Yes</v>
      </c>
      <c r="D267" t="s">
        <v>956</v>
      </c>
      <c r="E267" t="s">
        <v>1228</v>
      </c>
      <c r="F267" t="str" cm="1">
        <f t="array" ref="F267">IF(OR(COUNTIF(D267,"*"&amp;$T$9:$T$15&amp;"*")),"Female","Male")</f>
        <v>Male</v>
      </c>
      <c r="G267">
        <v>25</v>
      </c>
      <c r="H267">
        <v>1</v>
      </c>
      <c r="I267">
        <v>0</v>
      </c>
      <c r="J267">
        <v>3</v>
      </c>
      <c r="K267">
        <v>7.7750000000000004</v>
      </c>
      <c r="L267">
        <f t="shared" si="21"/>
        <v>0</v>
      </c>
      <c r="M267">
        <f t="shared" si="22"/>
        <v>25</v>
      </c>
      <c r="N267" t="str">
        <f t="shared" si="23"/>
        <v>Adult</v>
      </c>
      <c r="O267">
        <f t="shared" si="24"/>
        <v>7.78</v>
      </c>
    </row>
    <row r="268" spans="1:15" x14ac:dyDescent="0.3">
      <c r="A268">
        <v>267</v>
      </c>
      <c r="B268">
        <v>1</v>
      </c>
      <c r="C268" t="str">
        <f t="shared" si="20"/>
        <v>Yes</v>
      </c>
      <c r="D268" t="s">
        <v>958</v>
      </c>
      <c r="E268" t="s">
        <v>1229</v>
      </c>
      <c r="F268" t="str" cm="1">
        <f t="array" ref="F268">IF(OR(COUNTIF(D268,"*"&amp;$T$9:$T$15&amp;"*")),"Female","Male")</f>
        <v>Female</v>
      </c>
      <c r="G268">
        <v>58</v>
      </c>
      <c r="H268">
        <v>0</v>
      </c>
      <c r="I268">
        <v>1</v>
      </c>
      <c r="J268">
        <v>1</v>
      </c>
      <c r="K268">
        <v>153.46250000000001</v>
      </c>
      <c r="L268">
        <f t="shared" si="21"/>
        <v>1</v>
      </c>
      <c r="M268">
        <f t="shared" si="22"/>
        <v>58</v>
      </c>
      <c r="N268" t="str">
        <f t="shared" si="23"/>
        <v>Adult</v>
      </c>
      <c r="O268">
        <f t="shared" si="24"/>
        <v>153.46</v>
      </c>
    </row>
    <row r="269" spans="1:15" x14ac:dyDescent="0.3">
      <c r="A269">
        <v>268</v>
      </c>
      <c r="B269">
        <v>1</v>
      </c>
      <c r="C269" t="str">
        <f t="shared" si="20"/>
        <v>Yes</v>
      </c>
      <c r="D269" t="s">
        <v>960</v>
      </c>
      <c r="E269" t="s">
        <v>1230</v>
      </c>
      <c r="F269" t="str" cm="1">
        <f t="array" ref="F269">IF(OR(COUNTIF(D269,"*"&amp;$T$9:$T$15&amp;"*")),"Female","Male")</f>
        <v>Female</v>
      </c>
      <c r="G269">
        <v>35</v>
      </c>
      <c r="H269">
        <v>0</v>
      </c>
      <c r="I269">
        <v>0</v>
      </c>
      <c r="J269">
        <v>1</v>
      </c>
      <c r="K269">
        <v>135.63329999999999</v>
      </c>
      <c r="L269">
        <f t="shared" si="21"/>
        <v>1</v>
      </c>
      <c r="M269">
        <f t="shared" si="22"/>
        <v>35</v>
      </c>
      <c r="N269" t="str">
        <f t="shared" si="23"/>
        <v>Adult</v>
      </c>
      <c r="O269">
        <f t="shared" si="24"/>
        <v>135.63</v>
      </c>
    </row>
    <row r="270" spans="1:15" x14ac:dyDescent="0.3">
      <c r="A270">
        <v>269</v>
      </c>
      <c r="B270">
        <v>0</v>
      </c>
      <c r="C270" t="str">
        <f t="shared" si="20"/>
        <v>No</v>
      </c>
      <c r="D270" t="s">
        <v>956</v>
      </c>
      <c r="E270" t="s">
        <v>1231</v>
      </c>
      <c r="F270" t="str" cm="1">
        <f t="array" ref="F270">IF(OR(COUNTIF(D270,"*"&amp;$T$9:$T$15&amp;"*")),"Female","Male")</f>
        <v>Male</v>
      </c>
      <c r="G270">
        <v>28</v>
      </c>
      <c r="H270">
        <v>0</v>
      </c>
      <c r="I270">
        <v>0</v>
      </c>
      <c r="J270">
        <v>1</v>
      </c>
      <c r="K270">
        <v>31</v>
      </c>
      <c r="L270">
        <f t="shared" si="21"/>
        <v>0</v>
      </c>
      <c r="M270">
        <f t="shared" si="22"/>
        <v>28</v>
      </c>
      <c r="N270" t="str">
        <f t="shared" si="23"/>
        <v>Adult</v>
      </c>
      <c r="O270">
        <f t="shared" si="24"/>
        <v>31</v>
      </c>
    </row>
    <row r="271" spans="1:15" x14ac:dyDescent="0.3">
      <c r="A271">
        <v>270</v>
      </c>
      <c r="B271">
        <v>1</v>
      </c>
      <c r="C271" t="str">
        <f t="shared" si="20"/>
        <v>Yes</v>
      </c>
      <c r="D271" t="s">
        <v>956</v>
      </c>
      <c r="E271" t="s">
        <v>1232</v>
      </c>
      <c r="F271" t="str" cm="1">
        <f t="array" ref="F271">IF(OR(COUNTIF(D271,"*"&amp;$T$9:$T$15&amp;"*")),"Female","Male")</f>
        <v>Male</v>
      </c>
      <c r="G271">
        <v>25</v>
      </c>
      <c r="H271">
        <v>0</v>
      </c>
      <c r="I271">
        <v>0</v>
      </c>
      <c r="J271">
        <v>3</v>
      </c>
      <c r="K271">
        <v>0</v>
      </c>
      <c r="L271">
        <f t="shared" si="21"/>
        <v>0</v>
      </c>
      <c r="M271">
        <f t="shared" si="22"/>
        <v>25</v>
      </c>
      <c r="N271" t="str">
        <f t="shared" si="23"/>
        <v>Adult</v>
      </c>
      <c r="O271">
        <f t="shared" si="24"/>
        <v>0</v>
      </c>
    </row>
    <row r="272" spans="1:15" x14ac:dyDescent="0.3">
      <c r="A272">
        <v>271</v>
      </c>
      <c r="B272">
        <v>1</v>
      </c>
      <c r="C272" t="str">
        <f t="shared" si="20"/>
        <v>Yes</v>
      </c>
      <c r="D272" t="s">
        <v>958</v>
      </c>
      <c r="E272" t="s">
        <v>1233</v>
      </c>
      <c r="F272" t="str" cm="1">
        <f t="array" ref="F272">IF(OR(COUNTIF(D272,"*"&amp;$T$9:$T$15&amp;"*")),"Female","Male")</f>
        <v>Female</v>
      </c>
      <c r="G272">
        <v>41</v>
      </c>
      <c r="H272">
        <v>0</v>
      </c>
      <c r="I272">
        <v>1</v>
      </c>
      <c r="J272">
        <v>2</v>
      </c>
      <c r="K272">
        <v>19.5</v>
      </c>
      <c r="L272">
        <f t="shared" si="21"/>
        <v>1</v>
      </c>
      <c r="M272">
        <f t="shared" si="22"/>
        <v>41</v>
      </c>
      <c r="N272" t="str">
        <f t="shared" si="23"/>
        <v>Adult</v>
      </c>
      <c r="O272">
        <f t="shared" si="24"/>
        <v>19.5</v>
      </c>
    </row>
    <row r="273" spans="1:15" x14ac:dyDescent="0.3">
      <c r="A273">
        <v>272</v>
      </c>
      <c r="B273">
        <v>0</v>
      </c>
      <c r="C273" t="str">
        <f t="shared" si="20"/>
        <v>No</v>
      </c>
      <c r="D273" t="s">
        <v>956</v>
      </c>
      <c r="E273" t="s">
        <v>1234</v>
      </c>
      <c r="F273" t="str" cm="1">
        <f t="array" ref="F273">IF(OR(COUNTIF(D273,"*"&amp;$T$9:$T$15&amp;"*")),"Female","Male")</f>
        <v>Male</v>
      </c>
      <c r="G273">
        <v>37</v>
      </c>
      <c r="H273">
        <v>0</v>
      </c>
      <c r="I273">
        <v>1</v>
      </c>
      <c r="J273">
        <v>1</v>
      </c>
      <c r="K273">
        <v>29.7</v>
      </c>
      <c r="L273">
        <f t="shared" si="21"/>
        <v>0</v>
      </c>
      <c r="M273">
        <f t="shared" si="22"/>
        <v>37</v>
      </c>
      <c r="N273" t="str">
        <f t="shared" si="23"/>
        <v>Adult</v>
      </c>
      <c r="O273">
        <f t="shared" si="24"/>
        <v>29.7</v>
      </c>
    </row>
    <row r="274" spans="1:15" x14ac:dyDescent="0.3">
      <c r="A274">
        <v>273</v>
      </c>
      <c r="B274">
        <v>1</v>
      </c>
      <c r="C274" t="str">
        <f t="shared" si="20"/>
        <v>Yes</v>
      </c>
      <c r="D274" t="s">
        <v>960</v>
      </c>
      <c r="E274" t="s">
        <v>1235</v>
      </c>
      <c r="F274" t="str" cm="1">
        <f t="array" ref="F274">IF(OR(COUNTIF(D274,"*"&amp;$T$9:$T$15&amp;"*")),"Female","Male")</f>
        <v>Female</v>
      </c>
      <c r="G274">
        <v>33</v>
      </c>
      <c r="H274">
        <v>0</v>
      </c>
      <c r="I274">
        <v>0</v>
      </c>
      <c r="J274">
        <v>3</v>
      </c>
      <c r="K274">
        <v>7.75</v>
      </c>
      <c r="L274">
        <f t="shared" si="21"/>
        <v>1</v>
      </c>
      <c r="M274">
        <f t="shared" si="22"/>
        <v>33</v>
      </c>
      <c r="N274" t="str">
        <f t="shared" si="23"/>
        <v>Adult</v>
      </c>
      <c r="O274">
        <f t="shared" si="24"/>
        <v>7.75</v>
      </c>
    </row>
    <row r="275" spans="1:15" x14ac:dyDescent="0.3">
      <c r="A275">
        <v>274</v>
      </c>
      <c r="B275">
        <v>1</v>
      </c>
      <c r="C275" t="str">
        <f t="shared" si="20"/>
        <v>Yes</v>
      </c>
      <c r="D275" t="s">
        <v>960</v>
      </c>
      <c r="E275" t="s">
        <v>1236</v>
      </c>
      <c r="F275" t="str" cm="1">
        <f t="array" ref="F275">IF(OR(COUNTIF(D275,"*"&amp;$T$9:$T$15&amp;"*")),"Female","Male")</f>
        <v>Female</v>
      </c>
      <c r="G275">
        <v>63</v>
      </c>
      <c r="H275">
        <v>1</v>
      </c>
      <c r="I275">
        <v>0</v>
      </c>
      <c r="J275">
        <v>1</v>
      </c>
      <c r="K275">
        <v>77.958299999999994</v>
      </c>
      <c r="L275">
        <f t="shared" si="21"/>
        <v>1</v>
      </c>
      <c r="M275">
        <f t="shared" si="22"/>
        <v>63</v>
      </c>
      <c r="N275" t="str">
        <f t="shared" si="23"/>
        <v>Adult</v>
      </c>
      <c r="O275">
        <f t="shared" si="24"/>
        <v>77.959999999999994</v>
      </c>
    </row>
    <row r="276" spans="1:15" x14ac:dyDescent="0.3">
      <c r="A276">
        <v>275</v>
      </c>
      <c r="B276">
        <v>0</v>
      </c>
      <c r="C276" t="str">
        <f t="shared" si="20"/>
        <v>No</v>
      </c>
      <c r="D276" t="s">
        <v>960</v>
      </c>
      <c r="E276" t="s">
        <v>1237</v>
      </c>
      <c r="F276" t="str" cm="1">
        <f t="array" ref="F276">IF(OR(COUNTIF(D276,"*"&amp;$T$9:$T$15&amp;"*")),"Female","Male")</f>
        <v>Female</v>
      </c>
      <c r="G276">
        <v>45</v>
      </c>
      <c r="H276">
        <v>0</v>
      </c>
      <c r="I276">
        <v>0</v>
      </c>
      <c r="J276">
        <v>3</v>
      </c>
      <c r="K276">
        <v>7.75</v>
      </c>
      <c r="L276">
        <f t="shared" si="21"/>
        <v>1</v>
      </c>
      <c r="M276">
        <f t="shared" si="22"/>
        <v>45</v>
      </c>
      <c r="N276" t="str">
        <f t="shared" si="23"/>
        <v>Adult</v>
      </c>
      <c r="O276">
        <f t="shared" si="24"/>
        <v>7.75</v>
      </c>
    </row>
    <row r="277" spans="1:15" x14ac:dyDescent="0.3">
      <c r="A277">
        <v>276</v>
      </c>
      <c r="B277">
        <v>0</v>
      </c>
      <c r="C277" t="str">
        <f t="shared" si="20"/>
        <v>No</v>
      </c>
      <c r="D277" t="s">
        <v>956</v>
      </c>
      <c r="E277" t="s">
        <v>1238</v>
      </c>
      <c r="F277" t="str" cm="1">
        <f t="array" ref="F277">IF(OR(COUNTIF(D277,"*"&amp;$T$9:$T$15&amp;"*")),"Female","Male")</f>
        <v>Male</v>
      </c>
      <c r="G277">
        <v>21</v>
      </c>
      <c r="H277">
        <v>0</v>
      </c>
      <c r="I277">
        <v>0</v>
      </c>
      <c r="J277">
        <v>2</v>
      </c>
      <c r="K277">
        <v>0</v>
      </c>
      <c r="L277">
        <f t="shared" si="21"/>
        <v>0</v>
      </c>
      <c r="M277">
        <f t="shared" si="22"/>
        <v>21</v>
      </c>
      <c r="N277" t="str">
        <f t="shared" si="23"/>
        <v>Adult</v>
      </c>
      <c r="O277">
        <f t="shared" si="24"/>
        <v>0</v>
      </c>
    </row>
    <row r="278" spans="1:15" x14ac:dyDescent="0.3">
      <c r="A278">
        <v>277</v>
      </c>
      <c r="B278">
        <v>0</v>
      </c>
      <c r="C278" t="str">
        <f t="shared" si="20"/>
        <v>No</v>
      </c>
      <c r="D278" t="s">
        <v>966</v>
      </c>
      <c r="E278" t="s">
        <v>1239</v>
      </c>
      <c r="F278" t="str" cm="1">
        <f t="array" ref="F278">IF(OR(COUNTIF(D278,"*"&amp;$T$9:$T$15&amp;"*")),"Female","Male")</f>
        <v>Male</v>
      </c>
      <c r="G278">
        <v>7</v>
      </c>
      <c r="H278">
        <v>4</v>
      </c>
      <c r="I278">
        <v>1</v>
      </c>
      <c r="J278">
        <v>3</v>
      </c>
      <c r="K278">
        <v>29.125</v>
      </c>
      <c r="L278">
        <f t="shared" si="21"/>
        <v>0</v>
      </c>
      <c r="M278">
        <f t="shared" si="22"/>
        <v>7</v>
      </c>
      <c r="N278" t="str">
        <f t="shared" si="23"/>
        <v>Child</v>
      </c>
      <c r="O278">
        <f t="shared" si="24"/>
        <v>29.13</v>
      </c>
    </row>
    <row r="279" spans="1:15" x14ac:dyDescent="0.3">
      <c r="A279">
        <v>278</v>
      </c>
      <c r="B279">
        <v>1</v>
      </c>
      <c r="C279" t="str">
        <f t="shared" si="20"/>
        <v>Yes</v>
      </c>
      <c r="D279" t="s">
        <v>958</v>
      </c>
      <c r="E279" t="s">
        <v>1240</v>
      </c>
      <c r="F279" t="str" cm="1">
        <f t="array" ref="F279">IF(OR(COUNTIF(D279,"*"&amp;$T$9:$T$15&amp;"*")),"Female","Male")</f>
        <v>Female</v>
      </c>
      <c r="G279">
        <v>35</v>
      </c>
      <c r="H279">
        <v>1</v>
      </c>
      <c r="I279">
        <v>1</v>
      </c>
      <c r="J279">
        <v>3</v>
      </c>
      <c r="K279">
        <v>20.25</v>
      </c>
      <c r="L279">
        <f t="shared" si="21"/>
        <v>1</v>
      </c>
      <c r="M279">
        <f t="shared" si="22"/>
        <v>35</v>
      </c>
      <c r="N279" t="str">
        <f t="shared" si="23"/>
        <v>Adult</v>
      </c>
      <c r="O279">
        <f t="shared" si="24"/>
        <v>20.25</v>
      </c>
    </row>
    <row r="280" spans="1:15" x14ac:dyDescent="0.3">
      <c r="A280">
        <v>279</v>
      </c>
      <c r="B280">
        <v>0</v>
      </c>
      <c r="C280" t="str">
        <f t="shared" si="20"/>
        <v>No</v>
      </c>
      <c r="D280" t="s">
        <v>956</v>
      </c>
      <c r="E280" t="s">
        <v>1241</v>
      </c>
      <c r="F280" t="str" cm="1">
        <f t="array" ref="F280">IF(OR(COUNTIF(D280,"*"&amp;$T$9:$T$15&amp;"*")),"Female","Male")</f>
        <v>Male</v>
      </c>
      <c r="G280">
        <v>65</v>
      </c>
      <c r="H280">
        <v>0</v>
      </c>
      <c r="I280">
        <v>0</v>
      </c>
      <c r="J280">
        <v>3</v>
      </c>
      <c r="K280">
        <v>7.75</v>
      </c>
      <c r="L280">
        <f t="shared" si="21"/>
        <v>0</v>
      </c>
      <c r="M280">
        <f t="shared" si="22"/>
        <v>65</v>
      </c>
      <c r="N280" t="str">
        <f t="shared" si="23"/>
        <v>Adult</v>
      </c>
      <c r="O280">
        <f t="shared" si="24"/>
        <v>7.75</v>
      </c>
    </row>
    <row r="281" spans="1:15" x14ac:dyDescent="0.3">
      <c r="A281">
        <v>280</v>
      </c>
      <c r="B281">
        <v>0</v>
      </c>
      <c r="C281" t="str">
        <f t="shared" si="20"/>
        <v>No</v>
      </c>
      <c r="D281" t="s">
        <v>956</v>
      </c>
      <c r="E281" t="s">
        <v>1242</v>
      </c>
      <c r="F281" t="str" cm="1">
        <f t="array" ref="F281">IF(OR(COUNTIF(D281,"*"&amp;$T$9:$T$15&amp;"*")),"Female","Male")</f>
        <v>Male</v>
      </c>
      <c r="G281">
        <v>28</v>
      </c>
      <c r="H281">
        <v>0</v>
      </c>
      <c r="I281">
        <v>0</v>
      </c>
      <c r="J281">
        <v>3</v>
      </c>
      <c r="K281">
        <v>7.8541999999999996</v>
      </c>
      <c r="L281">
        <f t="shared" si="21"/>
        <v>0</v>
      </c>
      <c r="M281">
        <f t="shared" si="22"/>
        <v>28</v>
      </c>
      <c r="N281" t="str">
        <f t="shared" si="23"/>
        <v>Adult</v>
      </c>
      <c r="O281">
        <f t="shared" si="24"/>
        <v>7.85</v>
      </c>
    </row>
    <row r="282" spans="1:15" x14ac:dyDescent="0.3">
      <c r="A282">
        <v>281</v>
      </c>
      <c r="B282">
        <v>0</v>
      </c>
      <c r="C282" t="str">
        <f t="shared" si="20"/>
        <v>No</v>
      </c>
      <c r="D282" t="s">
        <v>956</v>
      </c>
      <c r="E282" t="s">
        <v>1243</v>
      </c>
      <c r="F282" t="str" cm="1">
        <f t="array" ref="F282">IF(OR(COUNTIF(D282,"*"&amp;$T$9:$T$15&amp;"*")),"Female","Male")</f>
        <v>Male</v>
      </c>
      <c r="G282">
        <v>16</v>
      </c>
      <c r="H282">
        <v>0</v>
      </c>
      <c r="I282">
        <v>0</v>
      </c>
      <c r="J282">
        <v>3</v>
      </c>
      <c r="K282">
        <v>9.5</v>
      </c>
      <c r="L282">
        <f t="shared" si="21"/>
        <v>0</v>
      </c>
      <c r="M282">
        <f t="shared" si="22"/>
        <v>16</v>
      </c>
      <c r="N282" t="str">
        <f t="shared" si="23"/>
        <v>Child</v>
      </c>
      <c r="O282">
        <f t="shared" si="24"/>
        <v>9.5</v>
      </c>
    </row>
    <row r="283" spans="1:15" x14ac:dyDescent="0.3">
      <c r="A283">
        <v>282</v>
      </c>
      <c r="B283">
        <v>1</v>
      </c>
      <c r="C283" t="str">
        <f t="shared" si="20"/>
        <v>Yes</v>
      </c>
      <c r="D283" t="s">
        <v>956</v>
      </c>
      <c r="E283" t="s">
        <v>1244</v>
      </c>
      <c r="F283" t="str" cm="1">
        <f t="array" ref="F283">IF(OR(COUNTIF(D283,"*"&amp;$T$9:$T$15&amp;"*")),"Female","Male")</f>
        <v>Male</v>
      </c>
      <c r="G283">
        <v>19</v>
      </c>
      <c r="H283">
        <v>0</v>
      </c>
      <c r="I283">
        <v>0</v>
      </c>
      <c r="J283">
        <v>3</v>
      </c>
      <c r="K283">
        <v>8.0500000000000007</v>
      </c>
      <c r="L283">
        <f t="shared" si="21"/>
        <v>0</v>
      </c>
      <c r="M283">
        <f t="shared" si="22"/>
        <v>19</v>
      </c>
      <c r="N283" t="str">
        <f t="shared" si="23"/>
        <v>Adult</v>
      </c>
      <c r="O283">
        <f t="shared" si="24"/>
        <v>8.0500000000000007</v>
      </c>
    </row>
    <row r="284" spans="1:15" x14ac:dyDescent="0.3">
      <c r="A284">
        <v>283</v>
      </c>
      <c r="B284">
        <v>0</v>
      </c>
      <c r="C284" t="str">
        <f t="shared" si="20"/>
        <v>No</v>
      </c>
      <c r="D284" t="s">
        <v>956</v>
      </c>
      <c r="E284" t="s">
        <v>1245</v>
      </c>
      <c r="F284" t="str" cm="1">
        <f t="array" ref="F284">IF(OR(COUNTIF(D284,"*"&amp;$T$9:$T$15&amp;"*")),"Female","Male")</f>
        <v>Male</v>
      </c>
      <c r="G284">
        <v>57</v>
      </c>
      <c r="H284">
        <v>0</v>
      </c>
      <c r="I284">
        <v>0</v>
      </c>
      <c r="J284">
        <v>1</v>
      </c>
      <c r="K284">
        <v>26</v>
      </c>
      <c r="L284">
        <f t="shared" si="21"/>
        <v>0</v>
      </c>
      <c r="M284">
        <f t="shared" si="22"/>
        <v>57</v>
      </c>
      <c r="N284" t="str">
        <f t="shared" si="23"/>
        <v>Adult</v>
      </c>
      <c r="O284">
        <f t="shared" si="24"/>
        <v>26</v>
      </c>
    </row>
    <row r="285" spans="1:15" x14ac:dyDescent="0.3">
      <c r="A285">
        <v>284</v>
      </c>
      <c r="B285">
        <v>0</v>
      </c>
      <c r="C285" t="str">
        <f t="shared" si="20"/>
        <v>No</v>
      </c>
      <c r="D285" t="s">
        <v>956</v>
      </c>
      <c r="E285" t="s">
        <v>1246</v>
      </c>
      <c r="F285" t="str" cm="1">
        <f t="array" ref="F285">IF(OR(COUNTIF(D285,"*"&amp;$T$9:$T$15&amp;"*")),"Female","Male")</f>
        <v>Male</v>
      </c>
      <c r="G285">
        <v>33</v>
      </c>
      <c r="H285">
        <v>0</v>
      </c>
      <c r="I285">
        <v>0</v>
      </c>
      <c r="J285">
        <v>3</v>
      </c>
      <c r="K285">
        <v>8.6624999999999996</v>
      </c>
      <c r="L285">
        <f t="shared" si="21"/>
        <v>0</v>
      </c>
      <c r="M285">
        <f t="shared" si="22"/>
        <v>33</v>
      </c>
      <c r="N285" t="str">
        <f t="shared" si="23"/>
        <v>Adult</v>
      </c>
      <c r="O285">
        <f t="shared" si="24"/>
        <v>8.66</v>
      </c>
    </row>
    <row r="286" spans="1:15" x14ac:dyDescent="0.3">
      <c r="A286">
        <v>285</v>
      </c>
      <c r="B286">
        <v>1</v>
      </c>
      <c r="C286" t="str">
        <f t="shared" si="20"/>
        <v>Yes</v>
      </c>
      <c r="D286" t="s">
        <v>956</v>
      </c>
      <c r="E286" t="s">
        <v>1247</v>
      </c>
      <c r="F286" t="str" cm="1">
        <f t="array" ref="F286">IF(OR(COUNTIF(D286,"*"&amp;$T$9:$T$15&amp;"*")),"Female","Male")</f>
        <v>Male</v>
      </c>
      <c r="G286">
        <v>30</v>
      </c>
      <c r="H286">
        <v>0</v>
      </c>
      <c r="I286">
        <v>0</v>
      </c>
      <c r="J286">
        <v>3</v>
      </c>
      <c r="K286">
        <v>9.5</v>
      </c>
      <c r="L286">
        <f t="shared" si="21"/>
        <v>0</v>
      </c>
      <c r="M286">
        <f t="shared" si="22"/>
        <v>30</v>
      </c>
      <c r="N286" t="str">
        <f t="shared" si="23"/>
        <v>Adult</v>
      </c>
      <c r="O286">
        <f t="shared" si="24"/>
        <v>9.5</v>
      </c>
    </row>
    <row r="287" spans="1:15" x14ac:dyDescent="0.3">
      <c r="A287">
        <v>286</v>
      </c>
      <c r="B287">
        <v>0</v>
      </c>
      <c r="C287" t="str">
        <f t="shared" si="20"/>
        <v>No</v>
      </c>
      <c r="D287" t="s">
        <v>956</v>
      </c>
      <c r="E287" t="s">
        <v>1248</v>
      </c>
      <c r="F287" t="str" cm="1">
        <f t="array" ref="F287">IF(OR(COUNTIF(D287,"*"&amp;$T$9:$T$15&amp;"*")),"Female","Male")</f>
        <v>Male</v>
      </c>
      <c r="G287">
        <v>22</v>
      </c>
      <c r="H287">
        <v>0</v>
      </c>
      <c r="I287">
        <v>0</v>
      </c>
      <c r="J287">
        <v>3</v>
      </c>
      <c r="K287">
        <v>7.8958000000000004</v>
      </c>
      <c r="L287">
        <f t="shared" si="21"/>
        <v>0</v>
      </c>
      <c r="M287">
        <f t="shared" si="22"/>
        <v>22</v>
      </c>
      <c r="N287" t="str">
        <f t="shared" si="23"/>
        <v>Adult</v>
      </c>
      <c r="O287">
        <f t="shared" si="24"/>
        <v>7.9</v>
      </c>
    </row>
    <row r="288" spans="1:15" x14ac:dyDescent="0.3">
      <c r="A288">
        <v>287</v>
      </c>
      <c r="B288">
        <v>1</v>
      </c>
      <c r="C288" t="str">
        <f t="shared" si="20"/>
        <v>Yes</v>
      </c>
      <c r="D288" t="s">
        <v>956</v>
      </c>
      <c r="E288" t="s">
        <v>1249</v>
      </c>
      <c r="F288" t="str" cm="1">
        <f t="array" ref="F288">IF(OR(COUNTIF(D288,"*"&amp;$T$9:$T$15&amp;"*")),"Female","Male")</f>
        <v>Male</v>
      </c>
      <c r="G288">
        <v>42</v>
      </c>
      <c r="H288">
        <v>0</v>
      </c>
      <c r="I288">
        <v>0</v>
      </c>
      <c r="J288">
        <v>2</v>
      </c>
      <c r="K288">
        <v>13</v>
      </c>
      <c r="L288">
        <f t="shared" si="21"/>
        <v>0</v>
      </c>
      <c r="M288">
        <f t="shared" si="22"/>
        <v>42</v>
      </c>
      <c r="N288" t="str">
        <f t="shared" si="23"/>
        <v>Adult</v>
      </c>
      <c r="O288">
        <f t="shared" si="24"/>
        <v>13</v>
      </c>
    </row>
    <row r="289" spans="1:15" x14ac:dyDescent="0.3">
      <c r="A289">
        <v>288</v>
      </c>
      <c r="B289">
        <v>1</v>
      </c>
      <c r="C289" t="str">
        <f t="shared" si="20"/>
        <v>Yes</v>
      </c>
      <c r="D289" t="s">
        <v>960</v>
      </c>
      <c r="E289" t="s">
        <v>1250</v>
      </c>
      <c r="F289" t="str" cm="1">
        <f t="array" ref="F289">IF(OR(COUNTIF(D289,"*"&amp;$T$9:$T$15&amp;"*")),"Female","Male")</f>
        <v>Female</v>
      </c>
      <c r="G289">
        <v>22</v>
      </c>
      <c r="H289">
        <v>0</v>
      </c>
      <c r="I289">
        <v>0</v>
      </c>
      <c r="J289">
        <v>3</v>
      </c>
      <c r="K289">
        <v>7.75</v>
      </c>
      <c r="L289">
        <f t="shared" si="21"/>
        <v>1</v>
      </c>
      <c r="M289">
        <f t="shared" si="22"/>
        <v>22</v>
      </c>
      <c r="N289" t="str">
        <f t="shared" si="23"/>
        <v>Adult</v>
      </c>
      <c r="O289">
        <f t="shared" si="24"/>
        <v>7.75</v>
      </c>
    </row>
    <row r="290" spans="1:15" x14ac:dyDescent="0.3">
      <c r="A290">
        <v>289</v>
      </c>
      <c r="B290">
        <v>1</v>
      </c>
      <c r="C290" t="str">
        <f t="shared" si="20"/>
        <v>Yes</v>
      </c>
      <c r="D290" t="s">
        <v>960</v>
      </c>
      <c r="E290" t="s">
        <v>1251</v>
      </c>
      <c r="F290" t="str" cm="1">
        <f t="array" ref="F290">IF(OR(COUNTIF(D290,"*"&amp;$T$9:$T$15&amp;"*")),"Female","Male")</f>
        <v>Female</v>
      </c>
      <c r="G290">
        <v>26</v>
      </c>
      <c r="H290">
        <v>0</v>
      </c>
      <c r="I290">
        <v>0</v>
      </c>
      <c r="J290">
        <v>1</v>
      </c>
      <c r="K290">
        <v>78.849999999999994</v>
      </c>
      <c r="L290">
        <f t="shared" si="21"/>
        <v>1</v>
      </c>
      <c r="M290">
        <f t="shared" si="22"/>
        <v>26</v>
      </c>
      <c r="N290" t="str">
        <f t="shared" si="23"/>
        <v>Adult</v>
      </c>
      <c r="O290">
        <f t="shared" si="24"/>
        <v>78.849999999999994</v>
      </c>
    </row>
    <row r="291" spans="1:15" x14ac:dyDescent="0.3">
      <c r="A291">
        <v>290</v>
      </c>
      <c r="B291">
        <v>1</v>
      </c>
      <c r="C291" t="str">
        <f t="shared" si="20"/>
        <v>Yes</v>
      </c>
      <c r="D291" t="s">
        <v>958</v>
      </c>
      <c r="E291" t="s">
        <v>1252</v>
      </c>
      <c r="F291" t="str" cm="1">
        <f t="array" ref="F291">IF(OR(COUNTIF(D291,"*"&amp;$T$9:$T$15&amp;"*")),"Female","Male")</f>
        <v>Female</v>
      </c>
      <c r="G291">
        <v>19</v>
      </c>
      <c r="H291">
        <v>1</v>
      </c>
      <c r="I291">
        <v>0</v>
      </c>
      <c r="J291">
        <v>1</v>
      </c>
      <c r="K291">
        <v>91.0792</v>
      </c>
      <c r="L291">
        <f t="shared" si="21"/>
        <v>1</v>
      </c>
      <c r="M291">
        <f t="shared" si="22"/>
        <v>19</v>
      </c>
      <c r="N291" t="str">
        <f t="shared" si="23"/>
        <v>Adult</v>
      </c>
      <c r="O291">
        <f t="shared" si="24"/>
        <v>91.08</v>
      </c>
    </row>
    <row r="292" spans="1:15" x14ac:dyDescent="0.3">
      <c r="A292">
        <v>291</v>
      </c>
      <c r="B292">
        <v>0</v>
      </c>
      <c r="C292" t="str">
        <f t="shared" si="20"/>
        <v>No</v>
      </c>
      <c r="D292" t="s">
        <v>956</v>
      </c>
      <c r="E292" t="s">
        <v>1253</v>
      </c>
      <c r="F292" t="str" cm="1">
        <f t="array" ref="F292">IF(OR(COUNTIF(D292,"*"&amp;$T$9:$T$15&amp;"*")),"Female","Male")</f>
        <v>Male</v>
      </c>
      <c r="G292">
        <v>36</v>
      </c>
      <c r="H292">
        <v>0</v>
      </c>
      <c r="I292">
        <v>0</v>
      </c>
      <c r="J292">
        <v>2</v>
      </c>
      <c r="K292">
        <v>12.875</v>
      </c>
      <c r="L292">
        <f t="shared" si="21"/>
        <v>0</v>
      </c>
      <c r="M292">
        <f t="shared" si="22"/>
        <v>36</v>
      </c>
      <c r="N292" t="str">
        <f t="shared" si="23"/>
        <v>Adult</v>
      </c>
      <c r="O292">
        <f t="shared" si="24"/>
        <v>12.88</v>
      </c>
    </row>
    <row r="293" spans="1:15" x14ac:dyDescent="0.3">
      <c r="A293">
        <v>292</v>
      </c>
      <c r="B293">
        <v>0</v>
      </c>
      <c r="C293" t="str">
        <f t="shared" si="20"/>
        <v>No</v>
      </c>
      <c r="D293" t="s">
        <v>960</v>
      </c>
      <c r="E293" t="s">
        <v>1254</v>
      </c>
      <c r="F293" t="str" cm="1">
        <f t="array" ref="F293">IF(OR(COUNTIF(D293,"*"&amp;$T$9:$T$15&amp;"*")),"Female","Male")</f>
        <v>Female</v>
      </c>
      <c r="G293">
        <v>24</v>
      </c>
      <c r="H293">
        <v>0</v>
      </c>
      <c r="I293">
        <v>0</v>
      </c>
      <c r="J293">
        <v>3</v>
      </c>
      <c r="K293">
        <v>8.85</v>
      </c>
      <c r="L293">
        <f t="shared" si="21"/>
        <v>1</v>
      </c>
      <c r="M293">
        <f t="shared" si="22"/>
        <v>24</v>
      </c>
      <c r="N293" t="str">
        <f t="shared" si="23"/>
        <v>Adult</v>
      </c>
      <c r="O293">
        <f t="shared" si="24"/>
        <v>8.85</v>
      </c>
    </row>
    <row r="294" spans="1:15" x14ac:dyDescent="0.3">
      <c r="A294">
        <v>293</v>
      </c>
      <c r="B294">
        <v>0</v>
      </c>
      <c r="C294" t="str">
        <f t="shared" si="20"/>
        <v>No</v>
      </c>
      <c r="D294" t="s">
        <v>956</v>
      </c>
      <c r="E294" t="s">
        <v>1255</v>
      </c>
      <c r="F294" t="str" cm="1">
        <f t="array" ref="F294">IF(OR(COUNTIF(D294,"*"&amp;$T$9:$T$15&amp;"*")),"Female","Male")</f>
        <v>Male</v>
      </c>
      <c r="G294">
        <v>24</v>
      </c>
      <c r="H294">
        <v>0</v>
      </c>
      <c r="I294">
        <v>0</v>
      </c>
      <c r="J294">
        <v>3</v>
      </c>
      <c r="K294">
        <v>7.8958000000000004</v>
      </c>
      <c r="L294">
        <f t="shared" si="21"/>
        <v>0</v>
      </c>
      <c r="M294">
        <f t="shared" si="22"/>
        <v>24</v>
      </c>
      <c r="N294" t="str">
        <f t="shared" si="23"/>
        <v>Adult</v>
      </c>
      <c r="O294">
        <f t="shared" si="24"/>
        <v>7.9</v>
      </c>
    </row>
    <row r="295" spans="1:15" x14ac:dyDescent="0.3">
      <c r="A295">
        <v>294</v>
      </c>
      <c r="B295">
        <v>0</v>
      </c>
      <c r="C295" t="str">
        <f t="shared" si="20"/>
        <v>No</v>
      </c>
      <c r="D295" t="s">
        <v>956</v>
      </c>
      <c r="E295" t="s">
        <v>1256</v>
      </c>
      <c r="F295" t="str" cm="1">
        <f t="array" ref="F295">IF(OR(COUNTIF(D295,"*"&amp;$T$9:$T$15&amp;"*")),"Female","Male")</f>
        <v>Male</v>
      </c>
      <c r="G295">
        <v>30</v>
      </c>
      <c r="H295">
        <v>0</v>
      </c>
      <c r="I295">
        <v>0</v>
      </c>
      <c r="J295">
        <v>1</v>
      </c>
      <c r="K295">
        <v>27.720800000000001</v>
      </c>
      <c r="L295">
        <f t="shared" si="21"/>
        <v>0</v>
      </c>
      <c r="M295">
        <f t="shared" si="22"/>
        <v>30</v>
      </c>
      <c r="N295" t="str">
        <f t="shared" si="23"/>
        <v>Adult</v>
      </c>
      <c r="O295">
        <f t="shared" si="24"/>
        <v>27.72</v>
      </c>
    </row>
    <row r="296" spans="1:15" x14ac:dyDescent="0.3">
      <c r="A296">
        <v>295</v>
      </c>
      <c r="B296">
        <v>0</v>
      </c>
      <c r="C296" t="str">
        <f t="shared" si="20"/>
        <v>No</v>
      </c>
      <c r="D296" t="s">
        <v>956</v>
      </c>
      <c r="E296" t="s">
        <v>1257</v>
      </c>
      <c r="F296" t="str" cm="1">
        <f t="array" ref="F296">IF(OR(COUNTIF(D296,"*"&amp;$T$9:$T$15&amp;"*")),"Female","Male")</f>
        <v>Male</v>
      </c>
      <c r="G296">
        <v>23.5</v>
      </c>
      <c r="H296">
        <v>0</v>
      </c>
      <c r="I296">
        <v>0</v>
      </c>
      <c r="J296">
        <v>3</v>
      </c>
      <c r="K296">
        <v>7.2291999999999996</v>
      </c>
      <c r="L296">
        <f t="shared" si="21"/>
        <v>0</v>
      </c>
      <c r="M296">
        <f t="shared" si="22"/>
        <v>24</v>
      </c>
      <c r="N296" t="str">
        <f t="shared" si="23"/>
        <v>Adult</v>
      </c>
      <c r="O296">
        <f t="shared" si="24"/>
        <v>7.23</v>
      </c>
    </row>
    <row r="297" spans="1:15" x14ac:dyDescent="0.3">
      <c r="A297">
        <v>296</v>
      </c>
      <c r="B297">
        <v>0</v>
      </c>
      <c r="C297" t="str">
        <f t="shared" si="20"/>
        <v>No</v>
      </c>
      <c r="D297" t="s">
        <v>960</v>
      </c>
      <c r="E297" t="s">
        <v>1258</v>
      </c>
      <c r="F297" t="str" cm="1">
        <f t="array" ref="F297">IF(OR(COUNTIF(D297,"*"&amp;$T$9:$T$15&amp;"*")),"Female","Male")</f>
        <v>Female</v>
      </c>
      <c r="G297">
        <v>2</v>
      </c>
      <c r="H297">
        <v>1</v>
      </c>
      <c r="I297">
        <v>2</v>
      </c>
      <c r="J297">
        <v>1</v>
      </c>
      <c r="K297">
        <v>151.55000000000001</v>
      </c>
      <c r="L297">
        <f t="shared" si="21"/>
        <v>1</v>
      </c>
      <c r="M297">
        <f t="shared" si="22"/>
        <v>2</v>
      </c>
      <c r="N297" t="str">
        <f t="shared" si="23"/>
        <v>Child</v>
      </c>
      <c r="O297">
        <f t="shared" si="24"/>
        <v>151.55000000000001</v>
      </c>
    </row>
    <row r="298" spans="1:15" x14ac:dyDescent="0.3">
      <c r="A298">
        <v>297</v>
      </c>
      <c r="B298">
        <v>1</v>
      </c>
      <c r="C298" t="str">
        <f t="shared" si="20"/>
        <v>Yes</v>
      </c>
      <c r="D298" t="s">
        <v>956</v>
      </c>
      <c r="E298" t="s">
        <v>1259</v>
      </c>
      <c r="F298" t="str" cm="1">
        <f t="array" ref="F298">IF(OR(COUNTIF(D298,"*"&amp;$T$9:$T$15&amp;"*")),"Female","Male")</f>
        <v>Male</v>
      </c>
      <c r="G298">
        <v>47</v>
      </c>
      <c r="H298">
        <v>0</v>
      </c>
      <c r="I298">
        <v>0</v>
      </c>
      <c r="J298">
        <v>1</v>
      </c>
      <c r="K298">
        <v>30.5</v>
      </c>
      <c r="L298">
        <f t="shared" si="21"/>
        <v>0</v>
      </c>
      <c r="M298">
        <f t="shared" si="22"/>
        <v>47</v>
      </c>
      <c r="N298" t="str">
        <f t="shared" si="23"/>
        <v>Adult</v>
      </c>
      <c r="O298">
        <f t="shared" si="24"/>
        <v>30.5</v>
      </c>
    </row>
    <row r="299" spans="1:15" x14ac:dyDescent="0.3">
      <c r="A299">
        <v>298</v>
      </c>
      <c r="B299">
        <v>1</v>
      </c>
      <c r="C299" t="str">
        <f t="shared" si="20"/>
        <v>Yes</v>
      </c>
      <c r="D299" t="s">
        <v>958</v>
      </c>
      <c r="E299" t="s">
        <v>1260</v>
      </c>
      <c r="F299" t="str" cm="1">
        <f t="array" ref="F299">IF(OR(COUNTIF(D299,"*"&amp;$T$9:$T$15&amp;"*")),"Female","Male")</f>
        <v>Female</v>
      </c>
      <c r="G299">
        <v>50</v>
      </c>
      <c r="H299">
        <v>0</v>
      </c>
      <c r="I299">
        <v>1</v>
      </c>
      <c r="J299">
        <v>1</v>
      </c>
      <c r="K299">
        <v>247.52080000000001</v>
      </c>
      <c r="L299">
        <f t="shared" si="21"/>
        <v>1</v>
      </c>
      <c r="M299">
        <f t="shared" si="22"/>
        <v>50</v>
      </c>
      <c r="N299" t="str">
        <f t="shared" si="23"/>
        <v>Adult</v>
      </c>
      <c r="O299">
        <f t="shared" si="24"/>
        <v>247.52</v>
      </c>
    </row>
    <row r="300" spans="1:15" x14ac:dyDescent="0.3">
      <c r="A300">
        <v>299</v>
      </c>
      <c r="B300">
        <v>1</v>
      </c>
      <c r="C300" t="str">
        <f t="shared" si="20"/>
        <v>Yes</v>
      </c>
      <c r="D300" t="s">
        <v>960</v>
      </c>
      <c r="E300" t="s">
        <v>1261</v>
      </c>
      <c r="F300" t="str" cm="1">
        <f t="array" ref="F300">IF(OR(COUNTIF(D300,"*"&amp;$T$9:$T$15&amp;"*")),"Female","Male")</f>
        <v>Female</v>
      </c>
      <c r="G300">
        <v>20</v>
      </c>
      <c r="H300">
        <v>0</v>
      </c>
      <c r="I300">
        <v>0</v>
      </c>
      <c r="J300">
        <v>3</v>
      </c>
      <c r="K300">
        <v>7.75</v>
      </c>
      <c r="L300">
        <f t="shared" si="21"/>
        <v>1</v>
      </c>
      <c r="M300">
        <f t="shared" si="22"/>
        <v>20</v>
      </c>
      <c r="N300" t="str">
        <f t="shared" si="23"/>
        <v>Adult</v>
      </c>
      <c r="O300">
        <f t="shared" si="24"/>
        <v>7.75</v>
      </c>
    </row>
    <row r="301" spans="1:15" x14ac:dyDescent="0.3">
      <c r="A301">
        <v>300</v>
      </c>
      <c r="B301">
        <v>1</v>
      </c>
      <c r="C301" t="str">
        <f t="shared" si="20"/>
        <v>Yes</v>
      </c>
      <c r="D301" t="s">
        <v>956</v>
      </c>
      <c r="E301" t="s">
        <v>1262</v>
      </c>
      <c r="F301" t="str" cm="1">
        <f t="array" ref="F301">IF(OR(COUNTIF(D301,"*"&amp;$T$9:$T$15&amp;"*")),"Female","Male")</f>
        <v>Male</v>
      </c>
      <c r="G301">
        <v>24</v>
      </c>
      <c r="H301">
        <v>2</v>
      </c>
      <c r="I301">
        <v>0</v>
      </c>
      <c r="J301">
        <v>3</v>
      </c>
      <c r="K301">
        <v>23.25</v>
      </c>
      <c r="L301">
        <f t="shared" si="21"/>
        <v>0</v>
      </c>
      <c r="M301">
        <f t="shared" si="22"/>
        <v>24</v>
      </c>
      <c r="N301" t="str">
        <f t="shared" si="23"/>
        <v>Adult</v>
      </c>
      <c r="O301">
        <f t="shared" si="24"/>
        <v>23.25</v>
      </c>
    </row>
    <row r="302" spans="1:15" x14ac:dyDescent="0.3">
      <c r="A302">
        <v>301</v>
      </c>
      <c r="B302">
        <v>0</v>
      </c>
      <c r="C302" t="str">
        <f t="shared" si="20"/>
        <v>No</v>
      </c>
      <c r="D302" t="s">
        <v>956</v>
      </c>
      <c r="E302" t="s">
        <v>1263</v>
      </c>
      <c r="F302" t="str" cm="1">
        <f t="array" ref="F302">IF(OR(COUNTIF(D302,"*"&amp;$T$9:$T$15&amp;"*")),"Female","Male")</f>
        <v>Male</v>
      </c>
      <c r="G302">
        <v>19</v>
      </c>
      <c r="H302">
        <v>0</v>
      </c>
      <c r="I302">
        <v>0</v>
      </c>
      <c r="J302">
        <v>3</v>
      </c>
      <c r="K302">
        <v>0</v>
      </c>
      <c r="L302">
        <f t="shared" si="21"/>
        <v>0</v>
      </c>
      <c r="M302">
        <f t="shared" si="22"/>
        <v>19</v>
      </c>
      <c r="N302" t="str">
        <f t="shared" si="23"/>
        <v>Adult</v>
      </c>
      <c r="O302">
        <f t="shared" si="24"/>
        <v>0</v>
      </c>
    </row>
    <row r="303" spans="1:15" x14ac:dyDescent="0.3">
      <c r="A303">
        <v>302</v>
      </c>
      <c r="B303">
        <v>1</v>
      </c>
      <c r="C303" t="str">
        <f t="shared" si="20"/>
        <v>Yes</v>
      </c>
      <c r="D303" t="s">
        <v>960</v>
      </c>
      <c r="E303" t="s">
        <v>1264</v>
      </c>
      <c r="F303" t="str" cm="1">
        <f t="array" ref="F303">IF(OR(COUNTIF(D303,"*"&amp;$T$9:$T$15&amp;"*")),"Female","Male")</f>
        <v>Female</v>
      </c>
      <c r="G303">
        <v>46</v>
      </c>
      <c r="H303">
        <v>0</v>
      </c>
      <c r="I303">
        <v>0</v>
      </c>
      <c r="J303">
        <v>2</v>
      </c>
      <c r="K303">
        <v>12.35</v>
      </c>
      <c r="L303">
        <f t="shared" si="21"/>
        <v>1</v>
      </c>
      <c r="M303">
        <f t="shared" si="22"/>
        <v>46</v>
      </c>
      <c r="N303" t="str">
        <f t="shared" si="23"/>
        <v>Adult</v>
      </c>
      <c r="O303">
        <f t="shared" si="24"/>
        <v>12.35</v>
      </c>
    </row>
    <row r="304" spans="1:15" x14ac:dyDescent="0.3">
      <c r="A304">
        <v>303</v>
      </c>
      <c r="B304">
        <v>0</v>
      </c>
      <c r="C304" t="str">
        <f t="shared" si="20"/>
        <v>No</v>
      </c>
      <c r="D304" t="s">
        <v>956</v>
      </c>
      <c r="E304" t="s">
        <v>1265</v>
      </c>
      <c r="F304" t="str" cm="1">
        <f t="array" ref="F304">IF(OR(COUNTIF(D304,"*"&amp;$T$9:$T$15&amp;"*")),"Female","Male")</f>
        <v>Male</v>
      </c>
      <c r="G304">
        <v>28</v>
      </c>
      <c r="H304">
        <v>0</v>
      </c>
      <c r="I304">
        <v>0</v>
      </c>
      <c r="J304">
        <v>3</v>
      </c>
      <c r="K304">
        <v>8.0500000000000007</v>
      </c>
      <c r="L304">
        <f t="shared" si="21"/>
        <v>0</v>
      </c>
      <c r="M304">
        <f t="shared" si="22"/>
        <v>28</v>
      </c>
      <c r="N304" t="str">
        <f t="shared" si="23"/>
        <v>Adult</v>
      </c>
      <c r="O304">
        <f t="shared" si="24"/>
        <v>8.0500000000000007</v>
      </c>
    </row>
    <row r="305" spans="1:15" x14ac:dyDescent="0.3">
      <c r="A305">
        <v>304</v>
      </c>
      <c r="B305">
        <v>1</v>
      </c>
      <c r="C305" t="str">
        <f t="shared" si="20"/>
        <v>Yes</v>
      </c>
      <c r="D305" t="s">
        <v>966</v>
      </c>
      <c r="E305" t="s">
        <v>1266</v>
      </c>
      <c r="F305" t="str" cm="1">
        <f t="array" ref="F305">IF(OR(COUNTIF(D305,"*"&amp;$T$9:$T$15&amp;"*")),"Female","Male")</f>
        <v>Male</v>
      </c>
      <c r="G305">
        <v>0.92</v>
      </c>
      <c r="H305">
        <v>1</v>
      </c>
      <c r="I305">
        <v>2</v>
      </c>
      <c r="J305">
        <v>1</v>
      </c>
      <c r="K305">
        <v>151.55000000000001</v>
      </c>
      <c r="L305">
        <f t="shared" si="21"/>
        <v>0</v>
      </c>
      <c r="M305">
        <f t="shared" si="22"/>
        <v>1</v>
      </c>
      <c r="N305" t="str">
        <f t="shared" si="23"/>
        <v>Child</v>
      </c>
      <c r="O305">
        <f t="shared" si="24"/>
        <v>151.55000000000001</v>
      </c>
    </row>
    <row r="306" spans="1:15" x14ac:dyDescent="0.3">
      <c r="A306">
        <v>305</v>
      </c>
      <c r="B306">
        <v>1</v>
      </c>
      <c r="C306" t="str">
        <f t="shared" si="20"/>
        <v>Yes</v>
      </c>
      <c r="D306" t="s">
        <v>960</v>
      </c>
      <c r="E306" t="s">
        <v>1267</v>
      </c>
      <c r="F306" t="str" cm="1">
        <f t="array" ref="F306">IF(OR(COUNTIF(D306,"*"&amp;$T$9:$T$15&amp;"*")),"Female","Male")</f>
        <v>Female</v>
      </c>
      <c r="G306">
        <v>42</v>
      </c>
      <c r="H306">
        <v>0</v>
      </c>
      <c r="I306">
        <v>0</v>
      </c>
      <c r="J306">
        <v>1</v>
      </c>
      <c r="K306">
        <v>110.88330000000001</v>
      </c>
      <c r="L306">
        <f t="shared" si="21"/>
        <v>1</v>
      </c>
      <c r="M306">
        <f t="shared" si="22"/>
        <v>42</v>
      </c>
      <c r="N306" t="str">
        <f t="shared" si="23"/>
        <v>Adult</v>
      </c>
      <c r="O306">
        <f t="shared" si="24"/>
        <v>110.88</v>
      </c>
    </row>
    <row r="307" spans="1:15" x14ac:dyDescent="0.3">
      <c r="A307">
        <v>306</v>
      </c>
      <c r="B307">
        <v>1</v>
      </c>
      <c r="C307" t="str">
        <f t="shared" si="20"/>
        <v>Yes</v>
      </c>
      <c r="D307" t="s">
        <v>958</v>
      </c>
      <c r="E307" t="s">
        <v>1268</v>
      </c>
      <c r="F307" t="str" cm="1">
        <f t="array" ref="F307">IF(OR(COUNTIF(D307,"*"&amp;$T$9:$T$15&amp;"*")),"Female","Male")</f>
        <v>Female</v>
      </c>
      <c r="G307">
        <v>17</v>
      </c>
      <c r="H307">
        <v>1</v>
      </c>
      <c r="I307">
        <v>0</v>
      </c>
      <c r="J307">
        <v>1</v>
      </c>
      <c r="K307">
        <v>108.9</v>
      </c>
      <c r="L307">
        <f t="shared" si="21"/>
        <v>1</v>
      </c>
      <c r="M307">
        <f t="shared" si="22"/>
        <v>17</v>
      </c>
      <c r="N307" t="str">
        <f t="shared" si="23"/>
        <v>Adult</v>
      </c>
      <c r="O307">
        <f t="shared" si="24"/>
        <v>108.9</v>
      </c>
    </row>
    <row r="308" spans="1:15" x14ac:dyDescent="0.3">
      <c r="A308">
        <v>307</v>
      </c>
      <c r="B308">
        <v>0</v>
      </c>
      <c r="C308" t="str">
        <f t="shared" si="20"/>
        <v>No</v>
      </c>
      <c r="D308" t="s">
        <v>956</v>
      </c>
      <c r="E308" t="s">
        <v>1269</v>
      </c>
      <c r="F308" t="str" cm="1">
        <f t="array" ref="F308">IF(OR(COUNTIF(D308,"*"&amp;$T$9:$T$15&amp;"*")),"Female","Male")</f>
        <v>Male</v>
      </c>
      <c r="G308">
        <v>30</v>
      </c>
      <c r="H308">
        <v>1</v>
      </c>
      <c r="I308">
        <v>0</v>
      </c>
      <c r="J308">
        <v>2</v>
      </c>
      <c r="K308">
        <v>24</v>
      </c>
      <c r="L308">
        <f t="shared" si="21"/>
        <v>0</v>
      </c>
      <c r="M308">
        <f t="shared" si="22"/>
        <v>30</v>
      </c>
      <c r="N308" t="str">
        <f t="shared" si="23"/>
        <v>Adult</v>
      </c>
      <c r="O308">
        <f t="shared" si="24"/>
        <v>24</v>
      </c>
    </row>
    <row r="309" spans="1:15" x14ac:dyDescent="0.3">
      <c r="A309">
        <v>308</v>
      </c>
      <c r="B309">
        <v>1</v>
      </c>
      <c r="C309" t="str">
        <f t="shared" si="20"/>
        <v>Yes</v>
      </c>
      <c r="D309" t="s">
        <v>960</v>
      </c>
      <c r="E309" t="s">
        <v>1270</v>
      </c>
      <c r="F309" t="str" cm="1">
        <f t="array" ref="F309">IF(OR(COUNTIF(D309,"*"&amp;$T$9:$T$15&amp;"*")),"Female","Male")</f>
        <v>Female</v>
      </c>
      <c r="G309">
        <v>30</v>
      </c>
      <c r="H309">
        <v>0</v>
      </c>
      <c r="I309">
        <v>0</v>
      </c>
      <c r="J309">
        <v>1</v>
      </c>
      <c r="K309">
        <v>56.929200000000002</v>
      </c>
      <c r="L309">
        <f t="shared" si="21"/>
        <v>1</v>
      </c>
      <c r="M309">
        <f t="shared" si="22"/>
        <v>30</v>
      </c>
      <c r="N309" t="str">
        <f t="shared" si="23"/>
        <v>Adult</v>
      </c>
      <c r="O309">
        <f t="shared" si="24"/>
        <v>56.93</v>
      </c>
    </row>
    <row r="310" spans="1:15" x14ac:dyDescent="0.3">
      <c r="A310">
        <v>309</v>
      </c>
      <c r="B310">
        <v>1</v>
      </c>
      <c r="C310" t="str">
        <f t="shared" si="20"/>
        <v>Yes</v>
      </c>
      <c r="D310" t="s">
        <v>960</v>
      </c>
      <c r="E310" t="s">
        <v>1271</v>
      </c>
      <c r="F310" t="str" cm="1">
        <f t="array" ref="F310">IF(OR(COUNTIF(D310,"*"&amp;$T$9:$T$15&amp;"*")),"Female","Male")</f>
        <v>Female</v>
      </c>
      <c r="G310">
        <v>24</v>
      </c>
      <c r="H310">
        <v>0</v>
      </c>
      <c r="I310">
        <v>0</v>
      </c>
      <c r="J310">
        <v>1</v>
      </c>
      <c r="K310">
        <v>83.158299999999997</v>
      </c>
      <c r="L310">
        <f t="shared" si="21"/>
        <v>1</v>
      </c>
      <c r="M310">
        <f t="shared" si="22"/>
        <v>24</v>
      </c>
      <c r="N310" t="str">
        <f t="shared" si="23"/>
        <v>Adult</v>
      </c>
      <c r="O310">
        <f t="shared" si="24"/>
        <v>83.16</v>
      </c>
    </row>
    <row r="311" spans="1:15" x14ac:dyDescent="0.3">
      <c r="A311">
        <v>310</v>
      </c>
      <c r="B311">
        <v>1</v>
      </c>
      <c r="C311" t="str">
        <f t="shared" si="20"/>
        <v>Yes</v>
      </c>
      <c r="D311" t="s">
        <v>960</v>
      </c>
      <c r="E311" t="s">
        <v>1272</v>
      </c>
      <c r="F311" t="str" cm="1">
        <f t="array" ref="F311">IF(OR(COUNTIF(D311,"*"&amp;$T$9:$T$15&amp;"*")),"Female","Male")</f>
        <v>Female</v>
      </c>
      <c r="G311">
        <v>18</v>
      </c>
      <c r="H311">
        <v>2</v>
      </c>
      <c r="I311">
        <v>2</v>
      </c>
      <c r="J311">
        <v>1</v>
      </c>
      <c r="K311">
        <v>262.375</v>
      </c>
      <c r="L311">
        <f t="shared" si="21"/>
        <v>1</v>
      </c>
      <c r="M311">
        <f t="shared" si="22"/>
        <v>18</v>
      </c>
      <c r="N311" t="str">
        <f t="shared" si="23"/>
        <v>Adult</v>
      </c>
      <c r="O311">
        <f t="shared" si="24"/>
        <v>262.38</v>
      </c>
    </row>
    <row r="312" spans="1:15" x14ac:dyDescent="0.3">
      <c r="A312">
        <v>311</v>
      </c>
      <c r="B312">
        <v>0</v>
      </c>
      <c r="C312" t="str">
        <f t="shared" si="20"/>
        <v>No</v>
      </c>
      <c r="D312" t="s">
        <v>958</v>
      </c>
      <c r="E312" t="s">
        <v>1273</v>
      </c>
      <c r="F312" t="str" cm="1">
        <f t="array" ref="F312">IF(OR(COUNTIF(D312,"*"&amp;$T$9:$T$15&amp;"*")),"Female","Male")</f>
        <v>Female</v>
      </c>
      <c r="G312">
        <v>26</v>
      </c>
      <c r="H312">
        <v>1</v>
      </c>
      <c r="I312">
        <v>1</v>
      </c>
      <c r="J312">
        <v>2</v>
      </c>
      <c r="K312">
        <v>26</v>
      </c>
      <c r="L312">
        <f t="shared" si="21"/>
        <v>1</v>
      </c>
      <c r="M312">
        <f t="shared" si="22"/>
        <v>26</v>
      </c>
      <c r="N312" t="str">
        <f t="shared" si="23"/>
        <v>Adult</v>
      </c>
      <c r="O312">
        <f t="shared" si="24"/>
        <v>26</v>
      </c>
    </row>
    <row r="313" spans="1:15" x14ac:dyDescent="0.3">
      <c r="A313">
        <v>312</v>
      </c>
      <c r="B313">
        <v>0</v>
      </c>
      <c r="C313" t="str">
        <f t="shared" si="20"/>
        <v>No</v>
      </c>
      <c r="D313" t="s">
        <v>956</v>
      </c>
      <c r="E313" t="s">
        <v>1274</v>
      </c>
      <c r="F313" t="str" cm="1">
        <f t="array" ref="F313">IF(OR(COUNTIF(D313,"*"&amp;$T$9:$T$15&amp;"*")),"Female","Male")</f>
        <v>Male</v>
      </c>
      <c r="G313">
        <v>28</v>
      </c>
      <c r="H313">
        <v>0</v>
      </c>
      <c r="I313">
        <v>0</v>
      </c>
      <c r="J313">
        <v>3</v>
      </c>
      <c r="K313">
        <v>7.8958000000000004</v>
      </c>
      <c r="L313">
        <f t="shared" si="21"/>
        <v>0</v>
      </c>
      <c r="M313">
        <f t="shared" si="22"/>
        <v>28</v>
      </c>
      <c r="N313" t="str">
        <f t="shared" si="23"/>
        <v>Adult</v>
      </c>
      <c r="O313">
        <f t="shared" si="24"/>
        <v>7.9</v>
      </c>
    </row>
    <row r="314" spans="1:15" x14ac:dyDescent="0.3">
      <c r="A314">
        <v>313</v>
      </c>
      <c r="B314">
        <v>0</v>
      </c>
      <c r="C314" t="str">
        <f t="shared" si="20"/>
        <v>No</v>
      </c>
      <c r="D314" t="s">
        <v>956</v>
      </c>
      <c r="E314" t="s">
        <v>1275</v>
      </c>
      <c r="F314" t="str" cm="1">
        <f t="array" ref="F314">IF(OR(COUNTIF(D314,"*"&amp;$T$9:$T$15&amp;"*")),"Female","Male")</f>
        <v>Male</v>
      </c>
      <c r="G314">
        <v>43</v>
      </c>
      <c r="H314">
        <v>1</v>
      </c>
      <c r="I314">
        <v>1</v>
      </c>
      <c r="J314">
        <v>2</v>
      </c>
      <c r="K314">
        <v>26.25</v>
      </c>
      <c r="L314">
        <f t="shared" si="21"/>
        <v>0</v>
      </c>
      <c r="M314">
        <f t="shared" si="22"/>
        <v>43</v>
      </c>
      <c r="N314" t="str">
        <f t="shared" si="23"/>
        <v>Adult</v>
      </c>
      <c r="O314">
        <f t="shared" si="24"/>
        <v>26.25</v>
      </c>
    </row>
    <row r="315" spans="1:15" x14ac:dyDescent="0.3">
      <c r="A315">
        <v>314</v>
      </c>
      <c r="B315">
        <v>1</v>
      </c>
      <c r="C315" t="str">
        <f t="shared" si="20"/>
        <v>Yes</v>
      </c>
      <c r="D315" t="s">
        <v>960</v>
      </c>
      <c r="E315" t="s">
        <v>1276</v>
      </c>
      <c r="F315" t="str" cm="1">
        <f t="array" ref="F315">IF(OR(COUNTIF(D315,"*"&amp;$T$9:$T$15&amp;"*")),"Female","Male")</f>
        <v>Female</v>
      </c>
      <c r="G315">
        <v>26</v>
      </c>
      <c r="H315">
        <v>0</v>
      </c>
      <c r="I315">
        <v>0</v>
      </c>
      <c r="J315">
        <v>3</v>
      </c>
      <c r="K315">
        <v>7.8541999999999996</v>
      </c>
      <c r="L315">
        <f t="shared" si="21"/>
        <v>1</v>
      </c>
      <c r="M315">
        <f t="shared" si="22"/>
        <v>26</v>
      </c>
      <c r="N315" t="str">
        <f t="shared" si="23"/>
        <v>Adult</v>
      </c>
      <c r="O315">
        <f t="shared" si="24"/>
        <v>7.85</v>
      </c>
    </row>
    <row r="316" spans="1:15" x14ac:dyDescent="0.3">
      <c r="A316">
        <v>315</v>
      </c>
      <c r="B316">
        <v>1</v>
      </c>
      <c r="C316" t="str">
        <f t="shared" si="20"/>
        <v>Yes</v>
      </c>
      <c r="D316" t="s">
        <v>958</v>
      </c>
      <c r="E316" t="s">
        <v>1277</v>
      </c>
      <c r="F316" t="str" cm="1">
        <f t="array" ref="F316">IF(OR(COUNTIF(D316,"*"&amp;$T$9:$T$15&amp;"*")),"Female","Male")</f>
        <v>Female</v>
      </c>
      <c r="G316">
        <v>24</v>
      </c>
      <c r="H316">
        <v>1</v>
      </c>
      <c r="I316">
        <v>0</v>
      </c>
      <c r="J316">
        <v>2</v>
      </c>
      <c r="K316">
        <v>26</v>
      </c>
      <c r="L316">
        <f t="shared" si="21"/>
        <v>1</v>
      </c>
      <c r="M316">
        <f t="shared" si="22"/>
        <v>24</v>
      </c>
      <c r="N316" t="str">
        <f t="shared" si="23"/>
        <v>Adult</v>
      </c>
      <c r="O316">
        <f t="shared" si="24"/>
        <v>26</v>
      </c>
    </row>
    <row r="317" spans="1:15" x14ac:dyDescent="0.3">
      <c r="A317">
        <v>316</v>
      </c>
      <c r="B317">
        <v>0</v>
      </c>
      <c r="C317" t="str">
        <f t="shared" si="20"/>
        <v>No</v>
      </c>
      <c r="D317" t="s">
        <v>1206</v>
      </c>
      <c r="E317" t="s">
        <v>1278</v>
      </c>
      <c r="F317" t="str" cm="1">
        <f t="array" ref="F317">IF(OR(COUNTIF(D317,"*"&amp;$T$9:$T$15&amp;"*")),"Female","Male")</f>
        <v>Male</v>
      </c>
      <c r="G317">
        <v>54</v>
      </c>
      <c r="H317">
        <v>0</v>
      </c>
      <c r="I317">
        <v>0</v>
      </c>
      <c r="J317">
        <v>2</v>
      </c>
      <c r="K317">
        <v>14</v>
      </c>
      <c r="L317">
        <f t="shared" si="21"/>
        <v>0</v>
      </c>
      <c r="M317">
        <f t="shared" si="22"/>
        <v>54</v>
      </c>
      <c r="N317" t="str">
        <f t="shared" si="23"/>
        <v>Adult</v>
      </c>
      <c r="O317">
        <f t="shared" si="24"/>
        <v>14</v>
      </c>
    </row>
    <row r="318" spans="1:15" x14ac:dyDescent="0.3">
      <c r="A318">
        <v>317</v>
      </c>
      <c r="B318">
        <v>1</v>
      </c>
      <c r="C318" t="str">
        <f t="shared" si="20"/>
        <v>Yes</v>
      </c>
      <c r="D318" t="s">
        <v>960</v>
      </c>
      <c r="E318" t="s">
        <v>1279</v>
      </c>
      <c r="F318" t="str" cm="1">
        <f t="array" ref="F318">IF(OR(COUNTIF(D318,"*"&amp;$T$9:$T$15&amp;"*")),"Female","Male")</f>
        <v>Female</v>
      </c>
      <c r="G318">
        <v>31</v>
      </c>
      <c r="H318">
        <v>0</v>
      </c>
      <c r="I318">
        <v>2</v>
      </c>
      <c r="J318">
        <v>1</v>
      </c>
      <c r="K318">
        <v>164.86670000000001</v>
      </c>
      <c r="L318">
        <f t="shared" si="21"/>
        <v>1</v>
      </c>
      <c r="M318">
        <f t="shared" si="22"/>
        <v>31</v>
      </c>
      <c r="N318" t="str">
        <f t="shared" si="23"/>
        <v>Adult</v>
      </c>
      <c r="O318">
        <f t="shared" si="24"/>
        <v>164.87</v>
      </c>
    </row>
    <row r="319" spans="1:15" x14ac:dyDescent="0.3">
      <c r="A319">
        <v>318</v>
      </c>
      <c r="B319">
        <v>1</v>
      </c>
      <c r="C319" t="str">
        <f t="shared" si="20"/>
        <v>Yes</v>
      </c>
      <c r="D319" t="s">
        <v>958</v>
      </c>
      <c r="E319" t="s">
        <v>1280</v>
      </c>
      <c r="F319" t="str" cm="1">
        <f t="array" ref="F319">IF(OR(COUNTIF(D319,"*"&amp;$T$9:$T$15&amp;"*")),"Female","Male")</f>
        <v>Female</v>
      </c>
      <c r="G319">
        <v>40</v>
      </c>
      <c r="H319">
        <v>1</v>
      </c>
      <c r="I319">
        <v>1</v>
      </c>
      <c r="J319">
        <v>1</v>
      </c>
      <c r="K319">
        <v>134.5</v>
      </c>
      <c r="L319">
        <f t="shared" si="21"/>
        <v>1</v>
      </c>
      <c r="M319">
        <f t="shared" si="22"/>
        <v>40</v>
      </c>
      <c r="N319" t="str">
        <f t="shared" si="23"/>
        <v>Adult</v>
      </c>
      <c r="O319">
        <f t="shared" si="24"/>
        <v>134.5</v>
      </c>
    </row>
    <row r="320" spans="1:15" x14ac:dyDescent="0.3">
      <c r="A320">
        <v>319</v>
      </c>
      <c r="B320">
        <v>0</v>
      </c>
      <c r="C320" t="str">
        <f t="shared" si="20"/>
        <v>No</v>
      </c>
      <c r="D320" t="s">
        <v>956</v>
      </c>
      <c r="E320" t="s">
        <v>1281</v>
      </c>
      <c r="F320" t="str" cm="1">
        <f t="array" ref="F320">IF(OR(COUNTIF(D320,"*"&amp;$T$9:$T$15&amp;"*")),"Female","Male")</f>
        <v>Male</v>
      </c>
      <c r="G320">
        <v>22</v>
      </c>
      <c r="H320">
        <v>0</v>
      </c>
      <c r="I320">
        <v>0</v>
      </c>
      <c r="J320">
        <v>3</v>
      </c>
      <c r="K320">
        <v>7.25</v>
      </c>
      <c r="L320">
        <f t="shared" si="21"/>
        <v>0</v>
      </c>
      <c r="M320">
        <f t="shared" si="22"/>
        <v>22</v>
      </c>
      <c r="N320" t="str">
        <f t="shared" si="23"/>
        <v>Adult</v>
      </c>
      <c r="O320">
        <f t="shared" si="24"/>
        <v>7.25</v>
      </c>
    </row>
    <row r="321" spans="1:15" x14ac:dyDescent="0.3">
      <c r="A321">
        <v>320</v>
      </c>
      <c r="B321">
        <v>0</v>
      </c>
      <c r="C321" t="str">
        <f t="shared" si="20"/>
        <v>No</v>
      </c>
      <c r="D321" t="s">
        <v>956</v>
      </c>
      <c r="E321" t="s">
        <v>1282</v>
      </c>
      <c r="F321" t="str" cm="1">
        <f t="array" ref="F321">IF(OR(COUNTIF(D321,"*"&amp;$T$9:$T$15&amp;"*")),"Female","Male")</f>
        <v>Male</v>
      </c>
      <c r="G321">
        <v>27</v>
      </c>
      <c r="H321">
        <v>0</v>
      </c>
      <c r="I321">
        <v>0</v>
      </c>
      <c r="J321">
        <v>3</v>
      </c>
      <c r="K321">
        <v>7.8958000000000004</v>
      </c>
      <c r="L321">
        <f t="shared" si="21"/>
        <v>0</v>
      </c>
      <c r="M321">
        <f t="shared" si="22"/>
        <v>27</v>
      </c>
      <c r="N321" t="str">
        <f t="shared" si="23"/>
        <v>Adult</v>
      </c>
      <c r="O321">
        <f t="shared" si="24"/>
        <v>7.9</v>
      </c>
    </row>
    <row r="322" spans="1:15" x14ac:dyDescent="0.3">
      <c r="A322">
        <v>321</v>
      </c>
      <c r="B322">
        <v>1</v>
      </c>
      <c r="C322" t="str">
        <f t="shared" si="20"/>
        <v>Yes</v>
      </c>
      <c r="D322" t="s">
        <v>960</v>
      </c>
      <c r="E322" t="s">
        <v>1283</v>
      </c>
      <c r="F322" t="str" cm="1">
        <f t="array" ref="F322">IF(OR(COUNTIF(D322,"*"&amp;$T$9:$T$15&amp;"*")),"Female","Male")</f>
        <v>Female</v>
      </c>
      <c r="G322">
        <v>30</v>
      </c>
      <c r="H322">
        <v>0</v>
      </c>
      <c r="I322">
        <v>0</v>
      </c>
      <c r="J322">
        <v>2</v>
      </c>
      <c r="K322">
        <v>12.35</v>
      </c>
      <c r="L322">
        <f t="shared" si="21"/>
        <v>1</v>
      </c>
      <c r="M322">
        <f t="shared" si="22"/>
        <v>30</v>
      </c>
      <c r="N322" t="str">
        <f t="shared" si="23"/>
        <v>Adult</v>
      </c>
      <c r="O322">
        <f t="shared" si="24"/>
        <v>12.35</v>
      </c>
    </row>
    <row r="323" spans="1:15" x14ac:dyDescent="0.3">
      <c r="A323">
        <v>322</v>
      </c>
      <c r="B323">
        <v>1</v>
      </c>
      <c r="C323" t="str">
        <f t="shared" ref="C323:C386" si="25">IF(B323=0,"No","Yes")</f>
        <v>Yes</v>
      </c>
      <c r="D323" t="s">
        <v>958</v>
      </c>
      <c r="E323" t="s">
        <v>1284</v>
      </c>
      <c r="F323" t="str" cm="1">
        <f t="array" ref="F323">IF(OR(COUNTIF(D323,"*"&amp;$T$9:$T$15&amp;"*")),"Female","Male")</f>
        <v>Female</v>
      </c>
      <c r="G323">
        <v>22</v>
      </c>
      <c r="H323">
        <v>1</v>
      </c>
      <c r="I323">
        <v>1</v>
      </c>
      <c r="J323">
        <v>2</v>
      </c>
      <c r="K323">
        <v>29</v>
      </c>
      <c r="L323">
        <f t="shared" ref="L323:L386" si="26">IF(F323 = "Male", 0, 1)</f>
        <v>1</v>
      </c>
      <c r="M323">
        <f t="shared" ref="M323:M386" si="27">ROUND(G323, 0)</f>
        <v>22</v>
      </c>
      <c r="N323" t="str">
        <f t="shared" ref="N323:N386" si="28">IF(G323&lt;=16,"Child","Adult")</f>
        <v>Adult</v>
      </c>
      <c r="O323">
        <f t="shared" ref="O323:O386" si="29">ROUND(K323, 2)</f>
        <v>29</v>
      </c>
    </row>
    <row r="324" spans="1:15" x14ac:dyDescent="0.3">
      <c r="A324">
        <v>323</v>
      </c>
      <c r="B324">
        <v>0</v>
      </c>
      <c r="C324" t="str">
        <f t="shared" si="25"/>
        <v>No</v>
      </c>
      <c r="D324" t="s">
        <v>956</v>
      </c>
      <c r="E324" t="s">
        <v>1285</v>
      </c>
      <c r="F324" t="str" cm="1">
        <f t="array" ref="F324">IF(OR(COUNTIF(D324,"*"&amp;$T$9:$T$15&amp;"*")),"Female","Male")</f>
        <v>Male</v>
      </c>
      <c r="G324">
        <v>20</v>
      </c>
      <c r="H324">
        <v>8</v>
      </c>
      <c r="I324">
        <v>2</v>
      </c>
      <c r="J324">
        <v>3</v>
      </c>
      <c r="K324">
        <v>69.55</v>
      </c>
      <c r="L324">
        <f t="shared" si="26"/>
        <v>0</v>
      </c>
      <c r="M324">
        <f t="shared" si="27"/>
        <v>20</v>
      </c>
      <c r="N324" t="str">
        <f t="shared" si="28"/>
        <v>Adult</v>
      </c>
      <c r="O324">
        <f t="shared" si="29"/>
        <v>69.55</v>
      </c>
    </row>
    <row r="325" spans="1:15" x14ac:dyDescent="0.3">
      <c r="A325">
        <v>324</v>
      </c>
      <c r="B325">
        <v>1</v>
      </c>
      <c r="C325" t="str">
        <f t="shared" si="25"/>
        <v>Yes</v>
      </c>
      <c r="D325" t="s">
        <v>960</v>
      </c>
      <c r="E325" t="s">
        <v>1286</v>
      </c>
      <c r="F325" t="str" cm="1">
        <f t="array" ref="F325">IF(OR(COUNTIF(D325,"*"&amp;$T$9:$T$15&amp;"*")),"Female","Male")</f>
        <v>Female</v>
      </c>
      <c r="G325">
        <v>36</v>
      </c>
      <c r="H325">
        <v>0</v>
      </c>
      <c r="I325">
        <v>0</v>
      </c>
      <c r="J325">
        <v>1</v>
      </c>
      <c r="K325">
        <v>135.63329999999999</v>
      </c>
      <c r="L325">
        <f t="shared" si="26"/>
        <v>1</v>
      </c>
      <c r="M325">
        <f t="shared" si="27"/>
        <v>36</v>
      </c>
      <c r="N325" t="str">
        <f t="shared" si="28"/>
        <v>Adult</v>
      </c>
      <c r="O325">
        <f t="shared" si="29"/>
        <v>135.63</v>
      </c>
    </row>
    <row r="326" spans="1:15" x14ac:dyDescent="0.3">
      <c r="A326">
        <v>325</v>
      </c>
      <c r="B326">
        <v>0</v>
      </c>
      <c r="C326" t="str">
        <f t="shared" si="25"/>
        <v>No</v>
      </c>
      <c r="D326" t="s">
        <v>956</v>
      </c>
      <c r="E326" t="s">
        <v>1287</v>
      </c>
      <c r="F326" t="str" cm="1">
        <f t="array" ref="F326">IF(OR(COUNTIF(D326,"*"&amp;$T$9:$T$15&amp;"*")),"Female","Male")</f>
        <v>Male</v>
      </c>
      <c r="G326">
        <v>61</v>
      </c>
      <c r="H326">
        <v>0</v>
      </c>
      <c r="I326">
        <v>0</v>
      </c>
      <c r="J326">
        <v>3</v>
      </c>
      <c r="K326">
        <v>6.2374999999999998</v>
      </c>
      <c r="L326">
        <f t="shared" si="26"/>
        <v>0</v>
      </c>
      <c r="M326">
        <f t="shared" si="27"/>
        <v>61</v>
      </c>
      <c r="N326" t="str">
        <f t="shared" si="28"/>
        <v>Adult</v>
      </c>
      <c r="O326">
        <f t="shared" si="29"/>
        <v>6.24</v>
      </c>
    </row>
    <row r="327" spans="1:15" x14ac:dyDescent="0.3">
      <c r="A327">
        <v>326</v>
      </c>
      <c r="B327">
        <v>1</v>
      </c>
      <c r="C327" t="str">
        <f t="shared" si="25"/>
        <v>Yes</v>
      </c>
      <c r="D327" t="s">
        <v>958</v>
      </c>
      <c r="E327" t="s">
        <v>1288</v>
      </c>
      <c r="F327" t="str" cm="1">
        <f t="array" ref="F327">IF(OR(COUNTIF(D327,"*"&amp;$T$9:$T$15&amp;"*")),"Female","Male")</f>
        <v>Female</v>
      </c>
      <c r="G327">
        <v>36</v>
      </c>
      <c r="H327">
        <v>0</v>
      </c>
      <c r="I327">
        <v>0</v>
      </c>
      <c r="J327">
        <v>2</v>
      </c>
      <c r="K327">
        <v>13</v>
      </c>
      <c r="L327">
        <f t="shared" si="26"/>
        <v>1</v>
      </c>
      <c r="M327">
        <f t="shared" si="27"/>
        <v>36</v>
      </c>
      <c r="N327" t="str">
        <f t="shared" si="28"/>
        <v>Adult</v>
      </c>
      <c r="O327">
        <f t="shared" si="29"/>
        <v>13</v>
      </c>
    </row>
    <row r="328" spans="1:15" x14ac:dyDescent="0.3">
      <c r="A328">
        <v>327</v>
      </c>
      <c r="B328">
        <v>1</v>
      </c>
      <c r="C328" t="str">
        <f t="shared" si="25"/>
        <v>Yes</v>
      </c>
      <c r="D328" t="s">
        <v>958</v>
      </c>
      <c r="E328" t="s">
        <v>1289</v>
      </c>
      <c r="F328" t="str" cm="1">
        <f t="array" ref="F328">IF(OR(COUNTIF(D328,"*"&amp;$T$9:$T$15&amp;"*")),"Female","Male")</f>
        <v>Female</v>
      </c>
      <c r="G328">
        <v>31</v>
      </c>
      <c r="H328">
        <v>1</v>
      </c>
      <c r="I328">
        <v>1</v>
      </c>
      <c r="J328">
        <v>3</v>
      </c>
      <c r="K328">
        <v>20.524999999999999</v>
      </c>
      <c r="L328">
        <f t="shared" si="26"/>
        <v>1</v>
      </c>
      <c r="M328">
        <f t="shared" si="27"/>
        <v>31</v>
      </c>
      <c r="N328" t="str">
        <f t="shared" si="28"/>
        <v>Adult</v>
      </c>
      <c r="O328">
        <f t="shared" si="29"/>
        <v>20.53</v>
      </c>
    </row>
    <row r="329" spans="1:15" x14ac:dyDescent="0.3">
      <c r="A329">
        <v>328</v>
      </c>
      <c r="B329">
        <v>1</v>
      </c>
      <c r="C329" t="str">
        <f t="shared" si="25"/>
        <v>Yes</v>
      </c>
      <c r="D329" t="s">
        <v>960</v>
      </c>
      <c r="E329" t="s">
        <v>1290</v>
      </c>
      <c r="F329" t="str" cm="1">
        <f t="array" ref="F329">IF(OR(COUNTIF(D329,"*"&amp;$T$9:$T$15&amp;"*")),"Female","Male")</f>
        <v>Female</v>
      </c>
      <c r="G329">
        <v>16</v>
      </c>
      <c r="H329">
        <v>0</v>
      </c>
      <c r="I329">
        <v>1</v>
      </c>
      <c r="J329">
        <v>1</v>
      </c>
      <c r="K329">
        <v>57.979199999999999</v>
      </c>
      <c r="L329">
        <f t="shared" si="26"/>
        <v>1</v>
      </c>
      <c r="M329">
        <f t="shared" si="27"/>
        <v>16</v>
      </c>
      <c r="N329" t="str">
        <f t="shared" si="28"/>
        <v>Child</v>
      </c>
      <c r="O329">
        <f t="shared" si="29"/>
        <v>57.98</v>
      </c>
    </row>
    <row r="330" spans="1:15" x14ac:dyDescent="0.3">
      <c r="A330">
        <v>329</v>
      </c>
      <c r="B330">
        <v>1</v>
      </c>
      <c r="C330" t="str">
        <f t="shared" si="25"/>
        <v>Yes</v>
      </c>
      <c r="D330" t="s">
        <v>960</v>
      </c>
      <c r="E330" t="s">
        <v>1291</v>
      </c>
      <c r="F330" t="str" cm="1">
        <f t="array" ref="F330">IF(OR(COUNTIF(D330,"*"&amp;$T$9:$T$15&amp;"*")),"Female","Male")</f>
        <v>Female</v>
      </c>
      <c r="G330">
        <v>28</v>
      </c>
      <c r="H330">
        <v>2</v>
      </c>
      <c r="I330">
        <v>0</v>
      </c>
      <c r="J330">
        <v>3</v>
      </c>
      <c r="K330">
        <v>23.25</v>
      </c>
      <c r="L330">
        <f t="shared" si="26"/>
        <v>1</v>
      </c>
      <c r="M330">
        <f t="shared" si="27"/>
        <v>28</v>
      </c>
      <c r="N330" t="str">
        <f t="shared" si="28"/>
        <v>Adult</v>
      </c>
      <c r="O330">
        <f t="shared" si="29"/>
        <v>23.25</v>
      </c>
    </row>
    <row r="331" spans="1:15" x14ac:dyDescent="0.3">
      <c r="A331">
        <v>330</v>
      </c>
      <c r="B331">
        <v>0</v>
      </c>
      <c r="C331" t="str">
        <f t="shared" si="25"/>
        <v>No</v>
      </c>
      <c r="D331" t="s">
        <v>956</v>
      </c>
      <c r="E331" t="s">
        <v>1292</v>
      </c>
      <c r="F331" t="str" cm="1">
        <f t="array" ref="F331">IF(OR(COUNTIF(D331,"*"&amp;$T$9:$T$15&amp;"*")),"Female","Male")</f>
        <v>Male</v>
      </c>
      <c r="G331">
        <v>45.5</v>
      </c>
      <c r="H331">
        <v>0</v>
      </c>
      <c r="I331">
        <v>0</v>
      </c>
      <c r="J331">
        <v>1</v>
      </c>
      <c r="K331">
        <v>28.5</v>
      </c>
      <c r="L331">
        <f t="shared" si="26"/>
        <v>0</v>
      </c>
      <c r="M331">
        <f t="shared" si="27"/>
        <v>46</v>
      </c>
      <c r="N331" t="str">
        <f t="shared" si="28"/>
        <v>Adult</v>
      </c>
      <c r="O331">
        <f t="shared" si="29"/>
        <v>28.5</v>
      </c>
    </row>
    <row r="332" spans="1:15" x14ac:dyDescent="0.3">
      <c r="A332">
        <v>331</v>
      </c>
      <c r="B332">
        <v>0</v>
      </c>
      <c r="C332" t="str">
        <f t="shared" si="25"/>
        <v>No</v>
      </c>
      <c r="D332" t="s">
        <v>956</v>
      </c>
      <c r="E332" t="s">
        <v>1293</v>
      </c>
      <c r="F332" t="str" cm="1">
        <f t="array" ref="F332">IF(OR(COUNTIF(D332,"*"&amp;$T$9:$T$15&amp;"*")),"Female","Male")</f>
        <v>Male</v>
      </c>
      <c r="G332">
        <v>38</v>
      </c>
      <c r="H332">
        <v>0</v>
      </c>
      <c r="I332">
        <v>1</v>
      </c>
      <c r="J332">
        <v>1</v>
      </c>
      <c r="K332">
        <v>153.46250000000001</v>
      </c>
      <c r="L332">
        <f t="shared" si="26"/>
        <v>0</v>
      </c>
      <c r="M332">
        <f t="shared" si="27"/>
        <v>38</v>
      </c>
      <c r="N332" t="str">
        <f t="shared" si="28"/>
        <v>Adult</v>
      </c>
      <c r="O332">
        <f t="shared" si="29"/>
        <v>153.46</v>
      </c>
    </row>
    <row r="333" spans="1:15" x14ac:dyDescent="0.3">
      <c r="A333">
        <v>332</v>
      </c>
      <c r="B333">
        <v>0</v>
      </c>
      <c r="C333" t="str">
        <f t="shared" si="25"/>
        <v>No</v>
      </c>
      <c r="D333" t="s">
        <v>956</v>
      </c>
      <c r="E333" t="s">
        <v>1294</v>
      </c>
      <c r="F333" t="str" cm="1">
        <f t="array" ref="F333">IF(OR(COUNTIF(D333,"*"&amp;$T$9:$T$15&amp;"*")),"Female","Male")</f>
        <v>Male</v>
      </c>
      <c r="G333">
        <v>16</v>
      </c>
      <c r="H333">
        <v>2</v>
      </c>
      <c r="I333">
        <v>0</v>
      </c>
      <c r="J333">
        <v>3</v>
      </c>
      <c r="K333">
        <v>18</v>
      </c>
      <c r="L333">
        <f t="shared" si="26"/>
        <v>0</v>
      </c>
      <c r="M333">
        <f t="shared" si="27"/>
        <v>16</v>
      </c>
      <c r="N333" t="str">
        <f t="shared" si="28"/>
        <v>Child</v>
      </c>
      <c r="O333">
        <f t="shared" si="29"/>
        <v>18</v>
      </c>
    </row>
    <row r="334" spans="1:15" x14ac:dyDescent="0.3">
      <c r="A334">
        <v>333</v>
      </c>
      <c r="B334">
        <v>1</v>
      </c>
      <c r="C334" t="str">
        <f t="shared" si="25"/>
        <v>Yes</v>
      </c>
      <c r="D334" t="s">
        <v>958</v>
      </c>
      <c r="E334" t="s">
        <v>1295</v>
      </c>
      <c r="F334" t="str" cm="1">
        <f t="array" ref="F334">IF(OR(COUNTIF(D334,"*"&amp;$T$9:$T$15&amp;"*")),"Female","Male")</f>
        <v>Female</v>
      </c>
      <c r="G334">
        <v>42</v>
      </c>
      <c r="H334">
        <v>1</v>
      </c>
      <c r="I334">
        <v>0</v>
      </c>
      <c r="J334">
        <v>1</v>
      </c>
      <c r="K334">
        <v>133.65</v>
      </c>
      <c r="L334">
        <f t="shared" si="26"/>
        <v>1</v>
      </c>
      <c r="M334">
        <f t="shared" si="27"/>
        <v>42</v>
      </c>
      <c r="N334" t="str">
        <f t="shared" si="28"/>
        <v>Adult</v>
      </c>
      <c r="O334">
        <f t="shared" si="29"/>
        <v>133.65</v>
      </c>
    </row>
    <row r="335" spans="1:15" x14ac:dyDescent="0.3">
      <c r="A335">
        <v>334</v>
      </c>
      <c r="B335">
        <v>0</v>
      </c>
      <c r="C335" t="str">
        <f t="shared" si="25"/>
        <v>No</v>
      </c>
      <c r="D335" t="s">
        <v>956</v>
      </c>
      <c r="E335" t="s">
        <v>1296</v>
      </c>
      <c r="F335" t="str" cm="1">
        <f t="array" ref="F335">IF(OR(COUNTIF(D335,"*"&amp;$T$9:$T$15&amp;"*")),"Female","Male")</f>
        <v>Male</v>
      </c>
      <c r="G335">
        <v>30</v>
      </c>
      <c r="H335">
        <v>0</v>
      </c>
      <c r="I335">
        <v>0</v>
      </c>
      <c r="J335">
        <v>3</v>
      </c>
      <c r="K335">
        <v>7.8958000000000004</v>
      </c>
      <c r="L335">
        <f t="shared" si="26"/>
        <v>0</v>
      </c>
      <c r="M335">
        <f t="shared" si="27"/>
        <v>30</v>
      </c>
      <c r="N335" t="str">
        <f t="shared" si="28"/>
        <v>Adult</v>
      </c>
      <c r="O335">
        <f t="shared" si="29"/>
        <v>7.9</v>
      </c>
    </row>
    <row r="336" spans="1:15" x14ac:dyDescent="0.3">
      <c r="A336">
        <v>335</v>
      </c>
      <c r="B336">
        <v>0</v>
      </c>
      <c r="C336" t="str">
        <f t="shared" si="25"/>
        <v>No</v>
      </c>
      <c r="D336" t="s">
        <v>956</v>
      </c>
      <c r="E336" t="s">
        <v>1297</v>
      </c>
      <c r="F336" t="str" cm="1">
        <f t="array" ref="F336">IF(OR(COUNTIF(D336,"*"&amp;$T$9:$T$15&amp;"*")),"Female","Male")</f>
        <v>Male</v>
      </c>
      <c r="G336">
        <v>29</v>
      </c>
      <c r="H336">
        <v>1</v>
      </c>
      <c r="I336">
        <v>0</v>
      </c>
      <c r="J336">
        <v>1</v>
      </c>
      <c r="K336">
        <v>66.599999999999994</v>
      </c>
      <c r="L336">
        <f t="shared" si="26"/>
        <v>0</v>
      </c>
      <c r="M336">
        <f t="shared" si="27"/>
        <v>29</v>
      </c>
      <c r="N336" t="str">
        <f t="shared" si="28"/>
        <v>Adult</v>
      </c>
      <c r="O336">
        <f t="shared" si="29"/>
        <v>66.599999999999994</v>
      </c>
    </row>
    <row r="337" spans="1:15" x14ac:dyDescent="0.3">
      <c r="A337">
        <v>336</v>
      </c>
      <c r="B337">
        <v>1</v>
      </c>
      <c r="C337" t="str">
        <f t="shared" si="25"/>
        <v>Yes</v>
      </c>
      <c r="D337" t="s">
        <v>960</v>
      </c>
      <c r="E337" t="s">
        <v>1298</v>
      </c>
      <c r="F337" t="str" cm="1">
        <f t="array" ref="F337">IF(OR(COUNTIF(D337,"*"&amp;$T$9:$T$15&amp;"*")),"Female","Male")</f>
        <v>Female</v>
      </c>
      <c r="G337">
        <v>41</v>
      </c>
      <c r="H337">
        <v>0</v>
      </c>
      <c r="I337">
        <v>0</v>
      </c>
      <c r="J337">
        <v>1</v>
      </c>
      <c r="K337">
        <v>134.5</v>
      </c>
      <c r="L337">
        <f t="shared" si="26"/>
        <v>1</v>
      </c>
      <c r="M337">
        <f t="shared" si="27"/>
        <v>41</v>
      </c>
      <c r="N337" t="str">
        <f t="shared" si="28"/>
        <v>Adult</v>
      </c>
      <c r="O337">
        <f t="shared" si="29"/>
        <v>134.5</v>
      </c>
    </row>
    <row r="338" spans="1:15" x14ac:dyDescent="0.3">
      <c r="A338">
        <v>337</v>
      </c>
      <c r="B338">
        <v>1</v>
      </c>
      <c r="C338" t="str">
        <f t="shared" si="25"/>
        <v>Yes</v>
      </c>
      <c r="D338" t="s">
        <v>956</v>
      </c>
      <c r="E338" t="s">
        <v>1299</v>
      </c>
      <c r="F338" t="str" cm="1">
        <f t="array" ref="F338">IF(OR(COUNTIF(D338,"*"&amp;$T$9:$T$15&amp;"*")),"Female","Male")</f>
        <v>Male</v>
      </c>
      <c r="G338">
        <v>45</v>
      </c>
      <c r="H338">
        <v>0</v>
      </c>
      <c r="I338">
        <v>0</v>
      </c>
      <c r="J338">
        <v>3</v>
      </c>
      <c r="K338">
        <v>8.0500000000000007</v>
      </c>
      <c r="L338">
        <f t="shared" si="26"/>
        <v>0</v>
      </c>
      <c r="M338">
        <f t="shared" si="27"/>
        <v>45</v>
      </c>
      <c r="N338" t="str">
        <f t="shared" si="28"/>
        <v>Adult</v>
      </c>
      <c r="O338">
        <f t="shared" si="29"/>
        <v>8.0500000000000007</v>
      </c>
    </row>
    <row r="339" spans="1:15" x14ac:dyDescent="0.3">
      <c r="A339">
        <v>338</v>
      </c>
      <c r="B339">
        <v>0</v>
      </c>
      <c r="C339" t="str">
        <f t="shared" si="25"/>
        <v>No</v>
      </c>
      <c r="D339" t="s">
        <v>956</v>
      </c>
      <c r="E339" t="s">
        <v>1300</v>
      </c>
      <c r="F339" t="str" cm="1">
        <f t="array" ref="F339">IF(OR(COUNTIF(D339,"*"&amp;$T$9:$T$15&amp;"*")),"Female","Male")</f>
        <v>Male</v>
      </c>
      <c r="G339">
        <v>45</v>
      </c>
      <c r="H339">
        <v>0</v>
      </c>
      <c r="I339">
        <v>0</v>
      </c>
      <c r="J339">
        <v>1</v>
      </c>
      <c r="K339">
        <v>35.5</v>
      </c>
      <c r="L339">
        <f t="shared" si="26"/>
        <v>0</v>
      </c>
      <c r="M339">
        <f t="shared" si="27"/>
        <v>45</v>
      </c>
      <c r="N339" t="str">
        <f t="shared" si="28"/>
        <v>Adult</v>
      </c>
      <c r="O339">
        <f t="shared" si="29"/>
        <v>35.5</v>
      </c>
    </row>
    <row r="340" spans="1:15" x14ac:dyDescent="0.3">
      <c r="A340">
        <v>339</v>
      </c>
      <c r="B340">
        <v>1</v>
      </c>
      <c r="C340" t="str">
        <f t="shared" si="25"/>
        <v>Yes</v>
      </c>
      <c r="D340" t="s">
        <v>966</v>
      </c>
      <c r="E340" t="s">
        <v>1301</v>
      </c>
      <c r="F340" t="str" cm="1">
        <f t="array" ref="F340">IF(OR(COUNTIF(D340,"*"&amp;$T$9:$T$15&amp;"*")),"Female","Male")</f>
        <v>Male</v>
      </c>
      <c r="G340">
        <v>2</v>
      </c>
      <c r="H340">
        <v>1</v>
      </c>
      <c r="I340">
        <v>1</v>
      </c>
      <c r="J340">
        <v>2</v>
      </c>
      <c r="K340">
        <v>26</v>
      </c>
      <c r="L340">
        <f t="shared" si="26"/>
        <v>0</v>
      </c>
      <c r="M340">
        <f t="shared" si="27"/>
        <v>2</v>
      </c>
      <c r="N340" t="str">
        <f t="shared" si="28"/>
        <v>Child</v>
      </c>
      <c r="O340">
        <f t="shared" si="29"/>
        <v>26</v>
      </c>
    </row>
    <row r="341" spans="1:15" x14ac:dyDescent="0.3">
      <c r="A341">
        <v>340</v>
      </c>
      <c r="B341">
        <v>1</v>
      </c>
      <c r="C341" t="str">
        <f t="shared" si="25"/>
        <v>Yes</v>
      </c>
      <c r="D341" t="s">
        <v>960</v>
      </c>
      <c r="E341" t="s">
        <v>1302</v>
      </c>
      <c r="F341" t="str" cm="1">
        <f t="array" ref="F341">IF(OR(COUNTIF(D341,"*"&amp;$T$9:$T$15&amp;"*")),"Female","Male")</f>
        <v>Female</v>
      </c>
      <c r="G341">
        <v>24</v>
      </c>
      <c r="H341">
        <v>3</v>
      </c>
      <c r="I341">
        <v>2</v>
      </c>
      <c r="J341">
        <v>1</v>
      </c>
      <c r="K341">
        <v>263</v>
      </c>
      <c r="L341">
        <f t="shared" si="26"/>
        <v>1</v>
      </c>
      <c r="M341">
        <f t="shared" si="27"/>
        <v>24</v>
      </c>
      <c r="N341" t="str">
        <f t="shared" si="28"/>
        <v>Adult</v>
      </c>
      <c r="O341">
        <f t="shared" si="29"/>
        <v>263</v>
      </c>
    </row>
    <row r="342" spans="1:15" x14ac:dyDescent="0.3">
      <c r="A342">
        <v>341</v>
      </c>
      <c r="B342">
        <v>0</v>
      </c>
      <c r="C342" t="str">
        <f t="shared" si="25"/>
        <v>No</v>
      </c>
      <c r="D342" t="s">
        <v>956</v>
      </c>
      <c r="E342" t="s">
        <v>1303</v>
      </c>
      <c r="F342" t="str" cm="1">
        <f t="array" ref="F342">IF(OR(COUNTIF(D342,"*"&amp;$T$9:$T$15&amp;"*")),"Female","Male")</f>
        <v>Male</v>
      </c>
      <c r="G342">
        <v>28</v>
      </c>
      <c r="H342">
        <v>0</v>
      </c>
      <c r="I342">
        <v>0</v>
      </c>
      <c r="J342">
        <v>2</v>
      </c>
      <c r="K342">
        <v>13</v>
      </c>
      <c r="L342">
        <f t="shared" si="26"/>
        <v>0</v>
      </c>
      <c r="M342">
        <f t="shared" si="27"/>
        <v>28</v>
      </c>
      <c r="N342" t="str">
        <f t="shared" si="28"/>
        <v>Adult</v>
      </c>
      <c r="O342">
        <f t="shared" si="29"/>
        <v>13</v>
      </c>
    </row>
    <row r="343" spans="1:15" x14ac:dyDescent="0.3">
      <c r="A343">
        <v>342</v>
      </c>
      <c r="B343">
        <v>0</v>
      </c>
      <c r="C343" t="str">
        <f t="shared" si="25"/>
        <v>No</v>
      </c>
      <c r="D343" t="s">
        <v>956</v>
      </c>
      <c r="E343" t="s">
        <v>1304</v>
      </c>
      <c r="F343" t="str" cm="1">
        <f t="array" ref="F343">IF(OR(COUNTIF(D343,"*"&amp;$T$9:$T$15&amp;"*")),"Female","Male")</f>
        <v>Male</v>
      </c>
      <c r="G343">
        <v>25</v>
      </c>
      <c r="H343">
        <v>0</v>
      </c>
      <c r="I343">
        <v>0</v>
      </c>
      <c r="J343">
        <v>2</v>
      </c>
      <c r="K343">
        <v>13</v>
      </c>
      <c r="L343">
        <f t="shared" si="26"/>
        <v>0</v>
      </c>
      <c r="M343">
        <f t="shared" si="27"/>
        <v>25</v>
      </c>
      <c r="N343" t="str">
        <f t="shared" si="28"/>
        <v>Adult</v>
      </c>
      <c r="O343">
        <f t="shared" si="29"/>
        <v>13</v>
      </c>
    </row>
    <row r="344" spans="1:15" x14ac:dyDescent="0.3">
      <c r="A344">
        <v>343</v>
      </c>
      <c r="B344">
        <v>0</v>
      </c>
      <c r="C344" t="str">
        <f t="shared" si="25"/>
        <v>No</v>
      </c>
      <c r="D344" t="s">
        <v>956</v>
      </c>
      <c r="E344" t="s">
        <v>1305</v>
      </c>
      <c r="F344" t="str" cm="1">
        <f t="array" ref="F344">IF(OR(COUNTIF(D344,"*"&amp;$T$9:$T$15&amp;"*")),"Female","Male")</f>
        <v>Male</v>
      </c>
      <c r="G344">
        <v>36</v>
      </c>
      <c r="H344">
        <v>0</v>
      </c>
      <c r="I344">
        <v>0</v>
      </c>
      <c r="J344">
        <v>2</v>
      </c>
      <c r="K344">
        <v>13</v>
      </c>
      <c r="L344">
        <f t="shared" si="26"/>
        <v>0</v>
      </c>
      <c r="M344">
        <f t="shared" si="27"/>
        <v>36</v>
      </c>
      <c r="N344" t="str">
        <f t="shared" si="28"/>
        <v>Adult</v>
      </c>
      <c r="O344">
        <f t="shared" si="29"/>
        <v>13</v>
      </c>
    </row>
    <row r="345" spans="1:15" x14ac:dyDescent="0.3">
      <c r="A345">
        <v>344</v>
      </c>
      <c r="B345">
        <v>1</v>
      </c>
      <c r="C345" t="str">
        <f t="shared" si="25"/>
        <v>Yes</v>
      </c>
      <c r="D345" t="s">
        <v>960</v>
      </c>
      <c r="E345" t="s">
        <v>1306</v>
      </c>
      <c r="F345" t="str" cm="1">
        <f t="array" ref="F345">IF(OR(COUNTIF(D345,"*"&amp;$T$9:$T$15&amp;"*")),"Female","Male")</f>
        <v>Female</v>
      </c>
      <c r="G345">
        <v>24</v>
      </c>
      <c r="H345">
        <v>0</v>
      </c>
      <c r="I345">
        <v>0</v>
      </c>
      <c r="J345">
        <v>2</v>
      </c>
      <c r="K345">
        <v>13</v>
      </c>
      <c r="L345">
        <f t="shared" si="26"/>
        <v>1</v>
      </c>
      <c r="M345">
        <f t="shared" si="27"/>
        <v>24</v>
      </c>
      <c r="N345" t="str">
        <f t="shared" si="28"/>
        <v>Adult</v>
      </c>
      <c r="O345">
        <f t="shared" si="29"/>
        <v>13</v>
      </c>
    </row>
    <row r="346" spans="1:15" x14ac:dyDescent="0.3">
      <c r="A346">
        <v>345</v>
      </c>
      <c r="B346">
        <v>1</v>
      </c>
      <c r="C346" t="str">
        <f t="shared" si="25"/>
        <v>Yes</v>
      </c>
      <c r="D346" t="s">
        <v>960</v>
      </c>
      <c r="E346" t="s">
        <v>1307</v>
      </c>
      <c r="F346" t="str" cm="1">
        <f t="array" ref="F346">IF(OR(COUNTIF(D346,"*"&amp;$T$9:$T$15&amp;"*")),"Female","Male")</f>
        <v>Female</v>
      </c>
      <c r="G346">
        <v>40</v>
      </c>
      <c r="H346">
        <v>0</v>
      </c>
      <c r="I346">
        <v>0</v>
      </c>
      <c r="J346">
        <v>2</v>
      </c>
      <c r="K346">
        <v>13</v>
      </c>
      <c r="L346">
        <f t="shared" si="26"/>
        <v>1</v>
      </c>
      <c r="M346">
        <f t="shared" si="27"/>
        <v>40</v>
      </c>
      <c r="N346" t="str">
        <f t="shared" si="28"/>
        <v>Adult</v>
      </c>
      <c r="O346">
        <f t="shared" si="29"/>
        <v>13</v>
      </c>
    </row>
    <row r="347" spans="1:15" x14ac:dyDescent="0.3">
      <c r="A347">
        <v>346</v>
      </c>
      <c r="B347">
        <v>1</v>
      </c>
      <c r="C347" t="str">
        <f t="shared" si="25"/>
        <v>Yes</v>
      </c>
      <c r="D347" t="s">
        <v>958</v>
      </c>
      <c r="E347" t="s">
        <v>1308</v>
      </c>
      <c r="F347" t="str" cm="1">
        <f t="array" ref="F347">IF(OR(COUNTIF(D347,"*"&amp;$T$9:$T$15&amp;"*")),"Female","Male")</f>
        <v>Female</v>
      </c>
      <c r="G347">
        <v>34</v>
      </c>
      <c r="H347">
        <v>1</v>
      </c>
      <c r="I347">
        <v>0</v>
      </c>
      <c r="J347">
        <v>3</v>
      </c>
      <c r="K347">
        <v>16.100000000000001</v>
      </c>
      <c r="L347">
        <f t="shared" si="26"/>
        <v>1</v>
      </c>
      <c r="M347">
        <f t="shared" si="27"/>
        <v>34</v>
      </c>
      <c r="N347" t="str">
        <f t="shared" si="28"/>
        <v>Adult</v>
      </c>
      <c r="O347">
        <f t="shared" si="29"/>
        <v>16.100000000000001</v>
      </c>
    </row>
    <row r="348" spans="1:15" x14ac:dyDescent="0.3">
      <c r="A348">
        <v>347</v>
      </c>
      <c r="B348">
        <v>1</v>
      </c>
      <c r="C348" t="str">
        <f t="shared" si="25"/>
        <v>Yes</v>
      </c>
      <c r="D348" t="s">
        <v>966</v>
      </c>
      <c r="E348" t="s">
        <v>1309</v>
      </c>
      <c r="F348" t="str" cm="1">
        <f t="array" ref="F348">IF(OR(COUNTIF(D348,"*"&amp;$T$9:$T$15&amp;"*")),"Female","Male")</f>
        <v>Male</v>
      </c>
      <c r="G348">
        <v>3</v>
      </c>
      <c r="H348">
        <v>1</v>
      </c>
      <c r="I348">
        <v>1</v>
      </c>
      <c r="J348">
        <v>3</v>
      </c>
      <c r="K348">
        <v>15.9</v>
      </c>
      <c r="L348">
        <f t="shared" si="26"/>
        <v>0</v>
      </c>
      <c r="M348">
        <f t="shared" si="27"/>
        <v>3</v>
      </c>
      <c r="N348" t="str">
        <f t="shared" si="28"/>
        <v>Child</v>
      </c>
      <c r="O348">
        <f t="shared" si="29"/>
        <v>15.9</v>
      </c>
    </row>
    <row r="349" spans="1:15" x14ac:dyDescent="0.3">
      <c r="A349">
        <v>348</v>
      </c>
      <c r="B349">
        <v>0</v>
      </c>
      <c r="C349" t="str">
        <f t="shared" si="25"/>
        <v>No</v>
      </c>
      <c r="D349" t="s">
        <v>956</v>
      </c>
      <c r="E349" t="s">
        <v>1310</v>
      </c>
      <c r="F349" t="str" cm="1">
        <f t="array" ref="F349">IF(OR(COUNTIF(D349,"*"&amp;$T$9:$T$15&amp;"*")),"Female","Male")</f>
        <v>Male</v>
      </c>
      <c r="G349">
        <v>42</v>
      </c>
      <c r="H349">
        <v>0</v>
      </c>
      <c r="I349">
        <v>0</v>
      </c>
      <c r="J349">
        <v>3</v>
      </c>
      <c r="K349">
        <v>8.6624999999999996</v>
      </c>
      <c r="L349">
        <f t="shared" si="26"/>
        <v>0</v>
      </c>
      <c r="M349">
        <f t="shared" si="27"/>
        <v>42</v>
      </c>
      <c r="N349" t="str">
        <f t="shared" si="28"/>
        <v>Adult</v>
      </c>
      <c r="O349">
        <f t="shared" si="29"/>
        <v>8.66</v>
      </c>
    </row>
    <row r="350" spans="1:15" x14ac:dyDescent="0.3">
      <c r="A350">
        <v>349</v>
      </c>
      <c r="B350">
        <v>0</v>
      </c>
      <c r="C350" t="str">
        <f t="shared" si="25"/>
        <v>No</v>
      </c>
      <c r="D350" t="s">
        <v>956</v>
      </c>
      <c r="E350" t="s">
        <v>1311</v>
      </c>
      <c r="F350" t="str" cm="1">
        <f t="array" ref="F350">IF(OR(COUNTIF(D350,"*"&amp;$T$9:$T$15&amp;"*")),"Female","Male")</f>
        <v>Male</v>
      </c>
      <c r="G350">
        <v>23</v>
      </c>
      <c r="H350">
        <v>0</v>
      </c>
      <c r="I350">
        <v>0</v>
      </c>
      <c r="J350">
        <v>3</v>
      </c>
      <c r="K350">
        <v>9.2249999999999996</v>
      </c>
      <c r="L350">
        <f t="shared" si="26"/>
        <v>0</v>
      </c>
      <c r="M350">
        <f t="shared" si="27"/>
        <v>23</v>
      </c>
      <c r="N350" t="str">
        <f t="shared" si="28"/>
        <v>Adult</v>
      </c>
      <c r="O350">
        <f t="shared" si="29"/>
        <v>9.23</v>
      </c>
    </row>
    <row r="351" spans="1:15" x14ac:dyDescent="0.3">
      <c r="A351">
        <v>350</v>
      </c>
      <c r="B351">
        <v>0</v>
      </c>
      <c r="C351" t="str">
        <f t="shared" si="25"/>
        <v>No</v>
      </c>
      <c r="D351" t="s">
        <v>956</v>
      </c>
      <c r="E351" t="s">
        <v>1312</v>
      </c>
      <c r="F351" t="str" cm="1">
        <f t="array" ref="F351">IF(OR(COUNTIF(D351,"*"&amp;$T$9:$T$15&amp;"*")),"Female","Male")</f>
        <v>Male</v>
      </c>
      <c r="G351">
        <v>43</v>
      </c>
      <c r="H351">
        <v>0</v>
      </c>
      <c r="I351">
        <v>0</v>
      </c>
      <c r="J351">
        <v>1</v>
      </c>
      <c r="K351">
        <v>35</v>
      </c>
      <c r="L351">
        <f t="shared" si="26"/>
        <v>0</v>
      </c>
      <c r="M351">
        <f t="shared" si="27"/>
        <v>43</v>
      </c>
      <c r="N351" t="str">
        <f t="shared" si="28"/>
        <v>Adult</v>
      </c>
      <c r="O351">
        <f t="shared" si="29"/>
        <v>35</v>
      </c>
    </row>
    <row r="352" spans="1:15" x14ac:dyDescent="0.3">
      <c r="A352">
        <v>351</v>
      </c>
      <c r="B352">
        <v>0</v>
      </c>
      <c r="C352" t="str">
        <f t="shared" si="25"/>
        <v>No</v>
      </c>
      <c r="D352" t="s">
        <v>956</v>
      </c>
      <c r="E352" t="s">
        <v>1313</v>
      </c>
      <c r="F352" t="str" cm="1">
        <f t="array" ref="F352">IF(OR(COUNTIF(D352,"*"&amp;$T$9:$T$15&amp;"*")),"Female","Male")</f>
        <v>Male</v>
      </c>
      <c r="G352">
        <v>15</v>
      </c>
      <c r="H352">
        <v>1</v>
      </c>
      <c r="I352">
        <v>1</v>
      </c>
      <c r="J352">
        <v>3</v>
      </c>
      <c r="K352">
        <v>7.2291999999999996</v>
      </c>
      <c r="L352">
        <f t="shared" si="26"/>
        <v>0</v>
      </c>
      <c r="M352">
        <f t="shared" si="27"/>
        <v>15</v>
      </c>
      <c r="N352" t="str">
        <f t="shared" si="28"/>
        <v>Child</v>
      </c>
      <c r="O352">
        <f t="shared" si="29"/>
        <v>7.23</v>
      </c>
    </row>
    <row r="353" spans="1:15" x14ac:dyDescent="0.3">
      <c r="A353">
        <v>352</v>
      </c>
      <c r="B353">
        <v>0</v>
      </c>
      <c r="C353" t="str">
        <f t="shared" si="25"/>
        <v>No</v>
      </c>
      <c r="D353" t="s">
        <v>956</v>
      </c>
      <c r="E353" t="s">
        <v>1314</v>
      </c>
      <c r="F353" t="str" cm="1">
        <f t="array" ref="F353">IF(OR(COUNTIF(D353,"*"&amp;$T$9:$T$15&amp;"*")),"Female","Male")</f>
        <v>Male</v>
      </c>
      <c r="G353">
        <v>25</v>
      </c>
      <c r="H353">
        <v>1</v>
      </c>
      <c r="I353">
        <v>0</v>
      </c>
      <c r="J353">
        <v>3</v>
      </c>
      <c r="K353">
        <v>17.8</v>
      </c>
      <c r="L353">
        <f t="shared" si="26"/>
        <v>0</v>
      </c>
      <c r="M353">
        <f t="shared" si="27"/>
        <v>25</v>
      </c>
      <c r="N353" t="str">
        <f t="shared" si="28"/>
        <v>Adult</v>
      </c>
      <c r="O353">
        <f t="shared" si="29"/>
        <v>17.8</v>
      </c>
    </row>
    <row r="354" spans="1:15" x14ac:dyDescent="0.3">
      <c r="A354">
        <v>353</v>
      </c>
      <c r="B354">
        <v>0</v>
      </c>
      <c r="C354" t="str">
        <f t="shared" si="25"/>
        <v>No</v>
      </c>
      <c r="D354" t="s">
        <v>956</v>
      </c>
      <c r="E354" t="s">
        <v>1315</v>
      </c>
      <c r="F354" t="str" cm="1">
        <f t="array" ref="F354">IF(OR(COUNTIF(D354,"*"&amp;$T$9:$T$15&amp;"*")),"Female","Male")</f>
        <v>Male</v>
      </c>
      <c r="G354">
        <v>23</v>
      </c>
      <c r="H354">
        <v>0</v>
      </c>
      <c r="I354">
        <v>0</v>
      </c>
      <c r="J354">
        <v>3</v>
      </c>
      <c r="K354">
        <v>7.2249999999999996</v>
      </c>
      <c r="L354">
        <f t="shared" si="26"/>
        <v>0</v>
      </c>
      <c r="M354">
        <f t="shared" si="27"/>
        <v>23</v>
      </c>
      <c r="N354" t="str">
        <f t="shared" si="28"/>
        <v>Adult</v>
      </c>
      <c r="O354">
        <f t="shared" si="29"/>
        <v>7.23</v>
      </c>
    </row>
    <row r="355" spans="1:15" x14ac:dyDescent="0.3">
      <c r="A355">
        <v>354</v>
      </c>
      <c r="B355">
        <v>0</v>
      </c>
      <c r="C355" t="str">
        <f t="shared" si="25"/>
        <v>No</v>
      </c>
      <c r="D355" t="s">
        <v>956</v>
      </c>
      <c r="E355" t="s">
        <v>1316</v>
      </c>
      <c r="F355" t="str" cm="1">
        <f t="array" ref="F355">IF(OR(COUNTIF(D355,"*"&amp;$T$9:$T$15&amp;"*")),"Female","Male")</f>
        <v>Male</v>
      </c>
      <c r="G355">
        <v>28</v>
      </c>
      <c r="H355">
        <v>0</v>
      </c>
      <c r="I355">
        <v>0</v>
      </c>
      <c r="J355">
        <v>3</v>
      </c>
      <c r="K355">
        <v>9.5</v>
      </c>
      <c r="L355">
        <f t="shared" si="26"/>
        <v>0</v>
      </c>
      <c r="M355">
        <f t="shared" si="27"/>
        <v>28</v>
      </c>
      <c r="N355" t="str">
        <f t="shared" si="28"/>
        <v>Adult</v>
      </c>
      <c r="O355">
        <f t="shared" si="29"/>
        <v>9.5</v>
      </c>
    </row>
    <row r="356" spans="1:15" x14ac:dyDescent="0.3">
      <c r="A356">
        <v>355</v>
      </c>
      <c r="B356">
        <v>1</v>
      </c>
      <c r="C356" t="str">
        <f t="shared" si="25"/>
        <v>Yes</v>
      </c>
      <c r="D356" t="s">
        <v>960</v>
      </c>
      <c r="E356" t="s">
        <v>1317</v>
      </c>
      <c r="F356" t="str" cm="1">
        <f t="array" ref="F356">IF(OR(COUNTIF(D356,"*"&amp;$T$9:$T$15&amp;"*")),"Female","Male")</f>
        <v>Female</v>
      </c>
      <c r="G356">
        <v>22</v>
      </c>
      <c r="H356">
        <v>0</v>
      </c>
      <c r="I356">
        <v>1</v>
      </c>
      <c r="J356">
        <v>1</v>
      </c>
      <c r="K356">
        <v>55</v>
      </c>
      <c r="L356">
        <f t="shared" si="26"/>
        <v>1</v>
      </c>
      <c r="M356">
        <f t="shared" si="27"/>
        <v>22</v>
      </c>
      <c r="N356" t="str">
        <f t="shared" si="28"/>
        <v>Adult</v>
      </c>
      <c r="O356">
        <f t="shared" si="29"/>
        <v>55</v>
      </c>
    </row>
    <row r="357" spans="1:15" x14ac:dyDescent="0.3">
      <c r="A357">
        <v>356</v>
      </c>
      <c r="B357">
        <v>0</v>
      </c>
      <c r="C357" t="str">
        <f t="shared" si="25"/>
        <v>No</v>
      </c>
      <c r="D357" t="s">
        <v>960</v>
      </c>
      <c r="E357" t="s">
        <v>1318</v>
      </c>
      <c r="F357" t="str" cm="1">
        <f t="array" ref="F357">IF(OR(COUNTIF(D357,"*"&amp;$T$9:$T$15&amp;"*")),"Female","Male")</f>
        <v>Female</v>
      </c>
      <c r="G357">
        <v>38</v>
      </c>
      <c r="H357">
        <v>0</v>
      </c>
      <c r="I357">
        <v>0</v>
      </c>
      <c r="J357">
        <v>2</v>
      </c>
      <c r="K357">
        <v>13</v>
      </c>
      <c r="L357">
        <f t="shared" si="26"/>
        <v>1</v>
      </c>
      <c r="M357">
        <f t="shared" si="27"/>
        <v>38</v>
      </c>
      <c r="N357" t="str">
        <f t="shared" si="28"/>
        <v>Adult</v>
      </c>
      <c r="O357">
        <f t="shared" si="29"/>
        <v>13</v>
      </c>
    </row>
    <row r="358" spans="1:15" x14ac:dyDescent="0.3">
      <c r="A358">
        <v>357</v>
      </c>
      <c r="B358">
        <v>1</v>
      </c>
      <c r="C358" t="str">
        <f t="shared" si="25"/>
        <v>Yes</v>
      </c>
      <c r="D358" t="s">
        <v>960</v>
      </c>
      <c r="E358" t="s">
        <v>1319</v>
      </c>
      <c r="F358" t="str" cm="1">
        <f t="array" ref="F358">IF(OR(COUNTIF(D358,"*"&amp;$T$9:$T$15&amp;"*")),"Female","Male")</f>
        <v>Female</v>
      </c>
      <c r="G358">
        <v>22</v>
      </c>
      <c r="H358">
        <v>0</v>
      </c>
      <c r="I358">
        <v>0</v>
      </c>
      <c r="J358">
        <v>3</v>
      </c>
      <c r="K358">
        <v>7.8792</v>
      </c>
      <c r="L358">
        <f t="shared" si="26"/>
        <v>1</v>
      </c>
      <c r="M358">
        <f t="shared" si="27"/>
        <v>22</v>
      </c>
      <c r="N358" t="str">
        <f t="shared" si="28"/>
        <v>Adult</v>
      </c>
      <c r="O358">
        <f t="shared" si="29"/>
        <v>7.88</v>
      </c>
    </row>
    <row r="359" spans="1:15" x14ac:dyDescent="0.3">
      <c r="A359">
        <v>358</v>
      </c>
      <c r="B359">
        <v>1</v>
      </c>
      <c r="C359" t="str">
        <f t="shared" si="25"/>
        <v>Yes</v>
      </c>
      <c r="D359" t="s">
        <v>960</v>
      </c>
      <c r="E359" t="s">
        <v>1320</v>
      </c>
      <c r="F359" t="str" cm="1">
        <f t="array" ref="F359">IF(OR(COUNTIF(D359,"*"&amp;$T$9:$T$15&amp;"*")),"Female","Male")</f>
        <v>Female</v>
      </c>
      <c r="G359">
        <v>23</v>
      </c>
      <c r="H359">
        <v>0</v>
      </c>
      <c r="I359">
        <v>0</v>
      </c>
      <c r="J359">
        <v>3</v>
      </c>
      <c r="K359">
        <v>7.8792</v>
      </c>
      <c r="L359">
        <f t="shared" si="26"/>
        <v>1</v>
      </c>
      <c r="M359">
        <f t="shared" si="27"/>
        <v>23</v>
      </c>
      <c r="N359" t="str">
        <f t="shared" si="28"/>
        <v>Adult</v>
      </c>
      <c r="O359">
        <f t="shared" si="29"/>
        <v>7.88</v>
      </c>
    </row>
    <row r="360" spans="1:15" x14ac:dyDescent="0.3">
      <c r="A360">
        <v>359</v>
      </c>
      <c r="B360">
        <v>0</v>
      </c>
      <c r="C360" t="str">
        <f t="shared" si="25"/>
        <v>No</v>
      </c>
      <c r="D360" t="s">
        <v>956</v>
      </c>
      <c r="E360" t="s">
        <v>1321</v>
      </c>
      <c r="F360" t="str" cm="1">
        <f t="array" ref="F360">IF(OR(COUNTIF(D360,"*"&amp;$T$9:$T$15&amp;"*")),"Female","Male")</f>
        <v>Male</v>
      </c>
      <c r="G360">
        <v>40</v>
      </c>
      <c r="H360">
        <v>1</v>
      </c>
      <c r="I360">
        <v>4</v>
      </c>
      <c r="J360">
        <v>3</v>
      </c>
      <c r="K360">
        <v>27.9</v>
      </c>
      <c r="L360">
        <f t="shared" si="26"/>
        <v>0</v>
      </c>
      <c r="M360">
        <f t="shared" si="27"/>
        <v>40</v>
      </c>
      <c r="N360" t="str">
        <f t="shared" si="28"/>
        <v>Adult</v>
      </c>
      <c r="O360">
        <f t="shared" si="29"/>
        <v>27.9</v>
      </c>
    </row>
    <row r="361" spans="1:15" x14ac:dyDescent="0.3">
      <c r="A361">
        <v>360</v>
      </c>
      <c r="B361">
        <v>0</v>
      </c>
      <c r="C361" t="str">
        <f t="shared" si="25"/>
        <v>No</v>
      </c>
      <c r="D361" t="s">
        <v>956</v>
      </c>
      <c r="E361" t="s">
        <v>1322</v>
      </c>
      <c r="F361" t="str" cm="1">
        <f t="array" ref="F361">IF(OR(COUNTIF(D361,"*"&amp;$T$9:$T$15&amp;"*")),"Female","Male")</f>
        <v>Male</v>
      </c>
      <c r="G361">
        <v>29</v>
      </c>
      <c r="H361">
        <v>1</v>
      </c>
      <c r="I361">
        <v>0</v>
      </c>
      <c r="J361">
        <v>2</v>
      </c>
      <c r="K361">
        <v>27.720800000000001</v>
      </c>
      <c r="L361">
        <f t="shared" si="26"/>
        <v>0</v>
      </c>
      <c r="M361">
        <f t="shared" si="27"/>
        <v>29</v>
      </c>
      <c r="N361" t="str">
        <f t="shared" si="28"/>
        <v>Adult</v>
      </c>
      <c r="O361">
        <f t="shared" si="29"/>
        <v>27.72</v>
      </c>
    </row>
    <row r="362" spans="1:15" x14ac:dyDescent="0.3">
      <c r="A362">
        <v>361</v>
      </c>
      <c r="B362">
        <v>0</v>
      </c>
      <c r="C362" t="str">
        <f t="shared" si="25"/>
        <v>No</v>
      </c>
      <c r="D362" t="s">
        <v>958</v>
      </c>
      <c r="E362" t="s">
        <v>1323</v>
      </c>
      <c r="F362" t="str" cm="1">
        <f t="array" ref="F362">IF(OR(COUNTIF(D362,"*"&amp;$T$9:$T$15&amp;"*")),"Female","Male")</f>
        <v>Female</v>
      </c>
      <c r="G362">
        <v>45</v>
      </c>
      <c r="H362">
        <v>0</v>
      </c>
      <c r="I362">
        <v>1</v>
      </c>
      <c r="J362">
        <v>3</v>
      </c>
      <c r="K362">
        <v>14.4542</v>
      </c>
      <c r="L362">
        <f t="shared" si="26"/>
        <v>1</v>
      </c>
      <c r="M362">
        <f t="shared" si="27"/>
        <v>45</v>
      </c>
      <c r="N362" t="str">
        <f t="shared" si="28"/>
        <v>Adult</v>
      </c>
      <c r="O362">
        <f t="shared" si="29"/>
        <v>14.45</v>
      </c>
    </row>
    <row r="363" spans="1:15" x14ac:dyDescent="0.3">
      <c r="A363">
        <v>362</v>
      </c>
      <c r="B363">
        <v>0</v>
      </c>
      <c r="C363" t="str">
        <f t="shared" si="25"/>
        <v>No</v>
      </c>
      <c r="D363" t="s">
        <v>956</v>
      </c>
      <c r="E363" t="s">
        <v>1324</v>
      </c>
      <c r="F363" t="str" cm="1">
        <f t="array" ref="F363">IF(OR(COUNTIF(D363,"*"&amp;$T$9:$T$15&amp;"*")),"Female","Male")</f>
        <v>Male</v>
      </c>
      <c r="G363">
        <v>35</v>
      </c>
      <c r="H363">
        <v>0</v>
      </c>
      <c r="I363">
        <v>0</v>
      </c>
      <c r="J363">
        <v>3</v>
      </c>
      <c r="K363">
        <v>7.05</v>
      </c>
      <c r="L363">
        <f t="shared" si="26"/>
        <v>0</v>
      </c>
      <c r="M363">
        <f t="shared" si="27"/>
        <v>35</v>
      </c>
      <c r="N363" t="str">
        <f t="shared" si="28"/>
        <v>Adult</v>
      </c>
      <c r="O363">
        <f t="shared" si="29"/>
        <v>7.05</v>
      </c>
    </row>
    <row r="364" spans="1:15" x14ac:dyDescent="0.3">
      <c r="A364">
        <v>363</v>
      </c>
      <c r="B364">
        <v>0</v>
      </c>
      <c r="C364" t="str">
        <f t="shared" si="25"/>
        <v>No</v>
      </c>
      <c r="D364" t="s">
        <v>956</v>
      </c>
      <c r="E364" t="s">
        <v>1325</v>
      </c>
      <c r="F364" t="str" cm="1">
        <f t="array" ref="F364">IF(OR(COUNTIF(D364,"*"&amp;$T$9:$T$15&amp;"*")),"Female","Male")</f>
        <v>Male</v>
      </c>
      <c r="G364">
        <v>27</v>
      </c>
      <c r="H364">
        <v>1</v>
      </c>
      <c r="I364">
        <v>0</v>
      </c>
      <c r="J364">
        <v>3</v>
      </c>
      <c r="K364">
        <v>15.5</v>
      </c>
      <c r="L364">
        <f t="shared" si="26"/>
        <v>0</v>
      </c>
      <c r="M364">
        <f t="shared" si="27"/>
        <v>27</v>
      </c>
      <c r="N364" t="str">
        <f t="shared" si="28"/>
        <v>Adult</v>
      </c>
      <c r="O364">
        <f t="shared" si="29"/>
        <v>15.5</v>
      </c>
    </row>
    <row r="365" spans="1:15" x14ac:dyDescent="0.3">
      <c r="A365">
        <v>364</v>
      </c>
      <c r="B365">
        <v>0</v>
      </c>
      <c r="C365" t="str">
        <f t="shared" si="25"/>
        <v>No</v>
      </c>
      <c r="D365" t="s">
        <v>956</v>
      </c>
      <c r="E365" t="s">
        <v>1326</v>
      </c>
      <c r="F365" t="str" cm="1">
        <f t="array" ref="F365">IF(OR(COUNTIF(D365,"*"&amp;$T$9:$T$15&amp;"*")),"Female","Male")</f>
        <v>Male</v>
      </c>
      <c r="G365">
        <v>30</v>
      </c>
      <c r="H365">
        <v>0</v>
      </c>
      <c r="I365">
        <v>0</v>
      </c>
      <c r="J365">
        <v>3</v>
      </c>
      <c r="K365">
        <v>7.25</v>
      </c>
      <c r="L365">
        <f t="shared" si="26"/>
        <v>0</v>
      </c>
      <c r="M365">
        <f t="shared" si="27"/>
        <v>30</v>
      </c>
      <c r="N365" t="str">
        <f t="shared" si="28"/>
        <v>Adult</v>
      </c>
      <c r="O365">
        <f t="shared" si="29"/>
        <v>7.25</v>
      </c>
    </row>
    <row r="366" spans="1:15" x14ac:dyDescent="0.3">
      <c r="A366">
        <v>365</v>
      </c>
      <c r="B366">
        <v>1</v>
      </c>
      <c r="C366" t="str">
        <f t="shared" si="25"/>
        <v>Yes</v>
      </c>
      <c r="D366" t="s">
        <v>958</v>
      </c>
      <c r="E366" t="s">
        <v>1327</v>
      </c>
      <c r="F366" t="str" cm="1">
        <f t="array" ref="F366">IF(OR(COUNTIF(D366,"*"&amp;$T$9:$T$15&amp;"*")),"Female","Male")</f>
        <v>Female</v>
      </c>
      <c r="G366">
        <v>60</v>
      </c>
      <c r="H366">
        <v>1</v>
      </c>
      <c r="I366">
        <v>0</v>
      </c>
      <c r="J366">
        <v>1</v>
      </c>
      <c r="K366">
        <v>75.25</v>
      </c>
      <c r="L366">
        <f t="shared" si="26"/>
        <v>1</v>
      </c>
      <c r="M366">
        <f t="shared" si="27"/>
        <v>60</v>
      </c>
      <c r="N366" t="str">
        <f t="shared" si="28"/>
        <v>Adult</v>
      </c>
      <c r="O366">
        <f t="shared" si="29"/>
        <v>75.25</v>
      </c>
    </row>
    <row r="367" spans="1:15" x14ac:dyDescent="0.3">
      <c r="A367">
        <v>366</v>
      </c>
      <c r="B367">
        <v>1</v>
      </c>
      <c r="C367" t="str">
        <f t="shared" si="25"/>
        <v>Yes</v>
      </c>
      <c r="D367" t="s">
        <v>958</v>
      </c>
      <c r="E367" t="s">
        <v>1328</v>
      </c>
      <c r="F367" t="str" cm="1">
        <f t="array" ref="F367">IF(OR(COUNTIF(D367,"*"&amp;$T$9:$T$15&amp;"*")),"Female","Male")</f>
        <v>Female</v>
      </c>
      <c r="G367">
        <v>35</v>
      </c>
      <c r="H367">
        <v>0</v>
      </c>
      <c r="I367">
        <v>0</v>
      </c>
      <c r="J367">
        <v>3</v>
      </c>
      <c r="K367">
        <v>7.2291999999999996</v>
      </c>
      <c r="L367">
        <f t="shared" si="26"/>
        <v>1</v>
      </c>
      <c r="M367">
        <f t="shared" si="27"/>
        <v>35</v>
      </c>
      <c r="N367" t="str">
        <f t="shared" si="28"/>
        <v>Adult</v>
      </c>
      <c r="O367">
        <f t="shared" si="29"/>
        <v>7.23</v>
      </c>
    </row>
    <row r="368" spans="1:15" x14ac:dyDescent="0.3">
      <c r="A368">
        <v>367</v>
      </c>
      <c r="B368">
        <v>1</v>
      </c>
      <c r="C368" t="str">
        <f t="shared" si="25"/>
        <v>Yes</v>
      </c>
      <c r="D368" t="s">
        <v>960</v>
      </c>
      <c r="E368" t="s">
        <v>1329</v>
      </c>
      <c r="F368" t="str" cm="1">
        <f t="array" ref="F368">IF(OR(COUNTIF(D368,"*"&amp;$T$9:$T$15&amp;"*")),"Female","Male")</f>
        <v>Female</v>
      </c>
      <c r="G368">
        <v>22</v>
      </c>
      <c r="H368">
        <v>0</v>
      </c>
      <c r="I368">
        <v>0</v>
      </c>
      <c r="J368">
        <v>3</v>
      </c>
      <c r="K368">
        <v>7.75</v>
      </c>
      <c r="L368">
        <f t="shared" si="26"/>
        <v>1</v>
      </c>
      <c r="M368">
        <f t="shared" si="27"/>
        <v>22</v>
      </c>
      <c r="N368" t="str">
        <f t="shared" si="28"/>
        <v>Adult</v>
      </c>
      <c r="O368">
        <f t="shared" si="29"/>
        <v>7.75</v>
      </c>
    </row>
    <row r="369" spans="1:15" x14ac:dyDescent="0.3">
      <c r="A369">
        <v>368</v>
      </c>
      <c r="B369">
        <v>1</v>
      </c>
      <c r="C369" t="str">
        <f t="shared" si="25"/>
        <v>Yes</v>
      </c>
      <c r="D369" t="s">
        <v>1330</v>
      </c>
      <c r="E369" t="s">
        <v>1331</v>
      </c>
      <c r="F369" t="str" cm="1">
        <f t="array" ref="F369">IF(OR(COUNTIF(D369,"*"&amp;$T$9:$T$15&amp;"*")),"Female","Male")</f>
        <v>Female</v>
      </c>
      <c r="G369">
        <v>24</v>
      </c>
      <c r="H369">
        <v>0</v>
      </c>
      <c r="I369">
        <v>0</v>
      </c>
      <c r="J369">
        <v>1</v>
      </c>
      <c r="K369">
        <v>69.3</v>
      </c>
      <c r="L369">
        <f t="shared" si="26"/>
        <v>1</v>
      </c>
      <c r="M369">
        <f t="shared" si="27"/>
        <v>24</v>
      </c>
      <c r="N369" t="str">
        <f t="shared" si="28"/>
        <v>Adult</v>
      </c>
      <c r="O369">
        <f t="shared" si="29"/>
        <v>69.3</v>
      </c>
    </row>
    <row r="370" spans="1:15" x14ac:dyDescent="0.3">
      <c r="A370">
        <v>369</v>
      </c>
      <c r="B370">
        <v>1</v>
      </c>
      <c r="C370" t="str">
        <f t="shared" si="25"/>
        <v>Yes</v>
      </c>
      <c r="D370" t="s">
        <v>956</v>
      </c>
      <c r="E370" t="s">
        <v>1332</v>
      </c>
      <c r="F370" t="str" cm="1">
        <f t="array" ref="F370">IF(OR(COUNTIF(D370,"*"&amp;$T$9:$T$15&amp;"*")),"Female","Male")</f>
        <v>Male</v>
      </c>
      <c r="G370">
        <v>25</v>
      </c>
      <c r="H370">
        <v>1</v>
      </c>
      <c r="I370">
        <v>0</v>
      </c>
      <c r="J370">
        <v>1</v>
      </c>
      <c r="K370">
        <v>55.441699999999997</v>
      </c>
      <c r="L370">
        <f t="shared" si="26"/>
        <v>0</v>
      </c>
      <c r="M370">
        <f t="shared" si="27"/>
        <v>25</v>
      </c>
      <c r="N370" t="str">
        <f t="shared" si="28"/>
        <v>Adult</v>
      </c>
      <c r="O370">
        <f t="shared" si="29"/>
        <v>55.44</v>
      </c>
    </row>
    <row r="371" spans="1:15" x14ac:dyDescent="0.3">
      <c r="A371">
        <v>370</v>
      </c>
      <c r="B371">
        <v>0</v>
      </c>
      <c r="C371" t="str">
        <f t="shared" si="25"/>
        <v>No</v>
      </c>
      <c r="D371" t="s">
        <v>956</v>
      </c>
      <c r="E371" t="s">
        <v>1333</v>
      </c>
      <c r="F371" t="str" cm="1">
        <f t="array" ref="F371">IF(OR(COUNTIF(D371,"*"&amp;$T$9:$T$15&amp;"*")),"Female","Male")</f>
        <v>Male</v>
      </c>
      <c r="G371">
        <v>18</v>
      </c>
      <c r="H371">
        <v>1</v>
      </c>
      <c r="I371">
        <v>0</v>
      </c>
      <c r="J371">
        <v>3</v>
      </c>
      <c r="K371">
        <v>6.4958</v>
      </c>
      <c r="L371">
        <f t="shared" si="26"/>
        <v>0</v>
      </c>
      <c r="M371">
        <f t="shared" si="27"/>
        <v>18</v>
      </c>
      <c r="N371" t="str">
        <f t="shared" si="28"/>
        <v>Adult</v>
      </c>
      <c r="O371">
        <f t="shared" si="29"/>
        <v>6.5</v>
      </c>
    </row>
    <row r="372" spans="1:15" x14ac:dyDescent="0.3">
      <c r="A372">
        <v>371</v>
      </c>
      <c r="B372">
        <v>0</v>
      </c>
      <c r="C372" t="str">
        <f t="shared" si="25"/>
        <v>No</v>
      </c>
      <c r="D372" t="s">
        <v>956</v>
      </c>
      <c r="E372" t="s">
        <v>1334</v>
      </c>
      <c r="F372" t="str" cm="1">
        <f t="array" ref="F372">IF(OR(COUNTIF(D372,"*"&amp;$T$9:$T$15&amp;"*")),"Female","Male")</f>
        <v>Male</v>
      </c>
      <c r="G372">
        <v>19</v>
      </c>
      <c r="H372">
        <v>0</v>
      </c>
      <c r="I372">
        <v>0</v>
      </c>
      <c r="J372">
        <v>3</v>
      </c>
      <c r="K372">
        <v>8.0500000000000007</v>
      </c>
      <c r="L372">
        <f t="shared" si="26"/>
        <v>0</v>
      </c>
      <c r="M372">
        <f t="shared" si="27"/>
        <v>19</v>
      </c>
      <c r="N372" t="str">
        <f t="shared" si="28"/>
        <v>Adult</v>
      </c>
      <c r="O372">
        <f t="shared" si="29"/>
        <v>8.0500000000000007</v>
      </c>
    </row>
    <row r="373" spans="1:15" x14ac:dyDescent="0.3">
      <c r="A373">
        <v>372</v>
      </c>
      <c r="B373">
        <v>0</v>
      </c>
      <c r="C373" t="str">
        <f t="shared" si="25"/>
        <v>No</v>
      </c>
      <c r="D373" t="s">
        <v>956</v>
      </c>
      <c r="E373" t="s">
        <v>1335</v>
      </c>
      <c r="F373" t="str" cm="1">
        <f t="array" ref="F373">IF(OR(COUNTIF(D373,"*"&amp;$T$9:$T$15&amp;"*")),"Female","Male")</f>
        <v>Male</v>
      </c>
      <c r="G373">
        <v>22</v>
      </c>
      <c r="H373">
        <v>0</v>
      </c>
      <c r="I373">
        <v>0</v>
      </c>
      <c r="J373">
        <v>1</v>
      </c>
      <c r="K373">
        <v>135.63329999999999</v>
      </c>
      <c r="L373">
        <f t="shared" si="26"/>
        <v>0</v>
      </c>
      <c r="M373">
        <f t="shared" si="27"/>
        <v>22</v>
      </c>
      <c r="N373" t="str">
        <f t="shared" si="28"/>
        <v>Adult</v>
      </c>
      <c r="O373">
        <f t="shared" si="29"/>
        <v>135.63</v>
      </c>
    </row>
    <row r="374" spans="1:15" x14ac:dyDescent="0.3">
      <c r="A374">
        <v>373</v>
      </c>
      <c r="B374">
        <v>0</v>
      </c>
      <c r="C374" t="str">
        <f t="shared" si="25"/>
        <v>No</v>
      </c>
      <c r="D374" t="s">
        <v>960</v>
      </c>
      <c r="E374" t="s">
        <v>1336</v>
      </c>
      <c r="F374" t="str" cm="1">
        <f t="array" ref="F374">IF(OR(COUNTIF(D374,"*"&amp;$T$9:$T$15&amp;"*")),"Female","Male")</f>
        <v>Female</v>
      </c>
      <c r="G374">
        <v>3</v>
      </c>
      <c r="H374">
        <v>3</v>
      </c>
      <c r="I374">
        <v>1</v>
      </c>
      <c r="J374">
        <v>3</v>
      </c>
      <c r="K374">
        <v>21.074999999999999</v>
      </c>
      <c r="L374">
        <f t="shared" si="26"/>
        <v>1</v>
      </c>
      <c r="M374">
        <f t="shared" si="27"/>
        <v>3</v>
      </c>
      <c r="N374" t="str">
        <f t="shared" si="28"/>
        <v>Child</v>
      </c>
      <c r="O374">
        <f t="shared" si="29"/>
        <v>21.08</v>
      </c>
    </row>
    <row r="375" spans="1:15" x14ac:dyDescent="0.3">
      <c r="A375">
        <v>374</v>
      </c>
      <c r="B375">
        <v>1</v>
      </c>
      <c r="C375" t="str">
        <f t="shared" si="25"/>
        <v>Yes</v>
      </c>
      <c r="D375" t="s">
        <v>958</v>
      </c>
      <c r="E375" t="s">
        <v>1337</v>
      </c>
      <c r="F375" t="str" cm="1">
        <f t="array" ref="F375">IF(OR(COUNTIF(D375,"*"&amp;$T$9:$T$15&amp;"*")),"Female","Male")</f>
        <v>Female</v>
      </c>
      <c r="G375">
        <v>25</v>
      </c>
      <c r="H375">
        <v>1</v>
      </c>
      <c r="I375">
        <v>0</v>
      </c>
      <c r="J375">
        <v>1</v>
      </c>
      <c r="K375">
        <v>82.1708</v>
      </c>
      <c r="L375">
        <f t="shared" si="26"/>
        <v>1</v>
      </c>
      <c r="M375">
        <f t="shared" si="27"/>
        <v>25</v>
      </c>
      <c r="N375" t="str">
        <f t="shared" si="28"/>
        <v>Adult</v>
      </c>
      <c r="O375">
        <f t="shared" si="29"/>
        <v>82.17</v>
      </c>
    </row>
    <row r="376" spans="1:15" x14ac:dyDescent="0.3">
      <c r="A376">
        <v>375</v>
      </c>
      <c r="B376">
        <v>1</v>
      </c>
      <c r="C376" t="str">
        <f t="shared" si="25"/>
        <v>Yes</v>
      </c>
      <c r="D376" t="s">
        <v>960</v>
      </c>
      <c r="E376" t="s">
        <v>1338</v>
      </c>
      <c r="F376" t="str" cm="1">
        <f t="array" ref="F376">IF(OR(COUNTIF(D376,"*"&amp;$T$9:$T$15&amp;"*")),"Female","Male")</f>
        <v>Female</v>
      </c>
      <c r="G376">
        <v>22</v>
      </c>
      <c r="H376">
        <v>0</v>
      </c>
      <c r="I376">
        <v>0</v>
      </c>
      <c r="J376">
        <v>3</v>
      </c>
      <c r="K376">
        <v>7.25</v>
      </c>
      <c r="L376">
        <f t="shared" si="26"/>
        <v>1</v>
      </c>
      <c r="M376">
        <f t="shared" si="27"/>
        <v>22</v>
      </c>
      <c r="N376" t="str">
        <f t="shared" si="28"/>
        <v>Adult</v>
      </c>
      <c r="O376">
        <f t="shared" si="29"/>
        <v>7.25</v>
      </c>
    </row>
    <row r="377" spans="1:15" x14ac:dyDescent="0.3">
      <c r="A377">
        <v>376</v>
      </c>
      <c r="B377">
        <v>0</v>
      </c>
      <c r="C377" t="str">
        <f t="shared" si="25"/>
        <v>No</v>
      </c>
      <c r="D377" t="s">
        <v>956</v>
      </c>
      <c r="E377" t="s">
        <v>1339</v>
      </c>
      <c r="F377" t="str" cm="1">
        <f t="array" ref="F377">IF(OR(COUNTIF(D377,"*"&amp;$T$9:$T$15&amp;"*")),"Female","Male")</f>
        <v>Male</v>
      </c>
      <c r="G377">
        <v>27</v>
      </c>
      <c r="H377">
        <v>0</v>
      </c>
      <c r="I377">
        <v>2</v>
      </c>
      <c r="J377">
        <v>1</v>
      </c>
      <c r="K377">
        <v>211.5</v>
      </c>
      <c r="L377">
        <f t="shared" si="26"/>
        <v>0</v>
      </c>
      <c r="M377">
        <f t="shared" si="27"/>
        <v>27</v>
      </c>
      <c r="N377" t="str">
        <f t="shared" si="28"/>
        <v>Adult</v>
      </c>
      <c r="O377">
        <f t="shared" si="29"/>
        <v>211.5</v>
      </c>
    </row>
    <row r="378" spans="1:15" x14ac:dyDescent="0.3">
      <c r="A378">
        <v>377</v>
      </c>
      <c r="B378">
        <v>0</v>
      </c>
      <c r="C378" t="str">
        <f t="shared" si="25"/>
        <v>No</v>
      </c>
      <c r="D378" t="s">
        <v>956</v>
      </c>
      <c r="E378" t="s">
        <v>1340</v>
      </c>
      <c r="F378" t="str" cm="1">
        <f t="array" ref="F378">IF(OR(COUNTIF(D378,"*"&amp;$T$9:$T$15&amp;"*")),"Female","Male")</f>
        <v>Male</v>
      </c>
      <c r="G378">
        <v>20</v>
      </c>
      <c r="H378">
        <v>0</v>
      </c>
      <c r="I378">
        <v>0</v>
      </c>
      <c r="J378">
        <v>3</v>
      </c>
      <c r="K378">
        <v>4.0125000000000002</v>
      </c>
      <c r="L378">
        <f t="shared" si="26"/>
        <v>0</v>
      </c>
      <c r="M378">
        <f t="shared" si="27"/>
        <v>20</v>
      </c>
      <c r="N378" t="str">
        <f t="shared" si="28"/>
        <v>Adult</v>
      </c>
      <c r="O378">
        <f t="shared" si="29"/>
        <v>4.01</v>
      </c>
    </row>
    <row r="379" spans="1:15" x14ac:dyDescent="0.3">
      <c r="A379">
        <v>378</v>
      </c>
      <c r="B379">
        <v>0</v>
      </c>
      <c r="C379" t="str">
        <f t="shared" si="25"/>
        <v>No</v>
      </c>
      <c r="D379" t="s">
        <v>956</v>
      </c>
      <c r="E379" t="s">
        <v>1341</v>
      </c>
      <c r="F379" t="str" cm="1">
        <f t="array" ref="F379">IF(OR(COUNTIF(D379,"*"&amp;$T$9:$T$15&amp;"*")),"Female","Male")</f>
        <v>Male</v>
      </c>
      <c r="G379">
        <v>19</v>
      </c>
      <c r="H379">
        <v>0</v>
      </c>
      <c r="I379">
        <v>0</v>
      </c>
      <c r="J379">
        <v>3</v>
      </c>
      <c r="K379">
        <v>7.7750000000000004</v>
      </c>
      <c r="L379">
        <f t="shared" si="26"/>
        <v>0</v>
      </c>
      <c r="M379">
        <f t="shared" si="27"/>
        <v>19</v>
      </c>
      <c r="N379" t="str">
        <f t="shared" si="28"/>
        <v>Adult</v>
      </c>
      <c r="O379">
        <f t="shared" si="29"/>
        <v>7.78</v>
      </c>
    </row>
    <row r="380" spans="1:15" x14ac:dyDescent="0.3">
      <c r="A380">
        <v>379</v>
      </c>
      <c r="B380">
        <v>1</v>
      </c>
      <c r="C380" t="str">
        <f t="shared" si="25"/>
        <v>Yes</v>
      </c>
      <c r="D380" t="s">
        <v>960</v>
      </c>
      <c r="E380" t="s">
        <v>1342</v>
      </c>
      <c r="F380" t="str" cm="1">
        <f t="array" ref="F380">IF(OR(COUNTIF(D380,"*"&amp;$T$9:$T$15&amp;"*")),"Female","Male")</f>
        <v>Female</v>
      </c>
      <c r="G380">
        <v>42</v>
      </c>
      <c r="H380">
        <v>0</v>
      </c>
      <c r="I380">
        <v>0</v>
      </c>
      <c r="J380">
        <v>1</v>
      </c>
      <c r="K380">
        <v>227.52500000000001</v>
      </c>
      <c r="L380">
        <f t="shared" si="26"/>
        <v>1</v>
      </c>
      <c r="M380">
        <f t="shared" si="27"/>
        <v>42</v>
      </c>
      <c r="N380" t="str">
        <f t="shared" si="28"/>
        <v>Adult</v>
      </c>
      <c r="O380">
        <f t="shared" si="29"/>
        <v>227.53</v>
      </c>
    </row>
    <row r="381" spans="1:15" x14ac:dyDescent="0.3">
      <c r="A381">
        <v>380</v>
      </c>
      <c r="B381">
        <v>1</v>
      </c>
      <c r="C381" t="str">
        <f t="shared" si="25"/>
        <v>Yes</v>
      </c>
      <c r="D381" t="s">
        <v>960</v>
      </c>
      <c r="E381" t="s">
        <v>1343</v>
      </c>
      <c r="F381" t="str" cm="1">
        <f t="array" ref="F381">IF(OR(COUNTIF(D381,"*"&amp;$T$9:$T$15&amp;"*")),"Female","Male")</f>
        <v>Female</v>
      </c>
      <c r="G381">
        <v>1</v>
      </c>
      <c r="H381">
        <v>0</v>
      </c>
      <c r="I381">
        <v>2</v>
      </c>
      <c r="J381">
        <v>3</v>
      </c>
      <c r="K381">
        <v>15.7417</v>
      </c>
      <c r="L381">
        <f t="shared" si="26"/>
        <v>1</v>
      </c>
      <c r="M381">
        <f t="shared" si="27"/>
        <v>1</v>
      </c>
      <c r="N381" t="str">
        <f t="shared" si="28"/>
        <v>Child</v>
      </c>
      <c r="O381">
        <f t="shared" si="29"/>
        <v>15.74</v>
      </c>
    </row>
    <row r="382" spans="1:15" x14ac:dyDescent="0.3">
      <c r="A382">
        <v>381</v>
      </c>
      <c r="B382">
        <v>0</v>
      </c>
      <c r="C382" t="str">
        <f t="shared" si="25"/>
        <v>No</v>
      </c>
      <c r="D382" t="s">
        <v>956</v>
      </c>
      <c r="E382" t="s">
        <v>1344</v>
      </c>
      <c r="F382" t="str" cm="1">
        <f t="array" ref="F382">IF(OR(COUNTIF(D382,"*"&amp;$T$9:$T$15&amp;"*")),"Female","Male")</f>
        <v>Male</v>
      </c>
      <c r="G382">
        <v>32</v>
      </c>
      <c r="H382">
        <v>0</v>
      </c>
      <c r="I382">
        <v>0</v>
      </c>
      <c r="J382">
        <v>3</v>
      </c>
      <c r="K382">
        <v>7.9249999999999998</v>
      </c>
      <c r="L382">
        <f t="shared" si="26"/>
        <v>0</v>
      </c>
      <c r="M382">
        <f t="shared" si="27"/>
        <v>32</v>
      </c>
      <c r="N382" t="str">
        <f t="shared" si="28"/>
        <v>Adult</v>
      </c>
      <c r="O382">
        <f t="shared" si="29"/>
        <v>7.93</v>
      </c>
    </row>
    <row r="383" spans="1:15" x14ac:dyDescent="0.3">
      <c r="A383">
        <v>382</v>
      </c>
      <c r="B383">
        <v>1</v>
      </c>
      <c r="C383" t="str">
        <f t="shared" si="25"/>
        <v>Yes</v>
      </c>
      <c r="D383" t="s">
        <v>958</v>
      </c>
      <c r="E383" t="s">
        <v>1345</v>
      </c>
      <c r="F383" t="str" cm="1">
        <f t="array" ref="F383">IF(OR(COUNTIF(D383,"*"&amp;$T$9:$T$15&amp;"*")),"Female","Male")</f>
        <v>Female</v>
      </c>
      <c r="G383">
        <v>35</v>
      </c>
      <c r="H383">
        <v>1</v>
      </c>
      <c r="I383">
        <v>0</v>
      </c>
      <c r="J383">
        <v>1</v>
      </c>
      <c r="K383">
        <v>52</v>
      </c>
      <c r="L383">
        <f t="shared" si="26"/>
        <v>1</v>
      </c>
      <c r="M383">
        <f t="shared" si="27"/>
        <v>35</v>
      </c>
      <c r="N383" t="str">
        <f t="shared" si="28"/>
        <v>Adult</v>
      </c>
      <c r="O383">
        <f t="shared" si="29"/>
        <v>52</v>
      </c>
    </row>
    <row r="384" spans="1:15" x14ac:dyDescent="0.3">
      <c r="A384">
        <v>383</v>
      </c>
      <c r="B384">
        <v>0</v>
      </c>
      <c r="C384" t="str">
        <f t="shared" si="25"/>
        <v>No</v>
      </c>
      <c r="D384" t="s">
        <v>956</v>
      </c>
      <c r="E384" t="s">
        <v>1346</v>
      </c>
      <c r="F384" t="str" cm="1">
        <f t="array" ref="F384">IF(OR(COUNTIF(D384,"*"&amp;$T$9:$T$15&amp;"*")),"Female","Male")</f>
        <v>Male</v>
      </c>
      <c r="G384">
        <v>27</v>
      </c>
      <c r="H384">
        <v>0</v>
      </c>
      <c r="I384">
        <v>0</v>
      </c>
      <c r="J384">
        <v>3</v>
      </c>
      <c r="K384">
        <v>7.8958000000000004</v>
      </c>
      <c r="L384">
        <f t="shared" si="26"/>
        <v>0</v>
      </c>
      <c r="M384">
        <f t="shared" si="27"/>
        <v>27</v>
      </c>
      <c r="N384" t="str">
        <f t="shared" si="28"/>
        <v>Adult</v>
      </c>
      <c r="O384">
        <f t="shared" si="29"/>
        <v>7.9</v>
      </c>
    </row>
    <row r="385" spans="1:15" x14ac:dyDescent="0.3">
      <c r="A385">
        <v>384</v>
      </c>
      <c r="B385">
        <v>0</v>
      </c>
      <c r="C385" t="str">
        <f t="shared" si="25"/>
        <v>No</v>
      </c>
      <c r="D385" t="s">
        <v>956</v>
      </c>
      <c r="E385" t="s">
        <v>1347</v>
      </c>
      <c r="F385" t="str" cm="1">
        <f t="array" ref="F385">IF(OR(COUNTIF(D385,"*"&amp;$T$9:$T$15&amp;"*")),"Female","Male")</f>
        <v>Male</v>
      </c>
      <c r="G385">
        <v>18</v>
      </c>
      <c r="H385">
        <v>0</v>
      </c>
      <c r="I385">
        <v>0</v>
      </c>
      <c r="J385">
        <v>2</v>
      </c>
      <c r="K385">
        <v>73.5</v>
      </c>
      <c r="L385">
        <f t="shared" si="26"/>
        <v>0</v>
      </c>
      <c r="M385">
        <f t="shared" si="27"/>
        <v>18</v>
      </c>
      <c r="N385" t="str">
        <f t="shared" si="28"/>
        <v>Adult</v>
      </c>
      <c r="O385">
        <f t="shared" si="29"/>
        <v>73.5</v>
      </c>
    </row>
    <row r="386" spans="1:15" x14ac:dyDescent="0.3">
      <c r="A386">
        <v>385</v>
      </c>
      <c r="B386">
        <v>0</v>
      </c>
      <c r="C386" t="str">
        <f t="shared" si="25"/>
        <v>No</v>
      </c>
      <c r="D386" t="s">
        <v>966</v>
      </c>
      <c r="E386" t="s">
        <v>1348</v>
      </c>
      <c r="F386" t="str" cm="1">
        <f t="array" ref="F386">IF(OR(COUNTIF(D386,"*"&amp;$T$9:$T$15&amp;"*")),"Female","Male")</f>
        <v>Male</v>
      </c>
      <c r="G386">
        <v>1</v>
      </c>
      <c r="H386">
        <v>5</v>
      </c>
      <c r="I386">
        <v>2</v>
      </c>
      <c r="J386">
        <v>3</v>
      </c>
      <c r="K386">
        <v>46.9</v>
      </c>
      <c r="L386">
        <f t="shared" si="26"/>
        <v>0</v>
      </c>
      <c r="M386">
        <f t="shared" si="27"/>
        <v>1</v>
      </c>
      <c r="N386" t="str">
        <f t="shared" si="28"/>
        <v>Child</v>
      </c>
      <c r="O386">
        <f t="shared" si="29"/>
        <v>46.9</v>
      </c>
    </row>
    <row r="387" spans="1:15" x14ac:dyDescent="0.3">
      <c r="A387">
        <v>386</v>
      </c>
      <c r="B387">
        <v>1</v>
      </c>
      <c r="C387" t="str">
        <f t="shared" ref="C387:C450" si="30">IF(B387=0,"No","Yes")</f>
        <v>Yes</v>
      </c>
      <c r="D387" t="s">
        <v>960</v>
      </c>
      <c r="E387" t="s">
        <v>1349</v>
      </c>
      <c r="F387" t="str" cm="1">
        <f t="array" ref="F387">IF(OR(COUNTIF(D387,"*"&amp;$T$9:$T$15&amp;"*")),"Female","Male")</f>
        <v>Female</v>
      </c>
      <c r="G387">
        <v>36</v>
      </c>
      <c r="H387">
        <v>0</v>
      </c>
      <c r="I387">
        <v>0</v>
      </c>
      <c r="J387">
        <v>2</v>
      </c>
      <c r="K387">
        <v>13</v>
      </c>
      <c r="L387">
        <f t="shared" ref="L387:L450" si="31">IF(F387 = "Male", 0, 1)</f>
        <v>1</v>
      </c>
      <c r="M387">
        <f t="shared" ref="M387:M450" si="32">ROUND(G387, 0)</f>
        <v>36</v>
      </c>
      <c r="N387" t="str">
        <f t="shared" ref="N387:N450" si="33">IF(G387&lt;=16,"Child","Adult")</f>
        <v>Adult</v>
      </c>
      <c r="O387">
        <f t="shared" ref="O387:O450" si="34">ROUND(K387, 2)</f>
        <v>13</v>
      </c>
    </row>
    <row r="388" spans="1:15" x14ac:dyDescent="0.3">
      <c r="A388">
        <v>387</v>
      </c>
      <c r="B388">
        <v>0</v>
      </c>
      <c r="C388" t="str">
        <f t="shared" si="30"/>
        <v>No</v>
      </c>
      <c r="D388" t="s">
        <v>956</v>
      </c>
      <c r="E388" t="s">
        <v>1350</v>
      </c>
      <c r="F388" t="str" cm="1">
        <f t="array" ref="F388">IF(OR(COUNTIF(D388,"*"&amp;$T$9:$T$15&amp;"*")),"Female","Male")</f>
        <v>Male</v>
      </c>
      <c r="G388">
        <v>19</v>
      </c>
      <c r="H388">
        <v>0</v>
      </c>
      <c r="I388">
        <v>0</v>
      </c>
      <c r="J388">
        <v>3</v>
      </c>
      <c r="K388">
        <v>7.7291999999999996</v>
      </c>
      <c r="L388">
        <f t="shared" si="31"/>
        <v>0</v>
      </c>
      <c r="M388">
        <f t="shared" si="32"/>
        <v>19</v>
      </c>
      <c r="N388" t="str">
        <f t="shared" si="33"/>
        <v>Adult</v>
      </c>
      <c r="O388">
        <f t="shared" si="34"/>
        <v>7.73</v>
      </c>
    </row>
    <row r="389" spans="1:15" x14ac:dyDescent="0.3">
      <c r="A389">
        <v>388</v>
      </c>
      <c r="B389">
        <v>1</v>
      </c>
      <c r="C389" t="str">
        <f t="shared" si="30"/>
        <v>Yes</v>
      </c>
      <c r="D389" t="s">
        <v>960</v>
      </c>
      <c r="E389" t="s">
        <v>1351</v>
      </c>
      <c r="F389" t="str" cm="1">
        <f t="array" ref="F389">IF(OR(COUNTIF(D389,"*"&amp;$T$9:$T$15&amp;"*")),"Female","Male")</f>
        <v>Female</v>
      </c>
      <c r="G389">
        <v>17</v>
      </c>
      <c r="H389">
        <v>0</v>
      </c>
      <c r="I389">
        <v>0</v>
      </c>
      <c r="J389">
        <v>2</v>
      </c>
      <c r="K389">
        <v>12</v>
      </c>
      <c r="L389">
        <f t="shared" si="31"/>
        <v>1</v>
      </c>
      <c r="M389">
        <f t="shared" si="32"/>
        <v>17</v>
      </c>
      <c r="N389" t="str">
        <f t="shared" si="33"/>
        <v>Adult</v>
      </c>
      <c r="O389">
        <f t="shared" si="34"/>
        <v>12</v>
      </c>
    </row>
    <row r="390" spans="1:15" x14ac:dyDescent="0.3">
      <c r="A390">
        <v>389</v>
      </c>
      <c r="B390">
        <v>1</v>
      </c>
      <c r="C390" t="str">
        <f t="shared" si="30"/>
        <v>Yes</v>
      </c>
      <c r="D390" t="s">
        <v>956</v>
      </c>
      <c r="E390" t="s">
        <v>1352</v>
      </c>
      <c r="F390" t="str" cm="1">
        <f t="array" ref="F390">IF(OR(COUNTIF(D390,"*"&amp;$T$9:$T$15&amp;"*")),"Female","Male")</f>
        <v>Male</v>
      </c>
      <c r="G390">
        <v>36</v>
      </c>
      <c r="H390">
        <v>1</v>
      </c>
      <c r="I390">
        <v>2</v>
      </c>
      <c r="J390">
        <v>1</v>
      </c>
      <c r="K390">
        <v>120</v>
      </c>
      <c r="L390">
        <f t="shared" si="31"/>
        <v>0</v>
      </c>
      <c r="M390">
        <f t="shared" si="32"/>
        <v>36</v>
      </c>
      <c r="N390" t="str">
        <f t="shared" si="33"/>
        <v>Adult</v>
      </c>
      <c r="O390">
        <f t="shared" si="34"/>
        <v>120</v>
      </c>
    </row>
    <row r="391" spans="1:15" x14ac:dyDescent="0.3">
      <c r="A391">
        <v>390</v>
      </c>
      <c r="B391">
        <v>1</v>
      </c>
      <c r="C391" t="str">
        <f t="shared" si="30"/>
        <v>Yes</v>
      </c>
      <c r="D391" t="s">
        <v>956</v>
      </c>
      <c r="E391" t="s">
        <v>1353</v>
      </c>
      <c r="F391" t="str" cm="1">
        <f t="array" ref="F391">IF(OR(COUNTIF(D391,"*"&amp;$T$9:$T$15&amp;"*")),"Female","Male")</f>
        <v>Male</v>
      </c>
      <c r="G391">
        <v>21</v>
      </c>
      <c r="H391">
        <v>0</v>
      </c>
      <c r="I391">
        <v>0</v>
      </c>
      <c r="J391">
        <v>3</v>
      </c>
      <c r="K391">
        <v>7.7957999999999998</v>
      </c>
      <c r="L391">
        <f t="shared" si="31"/>
        <v>0</v>
      </c>
      <c r="M391">
        <f t="shared" si="32"/>
        <v>21</v>
      </c>
      <c r="N391" t="str">
        <f t="shared" si="33"/>
        <v>Adult</v>
      </c>
      <c r="O391">
        <f t="shared" si="34"/>
        <v>7.8</v>
      </c>
    </row>
    <row r="392" spans="1:15" x14ac:dyDescent="0.3">
      <c r="A392">
        <v>391</v>
      </c>
      <c r="B392">
        <v>0</v>
      </c>
      <c r="C392" t="str">
        <f t="shared" si="30"/>
        <v>No</v>
      </c>
      <c r="D392" t="s">
        <v>956</v>
      </c>
      <c r="E392" t="s">
        <v>1354</v>
      </c>
      <c r="F392" t="str" cm="1">
        <f t="array" ref="F392">IF(OR(COUNTIF(D392,"*"&amp;$T$9:$T$15&amp;"*")),"Female","Male")</f>
        <v>Male</v>
      </c>
      <c r="G392">
        <v>28</v>
      </c>
      <c r="H392">
        <v>2</v>
      </c>
      <c r="I392">
        <v>0</v>
      </c>
      <c r="J392">
        <v>3</v>
      </c>
      <c r="K392">
        <v>7.9249999999999998</v>
      </c>
      <c r="L392">
        <f t="shared" si="31"/>
        <v>0</v>
      </c>
      <c r="M392">
        <f t="shared" si="32"/>
        <v>28</v>
      </c>
      <c r="N392" t="str">
        <f t="shared" si="33"/>
        <v>Adult</v>
      </c>
      <c r="O392">
        <f t="shared" si="34"/>
        <v>7.93</v>
      </c>
    </row>
    <row r="393" spans="1:15" x14ac:dyDescent="0.3">
      <c r="A393">
        <v>392</v>
      </c>
      <c r="B393">
        <v>1</v>
      </c>
      <c r="C393" t="str">
        <f t="shared" si="30"/>
        <v>Yes</v>
      </c>
      <c r="D393" t="s">
        <v>960</v>
      </c>
      <c r="E393" t="s">
        <v>1355</v>
      </c>
      <c r="F393" t="str" cm="1">
        <f t="array" ref="F393">IF(OR(COUNTIF(D393,"*"&amp;$T$9:$T$15&amp;"*")),"Female","Male")</f>
        <v>Female</v>
      </c>
      <c r="G393">
        <v>23</v>
      </c>
      <c r="H393">
        <v>1</v>
      </c>
      <c r="I393">
        <v>0</v>
      </c>
      <c r="J393">
        <v>1</v>
      </c>
      <c r="K393">
        <v>113.27500000000001</v>
      </c>
      <c r="L393">
        <f t="shared" si="31"/>
        <v>1</v>
      </c>
      <c r="M393">
        <f t="shared" si="32"/>
        <v>23</v>
      </c>
      <c r="N393" t="str">
        <f t="shared" si="33"/>
        <v>Adult</v>
      </c>
      <c r="O393">
        <f t="shared" si="34"/>
        <v>113.28</v>
      </c>
    </row>
    <row r="394" spans="1:15" x14ac:dyDescent="0.3">
      <c r="A394">
        <v>393</v>
      </c>
      <c r="B394">
        <v>1</v>
      </c>
      <c r="C394" t="str">
        <f t="shared" si="30"/>
        <v>Yes</v>
      </c>
      <c r="D394" t="s">
        <v>958</v>
      </c>
      <c r="E394" t="s">
        <v>1356</v>
      </c>
      <c r="F394" t="str" cm="1">
        <f t="array" ref="F394">IF(OR(COUNTIF(D394,"*"&amp;$T$9:$T$15&amp;"*")),"Female","Male")</f>
        <v>Female</v>
      </c>
      <c r="G394">
        <v>24</v>
      </c>
      <c r="H394">
        <v>0</v>
      </c>
      <c r="I394">
        <v>2</v>
      </c>
      <c r="J394">
        <v>3</v>
      </c>
      <c r="K394">
        <v>16.7</v>
      </c>
      <c r="L394">
        <f t="shared" si="31"/>
        <v>1</v>
      </c>
      <c r="M394">
        <f t="shared" si="32"/>
        <v>24</v>
      </c>
      <c r="N394" t="str">
        <f t="shared" si="33"/>
        <v>Adult</v>
      </c>
      <c r="O394">
        <f t="shared" si="34"/>
        <v>16.7</v>
      </c>
    </row>
    <row r="395" spans="1:15" x14ac:dyDescent="0.3">
      <c r="A395">
        <v>394</v>
      </c>
      <c r="B395">
        <v>0</v>
      </c>
      <c r="C395" t="str">
        <f t="shared" si="30"/>
        <v>No</v>
      </c>
      <c r="D395" t="s">
        <v>956</v>
      </c>
      <c r="E395" t="s">
        <v>1357</v>
      </c>
      <c r="F395" t="str" cm="1">
        <f t="array" ref="F395">IF(OR(COUNTIF(D395,"*"&amp;$T$9:$T$15&amp;"*")),"Female","Male")</f>
        <v>Male</v>
      </c>
      <c r="G395">
        <v>22</v>
      </c>
      <c r="H395">
        <v>0</v>
      </c>
      <c r="I395">
        <v>0</v>
      </c>
      <c r="J395">
        <v>3</v>
      </c>
      <c r="K395">
        <v>7.7957999999999998</v>
      </c>
      <c r="L395">
        <f t="shared" si="31"/>
        <v>0</v>
      </c>
      <c r="M395">
        <f t="shared" si="32"/>
        <v>22</v>
      </c>
      <c r="N395" t="str">
        <f t="shared" si="33"/>
        <v>Adult</v>
      </c>
      <c r="O395">
        <f t="shared" si="34"/>
        <v>7.8</v>
      </c>
    </row>
    <row r="396" spans="1:15" x14ac:dyDescent="0.3">
      <c r="A396">
        <v>395</v>
      </c>
      <c r="B396">
        <v>0</v>
      </c>
      <c r="C396" t="str">
        <f t="shared" si="30"/>
        <v>No</v>
      </c>
      <c r="D396" t="s">
        <v>960</v>
      </c>
      <c r="E396" t="s">
        <v>1358</v>
      </c>
      <c r="F396" t="str" cm="1">
        <f t="array" ref="F396">IF(OR(COUNTIF(D396,"*"&amp;$T$9:$T$15&amp;"*")),"Female","Male")</f>
        <v>Female</v>
      </c>
      <c r="G396">
        <v>31</v>
      </c>
      <c r="H396">
        <v>0</v>
      </c>
      <c r="I396">
        <v>0</v>
      </c>
      <c r="J396">
        <v>3</v>
      </c>
      <c r="K396">
        <v>7.8541999999999996</v>
      </c>
      <c r="L396">
        <f t="shared" si="31"/>
        <v>1</v>
      </c>
      <c r="M396">
        <f t="shared" si="32"/>
        <v>31</v>
      </c>
      <c r="N396" t="str">
        <f t="shared" si="33"/>
        <v>Adult</v>
      </c>
      <c r="O396">
        <f t="shared" si="34"/>
        <v>7.85</v>
      </c>
    </row>
    <row r="397" spans="1:15" x14ac:dyDescent="0.3">
      <c r="A397">
        <v>396</v>
      </c>
      <c r="B397">
        <v>0</v>
      </c>
      <c r="C397" t="str">
        <f t="shared" si="30"/>
        <v>No</v>
      </c>
      <c r="D397" t="s">
        <v>956</v>
      </c>
      <c r="E397" t="s">
        <v>1359</v>
      </c>
      <c r="F397" t="str" cm="1">
        <f t="array" ref="F397">IF(OR(COUNTIF(D397,"*"&amp;$T$9:$T$15&amp;"*")),"Female","Male")</f>
        <v>Male</v>
      </c>
      <c r="G397">
        <v>46</v>
      </c>
      <c r="H397">
        <v>0</v>
      </c>
      <c r="I397">
        <v>0</v>
      </c>
      <c r="J397">
        <v>2</v>
      </c>
      <c r="K397">
        <v>26</v>
      </c>
      <c r="L397">
        <f t="shared" si="31"/>
        <v>0</v>
      </c>
      <c r="M397">
        <f t="shared" si="32"/>
        <v>46</v>
      </c>
      <c r="N397" t="str">
        <f t="shared" si="33"/>
        <v>Adult</v>
      </c>
      <c r="O397">
        <f t="shared" si="34"/>
        <v>26</v>
      </c>
    </row>
    <row r="398" spans="1:15" x14ac:dyDescent="0.3">
      <c r="A398">
        <v>397</v>
      </c>
      <c r="B398">
        <v>0</v>
      </c>
      <c r="C398" t="str">
        <f t="shared" si="30"/>
        <v>No</v>
      </c>
      <c r="D398" t="s">
        <v>1206</v>
      </c>
      <c r="E398" t="s">
        <v>1360</v>
      </c>
      <c r="F398" t="str" cm="1">
        <f t="array" ref="F398">IF(OR(COUNTIF(D398,"*"&amp;$T$9:$T$15&amp;"*")),"Female","Male")</f>
        <v>Male</v>
      </c>
      <c r="G398">
        <v>23</v>
      </c>
      <c r="H398">
        <v>0</v>
      </c>
      <c r="I398">
        <v>0</v>
      </c>
      <c r="J398">
        <v>2</v>
      </c>
      <c r="K398">
        <v>10.5</v>
      </c>
      <c r="L398">
        <f t="shared" si="31"/>
        <v>0</v>
      </c>
      <c r="M398">
        <f t="shared" si="32"/>
        <v>23</v>
      </c>
      <c r="N398" t="str">
        <f t="shared" si="33"/>
        <v>Adult</v>
      </c>
      <c r="O398">
        <f t="shared" si="34"/>
        <v>10.5</v>
      </c>
    </row>
    <row r="399" spans="1:15" x14ac:dyDescent="0.3">
      <c r="A399">
        <v>398</v>
      </c>
      <c r="B399">
        <v>1</v>
      </c>
      <c r="C399" t="str">
        <f t="shared" si="30"/>
        <v>Yes</v>
      </c>
      <c r="D399" t="s">
        <v>958</v>
      </c>
      <c r="E399" t="s">
        <v>1361</v>
      </c>
      <c r="F399" t="str" cm="1">
        <f t="array" ref="F399">IF(OR(COUNTIF(D399,"*"&amp;$T$9:$T$15&amp;"*")),"Female","Male")</f>
        <v>Female</v>
      </c>
      <c r="G399">
        <v>28</v>
      </c>
      <c r="H399">
        <v>0</v>
      </c>
      <c r="I399">
        <v>0</v>
      </c>
      <c r="J399">
        <v>2</v>
      </c>
      <c r="K399">
        <v>12.65</v>
      </c>
      <c r="L399">
        <f t="shared" si="31"/>
        <v>1</v>
      </c>
      <c r="M399">
        <f t="shared" si="32"/>
        <v>28</v>
      </c>
      <c r="N399" t="str">
        <f t="shared" si="33"/>
        <v>Adult</v>
      </c>
      <c r="O399">
        <f t="shared" si="34"/>
        <v>12.65</v>
      </c>
    </row>
    <row r="400" spans="1:15" x14ac:dyDescent="0.3">
      <c r="A400">
        <v>399</v>
      </c>
      <c r="B400">
        <v>1</v>
      </c>
      <c r="C400" t="str">
        <f t="shared" si="30"/>
        <v>Yes</v>
      </c>
      <c r="D400" t="s">
        <v>956</v>
      </c>
      <c r="E400" t="s">
        <v>1362</v>
      </c>
      <c r="F400" t="str" cm="1">
        <f t="array" ref="F400">IF(OR(COUNTIF(D400,"*"&amp;$T$9:$T$15&amp;"*")),"Female","Male")</f>
        <v>Male</v>
      </c>
      <c r="G400">
        <v>39</v>
      </c>
      <c r="H400">
        <v>0</v>
      </c>
      <c r="I400">
        <v>0</v>
      </c>
      <c r="J400">
        <v>3</v>
      </c>
      <c r="K400">
        <v>7.9249999999999998</v>
      </c>
      <c r="L400">
        <f t="shared" si="31"/>
        <v>0</v>
      </c>
      <c r="M400">
        <f t="shared" si="32"/>
        <v>39</v>
      </c>
      <c r="N400" t="str">
        <f t="shared" si="33"/>
        <v>Adult</v>
      </c>
      <c r="O400">
        <f t="shared" si="34"/>
        <v>7.93</v>
      </c>
    </row>
    <row r="401" spans="1:15" x14ac:dyDescent="0.3">
      <c r="A401">
        <v>400</v>
      </c>
      <c r="B401">
        <v>0</v>
      </c>
      <c r="C401" t="str">
        <f t="shared" si="30"/>
        <v>No</v>
      </c>
      <c r="D401" t="s">
        <v>956</v>
      </c>
      <c r="E401" t="s">
        <v>1363</v>
      </c>
      <c r="F401" t="str" cm="1">
        <f t="array" ref="F401">IF(OR(COUNTIF(D401,"*"&amp;$T$9:$T$15&amp;"*")),"Female","Male")</f>
        <v>Male</v>
      </c>
      <c r="G401">
        <v>26</v>
      </c>
      <c r="H401">
        <v>0</v>
      </c>
      <c r="I401">
        <v>0</v>
      </c>
      <c r="J401">
        <v>3</v>
      </c>
      <c r="K401">
        <v>8.0500000000000007</v>
      </c>
      <c r="L401">
        <f t="shared" si="31"/>
        <v>0</v>
      </c>
      <c r="M401">
        <f t="shared" si="32"/>
        <v>26</v>
      </c>
      <c r="N401" t="str">
        <f t="shared" si="33"/>
        <v>Adult</v>
      </c>
      <c r="O401">
        <f t="shared" si="34"/>
        <v>8.0500000000000007</v>
      </c>
    </row>
    <row r="402" spans="1:15" x14ac:dyDescent="0.3">
      <c r="A402">
        <v>401</v>
      </c>
      <c r="B402">
        <v>0</v>
      </c>
      <c r="C402" t="str">
        <f t="shared" si="30"/>
        <v>No</v>
      </c>
      <c r="D402" t="s">
        <v>960</v>
      </c>
      <c r="E402" t="s">
        <v>1364</v>
      </c>
      <c r="F402" t="str" cm="1">
        <f t="array" ref="F402">IF(OR(COUNTIF(D402,"*"&amp;$T$9:$T$15&amp;"*")),"Female","Male")</f>
        <v>Female</v>
      </c>
      <c r="G402">
        <v>21</v>
      </c>
      <c r="H402">
        <v>1</v>
      </c>
      <c r="I402">
        <v>0</v>
      </c>
      <c r="J402">
        <v>3</v>
      </c>
      <c r="K402">
        <v>9.8249999999999993</v>
      </c>
      <c r="L402">
        <f t="shared" si="31"/>
        <v>1</v>
      </c>
      <c r="M402">
        <f t="shared" si="32"/>
        <v>21</v>
      </c>
      <c r="N402" t="str">
        <f t="shared" si="33"/>
        <v>Adult</v>
      </c>
      <c r="O402">
        <f t="shared" si="34"/>
        <v>9.83</v>
      </c>
    </row>
    <row r="403" spans="1:15" x14ac:dyDescent="0.3">
      <c r="A403">
        <v>402</v>
      </c>
      <c r="B403">
        <v>0</v>
      </c>
      <c r="C403" t="str">
        <f t="shared" si="30"/>
        <v>No</v>
      </c>
      <c r="D403" t="s">
        <v>956</v>
      </c>
      <c r="E403" t="s">
        <v>1365</v>
      </c>
      <c r="F403" t="str" cm="1">
        <f t="array" ref="F403">IF(OR(COUNTIF(D403,"*"&amp;$T$9:$T$15&amp;"*")),"Female","Male")</f>
        <v>Male</v>
      </c>
      <c r="G403">
        <v>28</v>
      </c>
      <c r="H403">
        <v>1</v>
      </c>
      <c r="I403">
        <v>0</v>
      </c>
      <c r="J403">
        <v>3</v>
      </c>
      <c r="K403">
        <v>15.85</v>
      </c>
      <c r="L403">
        <f t="shared" si="31"/>
        <v>0</v>
      </c>
      <c r="M403">
        <f t="shared" si="32"/>
        <v>28</v>
      </c>
      <c r="N403" t="str">
        <f t="shared" si="33"/>
        <v>Adult</v>
      </c>
      <c r="O403">
        <f t="shared" si="34"/>
        <v>15.85</v>
      </c>
    </row>
    <row r="404" spans="1:15" x14ac:dyDescent="0.3">
      <c r="A404">
        <v>403</v>
      </c>
      <c r="B404">
        <v>0</v>
      </c>
      <c r="C404" t="str">
        <f t="shared" si="30"/>
        <v>No</v>
      </c>
      <c r="D404" t="s">
        <v>960</v>
      </c>
      <c r="E404" t="s">
        <v>1366</v>
      </c>
      <c r="F404" t="str" cm="1">
        <f t="array" ref="F404">IF(OR(COUNTIF(D404,"*"&amp;$T$9:$T$15&amp;"*")),"Female","Male")</f>
        <v>Female</v>
      </c>
      <c r="G404">
        <v>20</v>
      </c>
      <c r="H404">
        <v>0</v>
      </c>
      <c r="I404">
        <v>0</v>
      </c>
      <c r="J404">
        <v>3</v>
      </c>
      <c r="K404">
        <v>8.6624999999999996</v>
      </c>
      <c r="L404">
        <f t="shared" si="31"/>
        <v>1</v>
      </c>
      <c r="M404">
        <f t="shared" si="32"/>
        <v>20</v>
      </c>
      <c r="N404" t="str">
        <f t="shared" si="33"/>
        <v>Adult</v>
      </c>
      <c r="O404">
        <f t="shared" si="34"/>
        <v>8.66</v>
      </c>
    </row>
    <row r="405" spans="1:15" x14ac:dyDescent="0.3">
      <c r="A405">
        <v>404</v>
      </c>
      <c r="B405">
        <v>0</v>
      </c>
      <c r="C405" t="str">
        <f t="shared" si="30"/>
        <v>No</v>
      </c>
      <c r="D405" t="s">
        <v>956</v>
      </c>
      <c r="E405" t="s">
        <v>1367</v>
      </c>
      <c r="F405" t="str" cm="1">
        <f t="array" ref="F405">IF(OR(COUNTIF(D405,"*"&amp;$T$9:$T$15&amp;"*")),"Female","Male")</f>
        <v>Male</v>
      </c>
      <c r="G405">
        <v>34</v>
      </c>
      <c r="H405">
        <v>1</v>
      </c>
      <c r="I405">
        <v>0</v>
      </c>
      <c r="J405">
        <v>2</v>
      </c>
      <c r="K405">
        <v>21</v>
      </c>
      <c r="L405">
        <f t="shared" si="31"/>
        <v>0</v>
      </c>
      <c r="M405">
        <f t="shared" si="32"/>
        <v>34</v>
      </c>
      <c r="N405" t="str">
        <f t="shared" si="33"/>
        <v>Adult</v>
      </c>
      <c r="O405">
        <f t="shared" si="34"/>
        <v>21</v>
      </c>
    </row>
    <row r="406" spans="1:15" x14ac:dyDescent="0.3">
      <c r="A406">
        <v>405</v>
      </c>
      <c r="B406">
        <v>0</v>
      </c>
      <c r="C406" t="str">
        <f t="shared" si="30"/>
        <v>No</v>
      </c>
      <c r="D406" t="s">
        <v>956</v>
      </c>
      <c r="E406" t="s">
        <v>1368</v>
      </c>
      <c r="F406" t="str" cm="1">
        <f t="array" ref="F406">IF(OR(COUNTIF(D406,"*"&amp;$T$9:$T$15&amp;"*")),"Female","Male")</f>
        <v>Male</v>
      </c>
      <c r="G406">
        <v>51</v>
      </c>
      <c r="H406">
        <v>0</v>
      </c>
      <c r="I406">
        <v>0</v>
      </c>
      <c r="J406">
        <v>3</v>
      </c>
      <c r="K406">
        <v>7.75</v>
      </c>
      <c r="L406">
        <f t="shared" si="31"/>
        <v>0</v>
      </c>
      <c r="M406">
        <f t="shared" si="32"/>
        <v>51</v>
      </c>
      <c r="N406" t="str">
        <f t="shared" si="33"/>
        <v>Adult</v>
      </c>
      <c r="O406">
        <f t="shared" si="34"/>
        <v>7.75</v>
      </c>
    </row>
    <row r="407" spans="1:15" x14ac:dyDescent="0.3">
      <c r="A407">
        <v>406</v>
      </c>
      <c r="B407">
        <v>1</v>
      </c>
      <c r="C407" t="str">
        <f t="shared" si="30"/>
        <v>Yes</v>
      </c>
      <c r="D407" t="s">
        <v>966</v>
      </c>
      <c r="E407" t="s">
        <v>1369</v>
      </c>
      <c r="F407" t="str" cm="1">
        <f t="array" ref="F407">IF(OR(COUNTIF(D407,"*"&amp;$T$9:$T$15&amp;"*")),"Female","Male")</f>
        <v>Male</v>
      </c>
      <c r="G407">
        <v>3</v>
      </c>
      <c r="H407">
        <v>1</v>
      </c>
      <c r="I407">
        <v>1</v>
      </c>
      <c r="J407">
        <v>2</v>
      </c>
      <c r="K407">
        <v>18.75</v>
      </c>
      <c r="L407">
        <f t="shared" si="31"/>
        <v>0</v>
      </c>
      <c r="M407">
        <f t="shared" si="32"/>
        <v>3</v>
      </c>
      <c r="N407" t="str">
        <f t="shared" si="33"/>
        <v>Child</v>
      </c>
      <c r="O407">
        <f t="shared" si="34"/>
        <v>18.75</v>
      </c>
    </row>
    <row r="408" spans="1:15" x14ac:dyDescent="0.3">
      <c r="A408">
        <v>407</v>
      </c>
      <c r="B408">
        <v>0</v>
      </c>
      <c r="C408" t="str">
        <f t="shared" si="30"/>
        <v>No</v>
      </c>
      <c r="D408" t="s">
        <v>956</v>
      </c>
      <c r="E408" t="s">
        <v>1370</v>
      </c>
      <c r="F408" t="str" cm="1">
        <f t="array" ref="F408">IF(OR(COUNTIF(D408,"*"&amp;$T$9:$T$15&amp;"*")),"Female","Male")</f>
        <v>Male</v>
      </c>
      <c r="G408">
        <v>21</v>
      </c>
      <c r="H408">
        <v>0</v>
      </c>
      <c r="I408">
        <v>0</v>
      </c>
      <c r="J408">
        <v>3</v>
      </c>
      <c r="K408">
        <v>7.7750000000000004</v>
      </c>
      <c r="L408">
        <f t="shared" si="31"/>
        <v>0</v>
      </c>
      <c r="M408">
        <f t="shared" si="32"/>
        <v>21</v>
      </c>
      <c r="N408" t="str">
        <f t="shared" si="33"/>
        <v>Adult</v>
      </c>
      <c r="O408">
        <f t="shared" si="34"/>
        <v>7.78</v>
      </c>
    </row>
    <row r="409" spans="1:15" x14ac:dyDescent="0.3">
      <c r="A409">
        <v>408</v>
      </c>
      <c r="B409">
        <v>0</v>
      </c>
      <c r="C409" t="str">
        <f t="shared" si="30"/>
        <v>No</v>
      </c>
      <c r="D409" t="s">
        <v>960</v>
      </c>
      <c r="E409" t="s">
        <v>1371</v>
      </c>
      <c r="F409" t="str" cm="1">
        <f t="array" ref="F409">IF(OR(COUNTIF(D409,"*"&amp;$T$9:$T$15&amp;"*")),"Female","Male")</f>
        <v>Female</v>
      </c>
      <c r="G409">
        <v>3</v>
      </c>
      <c r="H409">
        <v>3</v>
      </c>
      <c r="I409">
        <v>1</v>
      </c>
      <c r="J409">
        <v>3</v>
      </c>
      <c r="K409">
        <v>25.466699999999999</v>
      </c>
      <c r="L409">
        <f t="shared" si="31"/>
        <v>1</v>
      </c>
      <c r="M409">
        <f t="shared" si="32"/>
        <v>3</v>
      </c>
      <c r="N409" t="str">
        <f t="shared" si="33"/>
        <v>Child</v>
      </c>
      <c r="O409">
        <f t="shared" si="34"/>
        <v>25.47</v>
      </c>
    </row>
    <row r="410" spans="1:15" x14ac:dyDescent="0.3">
      <c r="A410">
        <v>409</v>
      </c>
      <c r="B410">
        <v>0</v>
      </c>
      <c r="C410" t="str">
        <f t="shared" si="30"/>
        <v>No</v>
      </c>
      <c r="D410" t="s">
        <v>956</v>
      </c>
      <c r="E410" t="s">
        <v>1372</v>
      </c>
      <c r="F410" t="str" cm="1">
        <f t="array" ref="F410">IF(OR(COUNTIF(D410,"*"&amp;$T$9:$T$15&amp;"*")),"Female","Male")</f>
        <v>Male</v>
      </c>
      <c r="G410">
        <v>42</v>
      </c>
      <c r="H410">
        <v>0</v>
      </c>
      <c r="I410">
        <v>0</v>
      </c>
      <c r="J410">
        <v>3</v>
      </c>
      <c r="K410">
        <v>7.8958000000000004</v>
      </c>
      <c r="L410">
        <f t="shared" si="31"/>
        <v>0</v>
      </c>
      <c r="M410">
        <f t="shared" si="32"/>
        <v>42</v>
      </c>
      <c r="N410" t="str">
        <f t="shared" si="33"/>
        <v>Adult</v>
      </c>
      <c r="O410">
        <f t="shared" si="34"/>
        <v>7.9</v>
      </c>
    </row>
    <row r="411" spans="1:15" x14ac:dyDescent="0.3">
      <c r="A411">
        <v>410</v>
      </c>
      <c r="B411">
        <v>0</v>
      </c>
      <c r="C411" t="str">
        <f t="shared" si="30"/>
        <v>No</v>
      </c>
      <c r="D411" t="s">
        <v>956</v>
      </c>
      <c r="E411" t="s">
        <v>1373</v>
      </c>
      <c r="F411" t="str" cm="1">
        <f t="array" ref="F411">IF(OR(COUNTIF(D411,"*"&amp;$T$9:$T$15&amp;"*")),"Female","Male")</f>
        <v>Male</v>
      </c>
      <c r="G411">
        <v>27</v>
      </c>
      <c r="H411">
        <v>0</v>
      </c>
      <c r="I411">
        <v>0</v>
      </c>
      <c r="J411">
        <v>3</v>
      </c>
      <c r="K411">
        <v>6.8582999999999998</v>
      </c>
      <c r="L411">
        <f t="shared" si="31"/>
        <v>0</v>
      </c>
      <c r="M411">
        <f t="shared" si="32"/>
        <v>27</v>
      </c>
      <c r="N411" t="str">
        <f t="shared" si="33"/>
        <v>Adult</v>
      </c>
      <c r="O411">
        <f t="shared" si="34"/>
        <v>6.86</v>
      </c>
    </row>
    <row r="412" spans="1:15" x14ac:dyDescent="0.3">
      <c r="A412">
        <v>411</v>
      </c>
      <c r="B412">
        <v>1</v>
      </c>
      <c r="C412" t="str">
        <f t="shared" si="30"/>
        <v>Yes</v>
      </c>
      <c r="D412" t="s">
        <v>960</v>
      </c>
      <c r="E412" t="s">
        <v>1374</v>
      </c>
      <c r="F412" t="str" cm="1">
        <f t="array" ref="F412">IF(OR(COUNTIF(D412,"*"&amp;$T$9:$T$15&amp;"*")),"Female","Male")</f>
        <v>Female</v>
      </c>
      <c r="G412">
        <v>33</v>
      </c>
      <c r="H412">
        <v>1</v>
      </c>
      <c r="I412">
        <v>0</v>
      </c>
      <c r="J412">
        <v>1</v>
      </c>
      <c r="K412">
        <v>90</v>
      </c>
      <c r="L412">
        <f t="shared" si="31"/>
        <v>1</v>
      </c>
      <c r="M412">
        <f t="shared" si="32"/>
        <v>33</v>
      </c>
      <c r="N412" t="str">
        <f t="shared" si="33"/>
        <v>Adult</v>
      </c>
      <c r="O412">
        <f t="shared" si="34"/>
        <v>90</v>
      </c>
    </row>
    <row r="413" spans="1:15" x14ac:dyDescent="0.3">
      <c r="A413">
        <v>412</v>
      </c>
      <c r="B413">
        <v>0</v>
      </c>
      <c r="C413" t="str">
        <f t="shared" si="30"/>
        <v>No</v>
      </c>
      <c r="D413" t="s">
        <v>956</v>
      </c>
      <c r="E413" t="s">
        <v>1375</v>
      </c>
      <c r="F413" t="str" cm="1">
        <f t="array" ref="F413">IF(OR(COUNTIF(D413,"*"&amp;$T$9:$T$15&amp;"*")),"Female","Male")</f>
        <v>Male</v>
      </c>
      <c r="G413">
        <v>22</v>
      </c>
      <c r="H413">
        <v>0</v>
      </c>
      <c r="I413">
        <v>0</v>
      </c>
      <c r="J413">
        <v>2</v>
      </c>
      <c r="K413">
        <v>0</v>
      </c>
      <c r="L413">
        <f t="shared" si="31"/>
        <v>0</v>
      </c>
      <c r="M413">
        <f t="shared" si="32"/>
        <v>22</v>
      </c>
      <c r="N413" t="str">
        <f t="shared" si="33"/>
        <v>Adult</v>
      </c>
      <c r="O413">
        <f t="shared" si="34"/>
        <v>0</v>
      </c>
    </row>
    <row r="414" spans="1:15" x14ac:dyDescent="0.3">
      <c r="A414">
        <v>413</v>
      </c>
      <c r="B414">
        <v>1</v>
      </c>
      <c r="C414" t="str">
        <f t="shared" si="30"/>
        <v>Yes</v>
      </c>
      <c r="D414" t="s">
        <v>956</v>
      </c>
      <c r="E414" t="s">
        <v>1376</v>
      </c>
      <c r="F414" t="str" cm="1">
        <f t="array" ref="F414">IF(OR(COUNTIF(D414,"*"&amp;$T$9:$T$15&amp;"*")),"Female","Male")</f>
        <v>Male</v>
      </c>
      <c r="G414">
        <v>44</v>
      </c>
      <c r="H414">
        <v>0</v>
      </c>
      <c r="I414">
        <v>0</v>
      </c>
      <c r="J414">
        <v>3</v>
      </c>
      <c r="K414">
        <v>7.9249999999999998</v>
      </c>
      <c r="L414">
        <f t="shared" si="31"/>
        <v>0</v>
      </c>
      <c r="M414">
        <f t="shared" si="32"/>
        <v>44</v>
      </c>
      <c r="N414" t="str">
        <f t="shared" si="33"/>
        <v>Adult</v>
      </c>
      <c r="O414">
        <f t="shared" si="34"/>
        <v>7.93</v>
      </c>
    </row>
    <row r="415" spans="1:15" x14ac:dyDescent="0.3">
      <c r="A415">
        <v>414</v>
      </c>
      <c r="B415">
        <v>0</v>
      </c>
      <c r="C415" t="str">
        <f t="shared" si="30"/>
        <v>No</v>
      </c>
      <c r="D415" t="s">
        <v>958</v>
      </c>
      <c r="E415" t="s">
        <v>1377</v>
      </c>
      <c r="F415" t="str" cm="1">
        <f t="array" ref="F415">IF(OR(COUNTIF(D415,"*"&amp;$T$9:$T$15&amp;"*")),"Female","Male")</f>
        <v>Female</v>
      </c>
      <c r="G415">
        <v>32</v>
      </c>
      <c r="H415">
        <v>0</v>
      </c>
      <c r="I415">
        <v>0</v>
      </c>
      <c r="J415">
        <v>3</v>
      </c>
      <c r="K415">
        <v>8.0500000000000007</v>
      </c>
      <c r="L415">
        <f t="shared" si="31"/>
        <v>1</v>
      </c>
      <c r="M415">
        <f t="shared" si="32"/>
        <v>32</v>
      </c>
      <c r="N415" t="str">
        <f t="shared" si="33"/>
        <v>Adult</v>
      </c>
      <c r="O415">
        <f t="shared" si="34"/>
        <v>8.0500000000000007</v>
      </c>
    </row>
    <row r="416" spans="1:15" x14ac:dyDescent="0.3">
      <c r="A416">
        <v>415</v>
      </c>
      <c r="B416">
        <v>1</v>
      </c>
      <c r="C416" t="str">
        <f t="shared" si="30"/>
        <v>Yes</v>
      </c>
      <c r="D416" t="s">
        <v>958</v>
      </c>
      <c r="E416" t="s">
        <v>1378</v>
      </c>
      <c r="F416" t="str" cm="1">
        <f t="array" ref="F416">IF(OR(COUNTIF(D416,"*"&amp;$T$9:$T$15&amp;"*")),"Female","Male")</f>
        <v>Female</v>
      </c>
      <c r="G416">
        <v>34</v>
      </c>
      <c r="H416">
        <v>1</v>
      </c>
      <c r="I416">
        <v>1</v>
      </c>
      <c r="J416">
        <v>2</v>
      </c>
      <c r="K416">
        <v>32.5</v>
      </c>
      <c r="L416">
        <f t="shared" si="31"/>
        <v>1</v>
      </c>
      <c r="M416">
        <f t="shared" si="32"/>
        <v>34</v>
      </c>
      <c r="N416" t="str">
        <f t="shared" si="33"/>
        <v>Adult</v>
      </c>
      <c r="O416">
        <f t="shared" si="34"/>
        <v>32.5</v>
      </c>
    </row>
    <row r="417" spans="1:15" x14ac:dyDescent="0.3">
      <c r="A417">
        <v>416</v>
      </c>
      <c r="B417">
        <v>1</v>
      </c>
      <c r="C417" t="str">
        <f t="shared" si="30"/>
        <v>Yes</v>
      </c>
      <c r="D417" t="s">
        <v>960</v>
      </c>
      <c r="E417" t="s">
        <v>1379</v>
      </c>
      <c r="F417" t="str" cm="1">
        <f t="array" ref="F417">IF(OR(COUNTIF(D417,"*"&amp;$T$9:$T$15&amp;"*")),"Female","Male")</f>
        <v>Female</v>
      </c>
      <c r="G417">
        <v>18</v>
      </c>
      <c r="H417">
        <v>0</v>
      </c>
      <c r="I417">
        <v>2</v>
      </c>
      <c r="J417">
        <v>2</v>
      </c>
      <c r="K417">
        <v>13</v>
      </c>
      <c r="L417">
        <f t="shared" si="31"/>
        <v>1</v>
      </c>
      <c r="M417">
        <f t="shared" si="32"/>
        <v>18</v>
      </c>
      <c r="N417" t="str">
        <f t="shared" si="33"/>
        <v>Adult</v>
      </c>
      <c r="O417">
        <f t="shared" si="34"/>
        <v>13</v>
      </c>
    </row>
    <row r="418" spans="1:15" x14ac:dyDescent="0.3">
      <c r="A418">
        <v>417</v>
      </c>
      <c r="B418">
        <v>0</v>
      </c>
      <c r="C418" t="str">
        <f t="shared" si="30"/>
        <v>No</v>
      </c>
      <c r="D418" t="s">
        <v>956</v>
      </c>
      <c r="E418" t="s">
        <v>1380</v>
      </c>
      <c r="F418" t="str" cm="1">
        <f t="array" ref="F418">IF(OR(COUNTIF(D418,"*"&amp;$T$9:$T$15&amp;"*")),"Female","Male")</f>
        <v>Male</v>
      </c>
      <c r="G418">
        <v>30</v>
      </c>
      <c r="H418">
        <v>0</v>
      </c>
      <c r="I418">
        <v>0</v>
      </c>
      <c r="J418">
        <v>2</v>
      </c>
      <c r="K418">
        <v>13</v>
      </c>
      <c r="L418">
        <f t="shared" si="31"/>
        <v>0</v>
      </c>
      <c r="M418">
        <f t="shared" si="32"/>
        <v>30</v>
      </c>
      <c r="N418" t="str">
        <f t="shared" si="33"/>
        <v>Adult</v>
      </c>
      <c r="O418">
        <f t="shared" si="34"/>
        <v>13</v>
      </c>
    </row>
    <row r="419" spans="1:15" x14ac:dyDescent="0.3">
      <c r="A419">
        <v>418</v>
      </c>
      <c r="B419">
        <v>0</v>
      </c>
      <c r="C419" t="str">
        <f t="shared" si="30"/>
        <v>No</v>
      </c>
      <c r="D419" t="s">
        <v>960</v>
      </c>
      <c r="E419" t="s">
        <v>1381</v>
      </c>
      <c r="F419" t="str" cm="1">
        <f t="array" ref="F419">IF(OR(COUNTIF(D419,"*"&amp;$T$9:$T$15&amp;"*")),"Female","Male")</f>
        <v>Female</v>
      </c>
      <c r="G419">
        <v>10</v>
      </c>
      <c r="H419">
        <v>0</v>
      </c>
      <c r="I419">
        <v>2</v>
      </c>
      <c r="J419">
        <v>3</v>
      </c>
      <c r="K419">
        <v>24.15</v>
      </c>
      <c r="L419">
        <f t="shared" si="31"/>
        <v>1</v>
      </c>
      <c r="M419">
        <f t="shared" si="32"/>
        <v>10</v>
      </c>
      <c r="N419" t="str">
        <f t="shared" si="33"/>
        <v>Child</v>
      </c>
      <c r="O419">
        <f t="shared" si="34"/>
        <v>24.15</v>
      </c>
    </row>
    <row r="420" spans="1:15" x14ac:dyDescent="0.3">
      <c r="A420">
        <v>419</v>
      </c>
      <c r="B420">
        <v>0</v>
      </c>
      <c r="C420" t="str">
        <f t="shared" si="30"/>
        <v>No</v>
      </c>
      <c r="D420" t="s">
        <v>956</v>
      </c>
      <c r="E420" t="s">
        <v>1382</v>
      </c>
      <c r="F420" t="str" cm="1">
        <f t="array" ref="F420">IF(OR(COUNTIF(D420,"*"&amp;$T$9:$T$15&amp;"*")),"Female","Male")</f>
        <v>Male</v>
      </c>
      <c r="G420">
        <v>21</v>
      </c>
      <c r="H420">
        <v>0</v>
      </c>
      <c r="I420">
        <v>0</v>
      </c>
      <c r="J420">
        <v>3</v>
      </c>
      <c r="K420">
        <v>7.7332999999999998</v>
      </c>
      <c r="L420">
        <f t="shared" si="31"/>
        <v>0</v>
      </c>
      <c r="M420">
        <f t="shared" si="32"/>
        <v>21</v>
      </c>
      <c r="N420" t="str">
        <f t="shared" si="33"/>
        <v>Adult</v>
      </c>
      <c r="O420">
        <f t="shared" si="34"/>
        <v>7.73</v>
      </c>
    </row>
    <row r="421" spans="1:15" x14ac:dyDescent="0.3">
      <c r="A421">
        <v>420</v>
      </c>
      <c r="B421">
        <v>0</v>
      </c>
      <c r="C421" t="str">
        <f t="shared" si="30"/>
        <v>No</v>
      </c>
      <c r="D421" t="s">
        <v>956</v>
      </c>
      <c r="E421" t="s">
        <v>1383</v>
      </c>
      <c r="F421" t="str" cm="1">
        <f t="array" ref="F421">IF(OR(COUNTIF(D421,"*"&amp;$T$9:$T$15&amp;"*")),"Female","Male")</f>
        <v>Male</v>
      </c>
      <c r="G421">
        <v>29</v>
      </c>
      <c r="H421">
        <v>0</v>
      </c>
      <c r="I421">
        <v>0</v>
      </c>
      <c r="J421">
        <v>3</v>
      </c>
      <c r="K421">
        <v>7.875</v>
      </c>
      <c r="L421">
        <f t="shared" si="31"/>
        <v>0</v>
      </c>
      <c r="M421">
        <f t="shared" si="32"/>
        <v>29</v>
      </c>
      <c r="N421" t="str">
        <f t="shared" si="33"/>
        <v>Adult</v>
      </c>
      <c r="O421">
        <f t="shared" si="34"/>
        <v>7.88</v>
      </c>
    </row>
    <row r="422" spans="1:15" x14ac:dyDescent="0.3">
      <c r="A422">
        <v>421</v>
      </c>
      <c r="B422">
        <v>0</v>
      </c>
      <c r="C422" t="str">
        <f t="shared" si="30"/>
        <v>No</v>
      </c>
      <c r="D422" t="s">
        <v>958</v>
      </c>
      <c r="E422" t="s">
        <v>1384</v>
      </c>
      <c r="F422" t="str" cm="1">
        <f t="array" ref="F422">IF(OR(COUNTIF(D422,"*"&amp;$T$9:$T$15&amp;"*")),"Female","Male")</f>
        <v>Female</v>
      </c>
      <c r="G422">
        <v>28</v>
      </c>
      <c r="H422">
        <v>1</v>
      </c>
      <c r="I422">
        <v>1</v>
      </c>
      <c r="J422">
        <v>3</v>
      </c>
      <c r="K422">
        <v>14.4</v>
      </c>
      <c r="L422">
        <f t="shared" si="31"/>
        <v>1</v>
      </c>
      <c r="M422">
        <f t="shared" si="32"/>
        <v>28</v>
      </c>
      <c r="N422" t="str">
        <f t="shared" si="33"/>
        <v>Adult</v>
      </c>
      <c r="O422">
        <f t="shared" si="34"/>
        <v>14.4</v>
      </c>
    </row>
    <row r="423" spans="1:15" x14ac:dyDescent="0.3">
      <c r="A423">
        <v>422</v>
      </c>
      <c r="B423">
        <v>0</v>
      </c>
      <c r="C423" t="str">
        <f t="shared" si="30"/>
        <v>No</v>
      </c>
      <c r="D423" t="s">
        <v>956</v>
      </c>
      <c r="E423" t="s">
        <v>1385</v>
      </c>
      <c r="F423" t="str" cm="1">
        <f t="array" ref="F423">IF(OR(COUNTIF(D423,"*"&amp;$T$9:$T$15&amp;"*")),"Female","Male")</f>
        <v>Male</v>
      </c>
      <c r="G423">
        <v>18</v>
      </c>
      <c r="H423">
        <v>1</v>
      </c>
      <c r="I423">
        <v>1</v>
      </c>
      <c r="J423">
        <v>3</v>
      </c>
      <c r="K423">
        <v>20.212499999999999</v>
      </c>
      <c r="L423">
        <f t="shared" si="31"/>
        <v>0</v>
      </c>
      <c r="M423">
        <f t="shared" si="32"/>
        <v>18</v>
      </c>
      <c r="N423" t="str">
        <f t="shared" si="33"/>
        <v>Adult</v>
      </c>
      <c r="O423">
        <f t="shared" si="34"/>
        <v>20.21</v>
      </c>
    </row>
    <row r="424" spans="1:15" x14ac:dyDescent="0.3">
      <c r="A424">
        <v>423</v>
      </c>
      <c r="B424">
        <v>0</v>
      </c>
      <c r="C424" t="str">
        <f t="shared" si="30"/>
        <v>No</v>
      </c>
      <c r="D424" t="s">
        <v>956</v>
      </c>
      <c r="E424" t="s">
        <v>1386</v>
      </c>
      <c r="F424" t="str" cm="1">
        <f t="array" ref="F424">IF(OR(COUNTIF(D424,"*"&amp;$T$9:$T$15&amp;"*")),"Female","Male")</f>
        <v>Male</v>
      </c>
      <c r="G424">
        <v>54</v>
      </c>
      <c r="H424">
        <v>0</v>
      </c>
      <c r="I424">
        <v>0</v>
      </c>
      <c r="J424">
        <v>3</v>
      </c>
      <c r="K424">
        <v>7.25</v>
      </c>
      <c r="L424">
        <f t="shared" si="31"/>
        <v>0</v>
      </c>
      <c r="M424">
        <f t="shared" si="32"/>
        <v>54</v>
      </c>
      <c r="N424" t="str">
        <f t="shared" si="33"/>
        <v>Adult</v>
      </c>
      <c r="O424">
        <f t="shared" si="34"/>
        <v>7.25</v>
      </c>
    </row>
    <row r="425" spans="1:15" x14ac:dyDescent="0.3">
      <c r="A425">
        <v>424</v>
      </c>
      <c r="B425">
        <v>1</v>
      </c>
      <c r="C425" t="str">
        <f t="shared" si="30"/>
        <v>Yes</v>
      </c>
      <c r="D425" t="s">
        <v>958</v>
      </c>
      <c r="E425" t="s">
        <v>1387</v>
      </c>
      <c r="F425" t="str" cm="1">
        <f t="array" ref="F425">IF(OR(COUNTIF(D425,"*"&amp;$T$9:$T$15&amp;"*")),"Female","Male")</f>
        <v>Female</v>
      </c>
      <c r="G425">
        <v>28</v>
      </c>
      <c r="H425">
        <v>1</v>
      </c>
      <c r="I425">
        <v>0</v>
      </c>
      <c r="J425">
        <v>2</v>
      </c>
      <c r="K425">
        <v>26</v>
      </c>
      <c r="L425">
        <f t="shared" si="31"/>
        <v>1</v>
      </c>
      <c r="M425">
        <f t="shared" si="32"/>
        <v>28</v>
      </c>
      <c r="N425" t="str">
        <f t="shared" si="33"/>
        <v>Adult</v>
      </c>
      <c r="O425">
        <f t="shared" si="34"/>
        <v>26</v>
      </c>
    </row>
    <row r="426" spans="1:15" x14ac:dyDescent="0.3">
      <c r="A426">
        <v>425</v>
      </c>
      <c r="B426">
        <v>1</v>
      </c>
      <c r="C426" t="str">
        <f t="shared" si="30"/>
        <v>Yes</v>
      </c>
      <c r="D426" t="s">
        <v>960</v>
      </c>
      <c r="E426" t="s">
        <v>1388</v>
      </c>
      <c r="F426" t="str" cm="1">
        <f t="array" ref="F426">IF(OR(COUNTIF(D426,"*"&amp;$T$9:$T$15&amp;"*")),"Female","Male")</f>
        <v>Female</v>
      </c>
      <c r="G426">
        <v>19</v>
      </c>
      <c r="H426">
        <v>0</v>
      </c>
      <c r="I426">
        <v>0</v>
      </c>
      <c r="J426">
        <v>2</v>
      </c>
      <c r="K426">
        <v>26</v>
      </c>
      <c r="L426">
        <f t="shared" si="31"/>
        <v>1</v>
      </c>
      <c r="M426">
        <f t="shared" si="32"/>
        <v>19</v>
      </c>
      <c r="N426" t="str">
        <f t="shared" si="33"/>
        <v>Adult</v>
      </c>
      <c r="O426">
        <f t="shared" si="34"/>
        <v>26</v>
      </c>
    </row>
    <row r="427" spans="1:15" x14ac:dyDescent="0.3">
      <c r="A427">
        <v>426</v>
      </c>
      <c r="B427">
        <v>0</v>
      </c>
      <c r="C427" t="str">
        <f t="shared" si="30"/>
        <v>No</v>
      </c>
      <c r="D427" t="s">
        <v>956</v>
      </c>
      <c r="E427" t="s">
        <v>1389</v>
      </c>
      <c r="F427" t="str" cm="1">
        <f t="array" ref="F427">IF(OR(COUNTIF(D427,"*"&amp;$T$9:$T$15&amp;"*")),"Female","Male")</f>
        <v>Male</v>
      </c>
      <c r="G427">
        <v>28</v>
      </c>
      <c r="H427">
        <v>0</v>
      </c>
      <c r="I427">
        <v>0</v>
      </c>
      <c r="J427">
        <v>3</v>
      </c>
      <c r="K427">
        <v>7.75</v>
      </c>
      <c r="L427">
        <f t="shared" si="31"/>
        <v>0</v>
      </c>
      <c r="M427">
        <f t="shared" si="32"/>
        <v>28</v>
      </c>
      <c r="N427" t="str">
        <f t="shared" si="33"/>
        <v>Adult</v>
      </c>
      <c r="O427">
        <f t="shared" si="34"/>
        <v>7.75</v>
      </c>
    </row>
    <row r="428" spans="1:15" x14ac:dyDescent="0.3">
      <c r="A428">
        <v>427</v>
      </c>
      <c r="B428">
        <v>1</v>
      </c>
      <c r="C428" t="str">
        <f t="shared" si="30"/>
        <v>Yes</v>
      </c>
      <c r="D428" t="s">
        <v>956</v>
      </c>
      <c r="E428" t="s">
        <v>1390</v>
      </c>
      <c r="F428" t="str" cm="1">
        <f t="array" ref="F428">IF(OR(COUNTIF(D428,"*"&amp;$T$9:$T$15&amp;"*")),"Female","Male")</f>
        <v>Male</v>
      </c>
      <c r="G428">
        <v>32</v>
      </c>
      <c r="H428">
        <v>0</v>
      </c>
      <c r="I428">
        <v>0</v>
      </c>
      <c r="J428">
        <v>3</v>
      </c>
      <c r="K428">
        <v>8.0500000000000007</v>
      </c>
      <c r="L428">
        <f t="shared" si="31"/>
        <v>0</v>
      </c>
      <c r="M428">
        <f t="shared" si="32"/>
        <v>32</v>
      </c>
      <c r="N428" t="str">
        <f t="shared" si="33"/>
        <v>Adult</v>
      </c>
      <c r="O428">
        <f t="shared" si="34"/>
        <v>8.0500000000000007</v>
      </c>
    </row>
    <row r="429" spans="1:15" x14ac:dyDescent="0.3">
      <c r="A429">
        <v>428</v>
      </c>
      <c r="B429">
        <v>1</v>
      </c>
      <c r="C429" t="str">
        <f t="shared" si="30"/>
        <v>Yes</v>
      </c>
      <c r="D429" t="s">
        <v>956</v>
      </c>
      <c r="E429" t="s">
        <v>1391</v>
      </c>
      <c r="F429" t="str" cm="1">
        <f t="array" ref="F429">IF(OR(COUNTIF(D429,"*"&amp;$T$9:$T$15&amp;"*")),"Female","Male")</f>
        <v>Male</v>
      </c>
      <c r="G429">
        <v>28</v>
      </c>
      <c r="H429">
        <v>0</v>
      </c>
      <c r="I429">
        <v>0</v>
      </c>
      <c r="J429">
        <v>1</v>
      </c>
      <c r="K429">
        <v>26.55</v>
      </c>
      <c r="L429">
        <f t="shared" si="31"/>
        <v>0</v>
      </c>
      <c r="M429">
        <f t="shared" si="32"/>
        <v>28</v>
      </c>
      <c r="N429" t="str">
        <f t="shared" si="33"/>
        <v>Adult</v>
      </c>
      <c r="O429">
        <f t="shared" si="34"/>
        <v>26.55</v>
      </c>
    </row>
    <row r="430" spans="1:15" x14ac:dyDescent="0.3">
      <c r="A430">
        <v>429</v>
      </c>
      <c r="B430">
        <v>1</v>
      </c>
      <c r="C430" t="str">
        <f t="shared" si="30"/>
        <v>Yes</v>
      </c>
      <c r="D430" t="s">
        <v>958</v>
      </c>
      <c r="E430" t="s">
        <v>1392</v>
      </c>
      <c r="F430" t="str" cm="1">
        <f t="array" ref="F430">IF(OR(COUNTIF(D430,"*"&amp;$T$9:$T$15&amp;"*")),"Female","Male")</f>
        <v>Female</v>
      </c>
      <c r="G430">
        <v>33</v>
      </c>
      <c r="H430">
        <v>1</v>
      </c>
      <c r="I430">
        <v>0</v>
      </c>
      <c r="J430">
        <v>3</v>
      </c>
      <c r="K430">
        <v>16.100000000000001</v>
      </c>
      <c r="L430">
        <f t="shared" si="31"/>
        <v>1</v>
      </c>
      <c r="M430">
        <f t="shared" si="32"/>
        <v>33</v>
      </c>
      <c r="N430" t="str">
        <f t="shared" si="33"/>
        <v>Adult</v>
      </c>
      <c r="O430">
        <f t="shared" si="34"/>
        <v>16.100000000000001</v>
      </c>
    </row>
    <row r="431" spans="1:15" x14ac:dyDescent="0.3">
      <c r="A431">
        <v>430</v>
      </c>
      <c r="B431">
        <v>1</v>
      </c>
      <c r="C431" t="str">
        <f t="shared" si="30"/>
        <v>Yes</v>
      </c>
      <c r="D431" t="s">
        <v>958</v>
      </c>
      <c r="E431" t="s">
        <v>1393</v>
      </c>
      <c r="F431" t="str" cm="1">
        <f t="array" ref="F431">IF(OR(COUNTIF(D431,"*"&amp;$T$9:$T$15&amp;"*")),"Female","Male")</f>
        <v>Female</v>
      </c>
      <c r="G431">
        <v>42</v>
      </c>
      <c r="H431">
        <v>1</v>
      </c>
      <c r="I431">
        <v>0</v>
      </c>
      <c r="J431">
        <v>2</v>
      </c>
      <c r="K431">
        <v>26</v>
      </c>
      <c r="L431">
        <f t="shared" si="31"/>
        <v>1</v>
      </c>
      <c r="M431">
        <f t="shared" si="32"/>
        <v>42</v>
      </c>
      <c r="N431" t="str">
        <f t="shared" si="33"/>
        <v>Adult</v>
      </c>
      <c r="O431">
        <f t="shared" si="34"/>
        <v>26</v>
      </c>
    </row>
    <row r="432" spans="1:15" x14ac:dyDescent="0.3">
      <c r="A432">
        <v>431</v>
      </c>
      <c r="B432">
        <v>0</v>
      </c>
      <c r="C432" t="str">
        <f t="shared" si="30"/>
        <v>No</v>
      </c>
      <c r="D432" t="s">
        <v>956</v>
      </c>
      <c r="E432" t="s">
        <v>1394</v>
      </c>
      <c r="F432" t="str" cm="1">
        <f t="array" ref="F432">IF(OR(COUNTIF(D432,"*"&amp;$T$9:$T$15&amp;"*")),"Female","Male")</f>
        <v>Male</v>
      </c>
      <c r="G432">
        <v>17</v>
      </c>
      <c r="H432">
        <v>0</v>
      </c>
      <c r="I432">
        <v>0</v>
      </c>
      <c r="J432">
        <v>3</v>
      </c>
      <c r="K432">
        <v>7.125</v>
      </c>
      <c r="L432">
        <f t="shared" si="31"/>
        <v>0</v>
      </c>
      <c r="M432">
        <f t="shared" si="32"/>
        <v>17</v>
      </c>
      <c r="N432" t="str">
        <f t="shared" si="33"/>
        <v>Adult</v>
      </c>
      <c r="O432">
        <f t="shared" si="34"/>
        <v>7.13</v>
      </c>
    </row>
    <row r="433" spans="1:15" x14ac:dyDescent="0.3">
      <c r="A433">
        <v>432</v>
      </c>
      <c r="B433">
        <v>0</v>
      </c>
      <c r="C433" t="str">
        <f t="shared" si="30"/>
        <v>No</v>
      </c>
      <c r="D433" t="s">
        <v>956</v>
      </c>
      <c r="E433" t="s">
        <v>1395</v>
      </c>
      <c r="F433" t="str" cm="1">
        <f t="array" ref="F433">IF(OR(COUNTIF(D433,"*"&amp;$T$9:$T$15&amp;"*")),"Female","Male")</f>
        <v>Male</v>
      </c>
      <c r="G433">
        <v>50</v>
      </c>
      <c r="H433">
        <v>1</v>
      </c>
      <c r="I433">
        <v>0</v>
      </c>
      <c r="J433">
        <v>1</v>
      </c>
      <c r="K433">
        <v>55.9</v>
      </c>
      <c r="L433">
        <f t="shared" si="31"/>
        <v>0</v>
      </c>
      <c r="M433">
        <f t="shared" si="32"/>
        <v>50</v>
      </c>
      <c r="N433" t="str">
        <f t="shared" si="33"/>
        <v>Adult</v>
      </c>
      <c r="O433">
        <f t="shared" si="34"/>
        <v>55.9</v>
      </c>
    </row>
    <row r="434" spans="1:15" x14ac:dyDescent="0.3">
      <c r="A434">
        <v>433</v>
      </c>
      <c r="B434">
        <v>1</v>
      </c>
      <c r="C434" t="str">
        <f t="shared" si="30"/>
        <v>Yes</v>
      </c>
      <c r="D434" t="s">
        <v>960</v>
      </c>
      <c r="E434" t="s">
        <v>1396</v>
      </c>
      <c r="F434" t="str" cm="1">
        <f t="array" ref="F434">IF(OR(COUNTIF(D434,"*"&amp;$T$9:$T$15&amp;"*")),"Female","Male")</f>
        <v>Female</v>
      </c>
      <c r="G434">
        <v>14</v>
      </c>
      <c r="H434">
        <v>1</v>
      </c>
      <c r="I434">
        <v>2</v>
      </c>
      <c r="J434">
        <v>1</v>
      </c>
      <c r="K434">
        <v>120</v>
      </c>
      <c r="L434">
        <f t="shared" si="31"/>
        <v>1</v>
      </c>
      <c r="M434">
        <f t="shared" si="32"/>
        <v>14</v>
      </c>
      <c r="N434" t="str">
        <f t="shared" si="33"/>
        <v>Child</v>
      </c>
      <c r="O434">
        <f t="shared" si="34"/>
        <v>120</v>
      </c>
    </row>
    <row r="435" spans="1:15" x14ac:dyDescent="0.3">
      <c r="A435">
        <v>434</v>
      </c>
      <c r="B435">
        <v>0</v>
      </c>
      <c r="C435" t="str">
        <f t="shared" si="30"/>
        <v>No</v>
      </c>
      <c r="D435" t="s">
        <v>960</v>
      </c>
      <c r="E435" t="s">
        <v>1397</v>
      </c>
      <c r="F435" t="str" cm="1">
        <f t="array" ref="F435">IF(OR(COUNTIF(D435,"*"&amp;$T$9:$T$15&amp;"*")),"Female","Male")</f>
        <v>Female</v>
      </c>
      <c r="G435">
        <v>21</v>
      </c>
      <c r="H435">
        <v>2</v>
      </c>
      <c r="I435">
        <v>2</v>
      </c>
      <c r="J435">
        <v>3</v>
      </c>
      <c r="K435">
        <v>34.375</v>
      </c>
      <c r="L435">
        <f t="shared" si="31"/>
        <v>1</v>
      </c>
      <c r="M435">
        <f t="shared" si="32"/>
        <v>21</v>
      </c>
      <c r="N435" t="str">
        <f t="shared" si="33"/>
        <v>Adult</v>
      </c>
      <c r="O435">
        <f t="shared" si="34"/>
        <v>34.380000000000003</v>
      </c>
    </row>
    <row r="436" spans="1:15" x14ac:dyDescent="0.3">
      <c r="A436">
        <v>435</v>
      </c>
      <c r="B436">
        <v>1</v>
      </c>
      <c r="C436" t="str">
        <f t="shared" si="30"/>
        <v>Yes</v>
      </c>
      <c r="D436" t="s">
        <v>958</v>
      </c>
      <c r="E436" t="s">
        <v>1398</v>
      </c>
      <c r="F436" t="str" cm="1">
        <f t="array" ref="F436">IF(OR(COUNTIF(D436,"*"&amp;$T$9:$T$15&amp;"*")),"Female","Male")</f>
        <v>Female</v>
      </c>
      <c r="G436">
        <v>24</v>
      </c>
      <c r="H436">
        <v>2</v>
      </c>
      <c r="I436">
        <v>3</v>
      </c>
      <c r="J436">
        <v>2</v>
      </c>
      <c r="K436">
        <v>18.75</v>
      </c>
      <c r="L436">
        <f t="shared" si="31"/>
        <v>1</v>
      </c>
      <c r="M436">
        <f t="shared" si="32"/>
        <v>24</v>
      </c>
      <c r="N436" t="str">
        <f t="shared" si="33"/>
        <v>Adult</v>
      </c>
      <c r="O436">
        <f t="shared" si="34"/>
        <v>18.75</v>
      </c>
    </row>
    <row r="437" spans="1:15" x14ac:dyDescent="0.3">
      <c r="A437">
        <v>436</v>
      </c>
      <c r="B437">
        <v>0</v>
      </c>
      <c r="C437" t="str">
        <f t="shared" si="30"/>
        <v>No</v>
      </c>
      <c r="D437" t="s">
        <v>956</v>
      </c>
      <c r="E437" t="s">
        <v>1399</v>
      </c>
      <c r="F437" t="str" cm="1">
        <f t="array" ref="F437">IF(OR(COUNTIF(D437,"*"&amp;$T$9:$T$15&amp;"*")),"Female","Male")</f>
        <v>Male</v>
      </c>
      <c r="G437">
        <v>64</v>
      </c>
      <c r="H437">
        <v>1</v>
      </c>
      <c r="I437">
        <v>4</v>
      </c>
      <c r="J437">
        <v>1</v>
      </c>
      <c r="K437">
        <v>263</v>
      </c>
      <c r="L437">
        <f t="shared" si="31"/>
        <v>0</v>
      </c>
      <c r="M437">
        <f t="shared" si="32"/>
        <v>64</v>
      </c>
      <c r="N437" t="str">
        <f t="shared" si="33"/>
        <v>Adult</v>
      </c>
      <c r="O437">
        <f t="shared" si="34"/>
        <v>263</v>
      </c>
    </row>
    <row r="438" spans="1:15" x14ac:dyDescent="0.3">
      <c r="A438">
        <v>437</v>
      </c>
      <c r="B438">
        <v>0</v>
      </c>
      <c r="C438" t="str">
        <f t="shared" si="30"/>
        <v>No</v>
      </c>
      <c r="D438" t="s">
        <v>956</v>
      </c>
      <c r="E438" t="s">
        <v>1400</v>
      </c>
      <c r="F438" t="str" cm="1">
        <f t="array" ref="F438">IF(OR(COUNTIF(D438,"*"&amp;$T$9:$T$15&amp;"*")),"Female","Male")</f>
        <v>Male</v>
      </c>
      <c r="G438">
        <v>31</v>
      </c>
      <c r="H438">
        <v>0</v>
      </c>
      <c r="I438">
        <v>0</v>
      </c>
      <c r="J438">
        <v>2</v>
      </c>
      <c r="K438">
        <v>10.5</v>
      </c>
      <c r="L438">
        <f t="shared" si="31"/>
        <v>0</v>
      </c>
      <c r="M438">
        <f t="shared" si="32"/>
        <v>31</v>
      </c>
      <c r="N438" t="str">
        <f t="shared" si="33"/>
        <v>Adult</v>
      </c>
      <c r="O438">
        <f t="shared" si="34"/>
        <v>10.5</v>
      </c>
    </row>
    <row r="439" spans="1:15" x14ac:dyDescent="0.3">
      <c r="A439">
        <v>438</v>
      </c>
      <c r="B439">
        <v>1</v>
      </c>
      <c r="C439" t="str">
        <f t="shared" si="30"/>
        <v>Yes</v>
      </c>
      <c r="D439" t="s">
        <v>958</v>
      </c>
      <c r="E439" t="s">
        <v>1401</v>
      </c>
      <c r="F439" t="str" cm="1">
        <f t="array" ref="F439">IF(OR(COUNTIF(D439,"*"&amp;$T$9:$T$15&amp;"*")),"Female","Male")</f>
        <v>Female</v>
      </c>
      <c r="G439">
        <v>45</v>
      </c>
      <c r="H439">
        <v>1</v>
      </c>
      <c r="I439">
        <v>1</v>
      </c>
      <c r="J439">
        <v>2</v>
      </c>
      <c r="K439">
        <v>26.25</v>
      </c>
      <c r="L439">
        <f t="shared" si="31"/>
        <v>1</v>
      </c>
      <c r="M439">
        <f t="shared" si="32"/>
        <v>45</v>
      </c>
      <c r="N439" t="str">
        <f t="shared" si="33"/>
        <v>Adult</v>
      </c>
      <c r="O439">
        <f t="shared" si="34"/>
        <v>26.25</v>
      </c>
    </row>
    <row r="440" spans="1:15" x14ac:dyDescent="0.3">
      <c r="A440">
        <v>439</v>
      </c>
      <c r="B440">
        <v>0</v>
      </c>
      <c r="C440" t="str">
        <f t="shared" si="30"/>
        <v>No</v>
      </c>
      <c r="D440" t="s">
        <v>956</v>
      </c>
      <c r="E440" t="s">
        <v>1402</v>
      </c>
      <c r="F440" t="str" cm="1">
        <f t="array" ref="F440">IF(OR(COUNTIF(D440,"*"&amp;$T$9:$T$15&amp;"*")),"Female","Male")</f>
        <v>Male</v>
      </c>
      <c r="G440">
        <v>20</v>
      </c>
      <c r="H440">
        <v>0</v>
      </c>
      <c r="I440">
        <v>0</v>
      </c>
      <c r="J440">
        <v>3</v>
      </c>
      <c r="K440">
        <v>9.5</v>
      </c>
      <c r="L440">
        <f t="shared" si="31"/>
        <v>0</v>
      </c>
      <c r="M440">
        <f t="shared" si="32"/>
        <v>20</v>
      </c>
      <c r="N440" t="str">
        <f t="shared" si="33"/>
        <v>Adult</v>
      </c>
      <c r="O440">
        <f t="shared" si="34"/>
        <v>9.5</v>
      </c>
    </row>
    <row r="441" spans="1:15" x14ac:dyDescent="0.3">
      <c r="A441">
        <v>440</v>
      </c>
      <c r="B441">
        <v>0</v>
      </c>
      <c r="C441" t="str">
        <f t="shared" si="30"/>
        <v>No</v>
      </c>
      <c r="D441" t="s">
        <v>956</v>
      </c>
      <c r="E441" t="s">
        <v>1403</v>
      </c>
      <c r="F441" t="str" cm="1">
        <f t="array" ref="F441">IF(OR(COUNTIF(D441,"*"&amp;$T$9:$T$15&amp;"*")),"Female","Male")</f>
        <v>Male</v>
      </c>
      <c r="G441">
        <v>25</v>
      </c>
      <c r="H441">
        <v>1</v>
      </c>
      <c r="I441">
        <v>0</v>
      </c>
      <c r="J441">
        <v>3</v>
      </c>
      <c r="K441">
        <v>7.7750000000000004</v>
      </c>
      <c r="L441">
        <f t="shared" si="31"/>
        <v>0</v>
      </c>
      <c r="M441">
        <f t="shared" si="32"/>
        <v>25</v>
      </c>
      <c r="N441" t="str">
        <f t="shared" si="33"/>
        <v>Adult</v>
      </c>
      <c r="O441">
        <f t="shared" si="34"/>
        <v>7.78</v>
      </c>
    </row>
    <row r="442" spans="1:15" x14ac:dyDescent="0.3">
      <c r="A442">
        <v>441</v>
      </c>
      <c r="B442">
        <v>1</v>
      </c>
      <c r="C442" t="str">
        <f t="shared" si="30"/>
        <v>Yes</v>
      </c>
      <c r="D442" t="s">
        <v>1404</v>
      </c>
      <c r="E442" t="s">
        <v>1405</v>
      </c>
      <c r="F442" t="str" cm="1">
        <f t="array" ref="F442">IF(OR(COUNTIF(D442,"*"&amp;$T$9:$T$15&amp;"*")),"Female","Male")</f>
        <v>Female</v>
      </c>
      <c r="G442">
        <v>28</v>
      </c>
      <c r="H442">
        <v>0</v>
      </c>
      <c r="I442">
        <v>0</v>
      </c>
      <c r="J442">
        <v>2</v>
      </c>
      <c r="K442">
        <v>13</v>
      </c>
      <c r="L442">
        <f t="shared" si="31"/>
        <v>1</v>
      </c>
      <c r="M442">
        <f t="shared" si="32"/>
        <v>28</v>
      </c>
      <c r="N442" t="str">
        <f t="shared" si="33"/>
        <v>Adult</v>
      </c>
      <c r="O442">
        <f t="shared" si="34"/>
        <v>13</v>
      </c>
    </row>
    <row r="443" spans="1:15" x14ac:dyDescent="0.3">
      <c r="A443">
        <v>442</v>
      </c>
      <c r="B443">
        <v>1</v>
      </c>
      <c r="C443" t="str">
        <f t="shared" si="30"/>
        <v>Yes</v>
      </c>
      <c r="D443" t="s">
        <v>956</v>
      </c>
      <c r="E443" t="s">
        <v>1406</v>
      </c>
      <c r="F443" t="str" cm="1">
        <f t="array" ref="F443">IF(OR(COUNTIF(D443,"*"&amp;$T$9:$T$15&amp;"*")),"Female","Male")</f>
        <v>Male</v>
      </c>
      <c r="G443">
        <v>29</v>
      </c>
      <c r="H443">
        <v>0</v>
      </c>
      <c r="I443">
        <v>0</v>
      </c>
      <c r="J443">
        <v>3</v>
      </c>
      <c r="K443">
        <v>8.1125000000000007</v>
      </c>
      <c r="L443">
        <f t="shared" si="31"/>
        <v>0</v>
      </c>
      <c r="M443">
        <f t="shared" si="32"/>
        <v>29</v>
      </c>
      <c r="N443" t="str">
        <f t="shared" si="33"/>
        <v>Adult</v>
      </c>
      <c r="O443">
        <f t="shared" si="34"/>
        <v>8.11</v>
      </c>
    </row>
    <row r="444" spans="1:15" x14ac:dyDescent="0.3">
      <c r="A444">
        <v>443</v>
      </c>
      <c r="B444">
        <v>1</v>
      </c>
      <c r="C444" t="str">
        <f t="shared" si="30"/>
        <v>Yes</v>
      </c>
      <c r="D444" t="s">
        <v>966</v>
      </c>
      <c r="E444" t="s">
        <v>1407</v>
      </c>
      <c r="F444" t="str" cm="1">
        <f t="array" ref="F444">IF(OR(COUNTIF(D444,"*"&amp;$T$9:$T$15&amp;"*")),"Female","Male")</f>
        <v>Male</v>
      </c>
      <c r="G444">
        <v>4</v>
      </c>
      <c r="H444">
        <v>0</v>
      </c>
      <c r="I444">
        <v>2</v>
      </c>
      <c r="J444">
        <v>1</v>
      </c>
      <c r="K444">
        <v>81.8583</v>
      </c>
      <c r="L444">
        <f t="shared" si="31"/>
        <v>0</v>
      </c>
      <c r="M444">
        <f t="shared" si="32"/>
        <v>4</v>
      </c>
      <c r="N444" t="str">
        <f t="shared" si="33"/>
        <v>Child</v>
      </c>
      <c r="O444">
        <f t="shared" si="34"/>
        <v>81.86</v>
      </c>
    </row>
    <row r="445" spans="1:15" x14ac:dyDescent="0.3">
      <c r="A445">
        <v>444</v>
      </c>
      <c r="B445">
        <v>1</v>
      </c>
      <c r="C445" t="str">
        <f t="shared" si="30"/>
        <v>Yes</v>
      </c>
      <c r="D445" t="s">
        <v>960</v>
      </c>
      <c r="E445" t="s">
        <v>1408</v>
      </c>
      <c r="F445" t="str" cm="1">
        <f t="array" ref="F445">IF(OR(COUNTIF(D445,"*"&amp;$T$9:$T$15&amp;"*")),"Female","Male")</f>
        <v>Female</v>
      </c>
      <c r="G445">
        <v>13</v>
      </c>
      <c r="H445">
        <v>0</v>
      </c>
      <c r="I445">
        <v>1</v>
      </c>
      <c r="J445">
        <v>2</v>
      </c>
      <c r="K445">
        <v>19.5</v>
      </c>
      <c r="L445">
        <f t="shared" si="31"/>
        <v>1</v>
      </c>
      <c r="M445">
        <f t="shared" si="32"/>
        <v>13</v>
      </c>
      <c r="N445" t="str">
        <f t="shared" si="33"/>
        <v>Child</v>
      </c>
      <c r="O445">
        <f t="shared" si="34"/>
        <v>19.5</v>
      </c>
    </row>
    <row r="446" spans="1:15" x14ac:dyDescent="0.3">
      <c r="A446">
        <v>445</v>
      </c>
      <c r="B446">
        <v>1</v>
      </c>
      <c r="C446" t="str">
        <f t="shared" si="30"/>
        <v>Yes</v>
      </c>
      <c r="D446" t="s">
        <v>956</v>
      </c>
      <c r="E446" t="s">
        <v>1409</v>
      </c>
      <c r="F446" t="str" cm="1">
        <f t="array" ref="F446">IF(OR(COUNTIF(D446,"*"&amp;$T$9:$T$15&amp;"*")),"Female","Male")</f>
        <v>Male</v>
      </c>
      <c r="G446">
        <v>34</v>
      </c>
      <c r="H446">
        <v>0</v>
      </c>
      <c r="I446">
        <v>0</v>
      </c>
      <c r="J446">
        <v>1</v>
      </c>
      <c r="K446">
        <v>26.55</v>
      </c>
      <c r="L446">
        <f t="shared" si="31"/>
        <v>0</v>
      </c>
      <c r="M446">
        <f t="shared" si="32"/>
        <v>34</v>
      </c>
      <c r="N446" t="str">
        <f t="shared" si="33"/>
        <v>Adult</v>
      </c>
      <c r="O446">
        <f t="shared" si="34"/>
        <v>26.55</v>
      </c>
    </row>
    <row r="447" spans="1:15" x14ac:dyDescent="0.3">
      <c r="A447">
        <v>446</v>
      </c>
      <c r="B447">
        <v>1</v>
      </c>
      <c r="C447" t="str">
        <f t="shared" si="30"/>
        <v>Yes</v>
      </c>
      <c r="D447" t="s">
        <v>960</v>
      </c>
      <c r="E447" t="s">
        <v>1410</v>
      </c>
      <c r="F447" t="str" cm="1">
        <f t="array" ref="F447">IF(OR(COUNTIF(D447,"*"&amp;$T$9:$T$15&amp;"*")),"Female","Male")</f>
        <v>Female</v>
      </c>
      <c r="G447">
        <v>5</v>
      </c>
      <c r="H447">
        <v>2</v>
      </c>
      <c r="I447">
        <v>1</v>
      </c>
      <c r="J447">
        <v>3</v>
      </c>
      <c r="K447">
        <v>19.258299999999998</v>
      </c>
      <c r="L447">
        <f t="shared" si="31"/>
        <v>1</v>
      </c>
      <c r="M447">
        <f t="shared" si="32"/>
        <v>5</v>
      </c>
      <c r="N447" t="str">
        <f t="shared" si="33"/>
        <v>Child</v>
      </c>
      <c r="O447">
        <f t="shared" si="34"/>
        <v>19.260000000000002</v>
      </c>
    </row>
    <row r="448" spans="1:15" x14ac:dyDescent="0.3">
      <c r="A448">
        <v>447</v>
      </c>
      <c r="B448">
        <v>1</v>
      </c>
      <c r="C448" t="str">
        <f t="shared" si="30"/>
        <v>Yes</v>
      </c>
      <c r="D448" t="s">
        <v>1411</v>
      </c>
      <c r="E448" t="s">
        <v>1412</v>
      </c>
      <c r="F448" t="str" cm="1">
        <f t="array" ref="F448">IF(OR(COUNTIF(D448,"*"&amp;$T$9:$T$15&amp;"*")),"Female","Male")</f>
        <v>Male</v>
      </c>
      <c r="G448">
        <v>52</v>
      </c>
      <c r="H448">
        <v>0</v>
      </c>
      <c r="I448">
        <v>0</v>
      </c>
      <c r="J448">
        <v>1</v>
      </c>
      <c r="K448">
        <v>30.5</v>
      </c>
      <c r="L448">
        <f t="shared" si="31"/>
        <v>0</v>
      </c>
      <c r="M448">
        <f t="shared" si="32"/>
        <v>52</v>
      </c>
      <c r="N448" t="str">
        <f t="shared" si="33"/>
        <v>Adult</v>
      </c>
      <c r="O448">
        <f t="shared" si="34"/>
        <v>30.5</v>
      </c>
    </row>
    <row r="449" spans="1:15" x14ac:dyDescent="0.3">
      <c r="A449">
        <v>448</v>
      </c>
      <c r="B449">
        <v>0</v>
      </c>
      <c r="C449" t="str">
        <f t="shared" si="30"/>
        <v>No</v>
      </c>
      <c r="D449" t="s">
        <v>956</v>
      </c>
      <c r="E449" t="s">
        <v>1413</v>
      </c>
      <c r="F449" t="str" cm="1">
        <f t="array" ref="F449">IF(OR(COUNTIF(D449,"*"&amp;$T$9:$T$15&amp;"*")),"Female","Male")</f>
        <v>Male</v>
      </c>
      <c r="G449">
        <v>36</v>
      </c>
      <c r="H449">
        <v>1</v>
      </c>
      <c r="I449">
        <v>2</v>
      </c>
      <c r="J449">
        <v>2</v>
      </c>
      <c r="K449">
        <v>27.75</v>
      </c>
      <c r="L449">
        <f t="shared" si="31"/>
        <v>0</v>
      </c>
      <c r="M449">
        <f t="shared" si="32"/>
        <v>36</v>
      </c>
      <c r="N449" t="str">
        <f t="shared" si="33"/>
        <v>Adult</v>
      </c>
      <c r="O449">
        <f t="shared" si="34"/>
        <v>27.75</v>
      </c>
    </row>
    <row r="450" spans="1:15" x14ac:dyDescent="0.3">
      <c r="A450">
        <v>449</v>
      </c>
      <c r="B450">
        <v>0</v>
      </c>
      <c r="C450" t="str">
        <f t="shared" si="30"/>
        <v>No</v>
      </c>
      <c r="D450" t="s">
        <v>956</v>
      </c>
      <c r="E450" t="s">
        <v>1414</v>
      </c>
      <c r="F450" t="str" cm="1">
        <f t="array" ref="F450">IF(OR(COUNTIF(D450,"*"&amp;$T$9:$T$15&amp;"*")),"Female","Male")</f>
        <v>Male</v>
      </c>
      <c r="G450">
        <v>28</v>
      </c>
      <c r="H450">
        <v>1</v>
      </c>
      <c r="I450">
        <v>0</v>
      </c>
      <c r="J450">
        <v>3</v>
      </c>
      <c r="K450">
        <v>19.966699999999999</v>
      </c>
      <c r="L450">
        <f t="shared" si="31"/>
        <v>0</v>
      </c>
      <c r="M450">
        <f t="shared" si="32"/>
        <v>28</v>
      </c>
      <c r="N450" t="str">
        <f t="shared" si="33"/>
        <v>Adult</v>
      </c>
      <c r="O450">
        <f t="shared" si="34"/>
        <v>19.97</v>
      </c>
    </row>
    <row r="451" spans="1:15" x14ac:dyDescent="0.3">
      <c r="A451">
        <v>450</v>
      </c>
      <c r="B451">
        <v>0</v>
      </c>
      <c r="C451" t="str">
        <f t="shared" ref="C451:C514" si="35">IF(B451=0,"No","Yes")</f>
        <v>No</v>
      </c>
      <c r="D451" t="s">
        <v>956</v>
      </c>
      <c r="E451" t="s">
        <v>1415</v>
      </c>
      <c r="F451" t="str" cm="1">
        <f t="array" ref="F451">IF(OR(COUNTIF(D451,"*"&amp;$T$9:$T$15&amp;"*")),"Female","Male")</f>
        <v>Male</v>
      </c>
      <c r="G451">
        <v>30</v>
      </c>
      <c r="H451">
        <v>0</v>
      </c>
      <c r="I451">
        <v>0</v>
      </c>
      <c r="J451">
        <v>1</v>
      </c>
      <c r="K451">
        <v>27.75</v>
      </c>
      <c r="L451">
        <f t="shared" ref="L451:L514" si="36">IF(F451 = "Male", 0, 1)</f>
        <v>0</v>
      </c>
      <c r="M451">
        <f t="shared" ref="M451:M514" si="37">ROUND(G451, 0)</f>
        <v>30</v>
      </c>
      <c r="N451" t="str">
        <f t="shared" ref="N451:N514" si="38">IF(G451&lt;=16,"Child","Adult")</f>
        <v>Adult</v>
      </c>
      <c r="O451">
        <f t="shared" ref="O451:O514" si="39">ROUND(K451, 2)</f>
        <v>27.75</v>
      </c>
    </row>
    <row r="452" spans="1:15" x14ac:dyDescent="0.3">
      <c r="A452">
        <v>451</v>
      </c>
      <c r="B452">
        <v>1</v>
      </c>
      <c r="C452" t="str">
        <f t="shared" si="35"/>
        <v>Yes</v>
      </c>
      <c r="D452" t="s">
        <v>956</v>
      </c>
      <c r="E452" t="s">
        <v>1416</v>
      </c>
      <c r="F452" t="str" cm="1">
        <f t="array" ref="F452">IF(OR(COUNTIF(D452,"*"&amp;$T$9:$T$15&amp;"*")),"Female","Male")</f>
        <v>Male</v>
      </c>
      <c r="G452">
        <v>49</v>
      </c>
      <c r="H452">
        <v>1</v>
      </c>
      <c r="I452">
        <v>0</v>
      </c>
      <c r="J452">
        <v>1</v>
      </c>
      <c r="K452">
        <v>89.104200000000006</v>
      </c>
      <c r="L452">
        <f t="shared" si="36"/>
        <v>0</v>
      </c>
      <c r="M452">
        <f t="shared" si="37"/>
        <v>49</v>
      </c>
      <c r="N452" t="str">
        <f t="shared" si="38"/>
        <v>Adult</v>
      </c>
      <c r="O452">
        <f t="shared" si="39"/>
        <v>89.1</v>
      </c>
    </row>
    <row r="453" spans="1:15" x14ac:dyDescent="0.3">
      <c r="A453">
        <v>452</v>
      </c>
      <c r="B453">
        <v>0</v>
      </c>
      <c r="C453" t="str">
        <f t="shared" si="35"/>
        <v>No</v>
      </c>
      <c r="D453" t="s">
        <v>956</v>
      </c>
      <c r="E453" t="s">
        <v>1417</v>
      </c>
      <c r="F453" t="str" cm="1">
        <f t="array" ref="F453">IF(OR(COUNTIF(D453,"*"&amp;$T$9:$T$15&amp;"*")),"Female","Male")</f>
        <v>Male</v>
      </c>
      <c r="G453">
        <v>24</v>
      </c>
      <c r="H453">
        <v>0</v>
      </c>
      <c r="I453">
        <v>0</v>
      </c>
      <c r="J453">
        <v>3</v>
      </c>
      <c r="K453">
        <v>8.0500000000000007</v>
      </c>
      <c r="L453">
        <f t="shared" si="36"/>
        <v>0</v>
      </c>
      <c r="M453">
        <f t="shared" si="37"/>
        <v>24</v>
      </c>
      <c r="N453" t="str">
        <f t="shared" si="38"/>
        <v>Adult</v>
      </c>
      <c r="O453">
        <f t="shared" si="39"/>
        <v>8.0500000000000007</v>
      </c>
    </row>
    <row r="454" spans="1:15" x14ac:dyDescent="0.3">
      <c r="A454">
        <v>453</v>
      </c>
      <c r="B454">
        <v>1</v>
      </c>
      <c r="C454" t="str">
        <f t="shared" si="35"/>
        <v>Yes</v>
      </c>
      <c r="D454" t="s">
        <v>956</v>
      </c>
      <c r="E454" t="s">
        <v>1418</v>
      </c>
      <c r="F454" t="str" cm="1">
        <f t="array" ref="F454">IF(OR(COUNTIF(D454,"*"&amp;$T$9:$T$15&amp;"*")),"Female","Male")</f>
        <v>Male</v>
      </c>
      <c r="G454">
        <v>29</v>
      </c>
      <c r="H454">
        <v>0</v>
      </c>
      <c r="I454">
        <v>0</v>
      </c>
      <c r="J454">
        <v>3</v>
      </c>
      <c r="K454">
        <v>7.8958000000000004</v>
      </c>
      <c r="L454">
        <f t="shared" si="36"/>
        <v>0</v>
      </c>
      <c r="M454">
        <f t="shared" si="37"/>
        <v>29</v>
      </c>
      <c r="N454" t="str">
        <f t="shared" si="38"/>
        <v>Adult</v>
      </c>
      <c r="O454">
        <f t="shared" si="39"/>
        <v>7.9</v>
      </c>
    </row>
    <row r="455" spans="1:15" x14ac:dyDescent="0.3">
      <c r="A455">
        <v>454</v>
      </c>
      <c r="B455">
        <v>0</v>
      </c>
      <c r="C455" t="str">
        <f t="shared" si="35"/>
        <v>No</v>
      </c>
      <c r="D455" t="s">
        <v>956</v>
      </c>
      <c r="E455" t="s">
        <v>1419</v>
      </c>
      <c r="F455" t="str" cm="1">
        <f t="array" ref="F455">IF(OR(COUNTIF(D455,"*"&amp;$T$9:$T$15&amp;"*")),"Female","Male")</f>
        <v>Male</v>
      </c>
      <c r="G455">
        <v>65</v>
      </c>
      <c r="H455">
        <v>0</v>
      </c>
      <c r="I455">
        <v>0</v>
      </c>
      <c r="J455">
        <v>1</v>
      </c>
      <c r="K455">
        <v>26.55</v>
      </c>
      <c r="L455">
        <f t="shared" si="36"/>
        <v>0</v>
      </c>
      <c r="M455">
        <f t="shared" si="37"/>
        <v>65</v>
      </c>
      <c r="N455" t="str">
        <f t="shared" si="38"/>
        <v>Adult</v>
      </c>
      <c r="O455">
        <f t="shared" si="39"/>
        <v>26.55</v>
      </c>
    </row>
    <row r="456" spans="1:15" x14ac:dyDescent="0.3">
      <c r="A456">
        <v>455</v>
      </c>
      <c r="B456">
        <v>1</v>
      </c>
      <c r="C456" t="str">
        <f t="shared" si="35"/>
        <v>Yes</v>
      </c>
      <c r="D456" t="s">
        <v>958</v>
      </c>
      <c r="E456" t="s">
        <v>1420</v>
      </c>
      <c r="F456" t="str" cm="1">
        <f t="array" ref="F456">IF(OR(COUNTIF(D456,"*"&amp;$T$9:$T$15&amp;"*")),"Female","Male")</f>
        <v>Female</v>
      </c>
      <c r="G456">
        <v>41</v>
      </c>
      <c r="H456">
        <v>1</v>
      </c>
      <c r="I456">
        <v>0</v>
      </c>
      <c r="J456">
        <v>1</v>
      </c>
      <c r="K456">
        <v>51.862499999999997</v>
      </c>
      <c r="L456">
        <f t="shared" si="36"/>
        <v>1</v>
      </c>
      <c r="M456">
        <f t="shared" si="37"/>
        <v>41</v>
      </c>
      <c r="N456" t="str">
        <f t="shared" si="38"/>
        <v>Adult</v>
      </c>
      <c r="O456">
        <f t="shared" si="39"/>
        <v>51.86</v>
      </c>
    </row>
    <row r="457" spans="1:15" x14ac:dyDescent="0.3">
      <c r="A457">
        <v>456</v>
      </c>
      <c r="B457">
        <v>1</v>
      </c>
      <c r="C457" t="str">
        <f t="shared" si="35"/>
        <v>Yes</v>
      </c>
      <c r="D457" t="s">
        <v>960</v>
      </c>
      <c r="E457" t="s">
        <v>1421</v>
      </c>
      <c r="F457" t="str" cm="1">
        <f t="array" ref="F457">IF(OR(COUNTIF(D457,"*"&amp;$T$9:$T$15&amp;"*")),"Female","Male")</f>
        <v>Female</v>
      </c>
      <c r="G457">
        <v>50</v>
      </c>
      <c r="H457">
        <v>0</v>
      </c>
      <c r="I457">
        <v>0</v>
      </c>
      <c r="J457">
        <v>2</v>
      </c>
      <c r="K457">
        <v>10.5</v>
      </c>
      <c r="L457">
        <f t="shared" si="36"/>
        <v>1</v>
      </c>
      <c r="M457">
        <f t="shared" si="37"/>
        <v>50</v>
      </c>
      <c r="N457" t="str">
        <f t="shared" si="38"/>
        <v>Adult</v>
      </c>
      <c r="O457">
        <f t="shared" si="39"/>
        <v>10.5</v>
      </c>
    </row>
    <row r="458" spans="1:15" x14ac:dyDescent="0.3">
      <c r="A458">
        <v>457</v>
      </c>
      <c r="B458">
        <v>0</v>
      </c>
      <c r="C458" t="str">
        <f t="shared" si="35"/>
        <v>No</v>
      </c>
      <c r="D458" t="s">
        <v>956</v>
      </c>
      <c r="E458" t="s">
        <v>1422</v>
      </c>
      <c r="F458" t="str" cm="1">
        <f t="array" ref="F458">IF(OR(COUNTIF(D458,"*"&amp;$T$9:$T$15&amp;"*")),"Female","Male")</f>
        <v>Male</v>
      </c>
      <c r="G458">
        <v>17</v>
      </c>
      <c r="H458">
        <v>0</v>
      </c>
      <c r="I458">
        <v>0</v>
      </c>
      <c r="J458">
        <v>3</v>
      </c>
      <c r="K458">
        <v>7.75</v>
      </c>
      <c r="L458">
        <f t="shared" si="36"/>
        <v>0</v>
      </c>
      <c r="M458">
        <f t="shared" si="37"/>
        <v>17</v>
      </c>
      <c r="N458" t="str">
        <f t="shared" si="38"/>
        <v>Adult</v>
      </c>
      <c r="O458">
        <f t="shared" si="39"/>
        <v>7.75</v>
      </c>
    </row>
    <row r="459" spans="1:15" x14ac:dyDescent="0.3">
      <c r="A459">
        <v>458</v>
      </c>
      <c r="B459">
        <v>1</v>
      </c>
      <c r="C459" t="str">
        <f t="shared" si="35"/>
        <v>Yes</v>
      </c>
      <c r="D459" t="s">
        <v>956</v>
      </c>
      <c r="E459" t="s">
        <v>1423</v>
      </c>
      <c r="F459" t="str" cm="1">
        <f t="array" ref="F459">IF(OR(COUNTIF(D459,"*"&amp;$T$9:$T$15&amp;"*")),"Female","Male")</f>
        <v>Male</v>
      </c>
      <c r="G459">
        <v>48</v>
      </c>
      <c r="H459">
        <v>0</v>
      </c>
      <c r="I459">
        <v>0</v>
      </c>
      <c r="J459">
        <v>1</v>
      </c>
      <c r="K459">
        <v>26.55</v>
      </c>
      <c r="L459">
        <f t="shared" si="36"/>
        <v>0</v>
      </c>
      <c r="M459">
        <f t="shared" si="37"/>
        <v>48</v>
      </c>
      <c r="N459" t="str">
        <f t="shared" si="38"/>
        <v>Adult</v>
      </c>
      <c r="O459">
        <f t="shared" si="39"/>
        <v>26.55</v>
      </c>
    </row>
    <row r="460" spans="1:15" x14ac:dyDescent="0.3">
      <c r="A460">
        <v>459</v>
      </c>
      <c r="B460">
        <v>0</v>
      </c>
      <c r="C460" t="str">
        <f t="shared" si="35"/>
        <v>No</v>
      </c>
      <c r="D460" t="s">
        <v>956</v>
      </c>
      <c r="E460" t="s">
        <v>1424</v>
      </c>
      <c r="F460" t="str" cm="1">
        <f t="array" ref="F460">IF(OR(COUNTIF(D460,"*"&amp;$T$9:$T$15&amp;"*")),"Female","Male")</f>
        <v>Male</v>
      </c>
      <c r="G460">
        <v>34</v>
      </c>
      <c r="H460">
        <v>0</v>
      </c>
      <c r="I460">
        <v>0</v>
      </c>
      <c r="J460">
        <v>3</v>
      </c>
      <c r="K460">
        <v>8.0500000000000007</v>
      </c>
      <c r="L460">
        <f t="shared" si="36"/>
        <v>0</v>
      </c>
      <c r="M460">
        <f t="shared" si="37"/>
        <v>34</v>
      </c>
      <c r="N460" t="str">
        <f t="shared" si="38"/>
        <v>Adult</v>
      </c>
      <c r="O460">
        <f t="shared" si="39"/>
        <v>8.0500000000000007</v>
      </c>
    </row>
    <row r="461" spans="1:15" x14ac:dyDescent="0.3">
      <c r="A461">
        <v>460</v>
      </c>
      <c r="B461">
        <v>0</v>
      </c>
      <c r="C461" t="str">
        <f t="shared" si="35"/>
        <v>No</v>
      </c>
      <c r="D461" t="s">
        <v>956</v>
      </c>
      <c r="E461" t="s">
        <v>1425</v>
      </c>
      <c r="F461" t="str" cm="1">
        <f t="array" ref="F461">IF(OR(COUNTIF(D461,"*"&amp;$T$9:$T$15&amp;"*")),"Female","Male")</f>
        <v>Male</v>
      </c>
      <c r="G461">
        <v>47</v>
      </c>
      <c r="H461">
        <v>0</v>
      </c>
      <c r="I461">
        <v>0</v>
      </c>
      <c r="J461">
        <v>1</v>
      </c>
      <c r="K461">
        <v>38.5</v>
      </c>
      <c r="L461">
        <f t="shared" si="36"/>
        <v>0</v>
      </c>
      <c r="M461">
        <f t="shared" si="37"/>
        <v>47</v>
      </c>
      <c r="N461" t="str">
        <f t="shared" si="38"/>
        <v>Adult</v>
      </c>
      <c r="O461">
        <f t="shared" si="39"/>
        <v>38.5</v>
      </c>
    </row>
    <row r="462" spans="1:15" x14ac:dyDescent="0.3">
      <c r="A462">
        <v>461</v>
      </c>
      <c r="B462">
        <v>0</v>
      </c>
      <c r="C462" t="str">
        <f t="shared" si="35"/>
        <v>No</v>
      </c>
      <c r="D462" t="s">
        <v>956</v>
      </c>
      <c r="E462" t="s">
        <v>1426</v>
      </c>
      <c r="F462" t="str" cm="1">
        <f t="array" ref="F462">IF(OR(COUNTIF(D462,"*"&amp;$T$9:$T$15&amp;"*")),"Female","Male")</f>
        <v>Male</v>
      </c>
      <c r="G462">
        <v>48</v>
      </c>
      <c r="H462">
        <v>0</v>
      </c>
      <c r="I462">
        <v>0</v>
      </c>
      <c r="J462">
        <v>2</v>
      </c>
      <c r="K462">
        <v>13</v>
      </c>
      <c r="L462">
        <f t="shared" si="36"/>
        <v>0</v>
      </c>
      <c r="M462">
        <f t="shared" si="37"/>
        <v>48</v>
      </c>
      <c r="N462" t="str">
        <f t="shared" si="38"/>
        <v>Adult</v>
      </c>
      <c r="O462">
        <f t="shared" si="39"/>
        <v>13</v>
      </c>
    </row>
    <row r="463" spans="1:15" x14ac:dyDescent="0.3">
      <c r="A463">
        <v>462</v>
      </c>
      <c r="B463">
        <v>0</v>
      </c>
      <c r="C463" t="str">
        <f t="shared" si="35"/>
        <v>No</v>
      </c>
      <c r="D463" t="s">
        <v>956</v>
      </c>
      <c r="E463" t="s">
        <v>1427</v>
      </c>
      <c r="F463" t="str" cm="1">
        <f t="array" ref="F463">IF(OR(COUNTIF(D463,"*"&amp;$T$9:$T$15&amp;"*")),"Female","Male")</f>
        <v>Male</v>
      </c>
      <c r="G463">
        <v>34</v>
      </c>
      <c r="H463">
        <v>0</v>
      </c>
      <c r="I463">
        <v>0</v>
      </c>
      <c r="J463">
        <v>3</v>
      </c>
      <c r="K463">
        <v>8.0500000000000007</v>
      </c>
      <c r="L463">
        <f t="shared" si="36"/>
        <v>0</v>
      </c>
      <c r="M463">
        <f t="shared" si="37"/>
        <v>34</v>
      </c>
      <c r="N463" t="str">
        <f t="shared" si="38"/>
        <v>Adult</v>
      </c>
      <c r="O463">
        <f t="shared" si="39"/>
        <v>8.0500000000000007</v>
      </c>
    </row>
    <row r="464" spans="1:15" x14ac:dyDescent="0.3">
      <c r="A464">
        <v>463</v>
      </c>
      <c r="B464">
        <v>0</v>
      </c>
      <c r="C464" t="str">
        <f t="shared" si="35"/>
        <v>No</v>
      </c>
      <c r="D464" t="s">
        <v>956</v>
      </c>
      <c r="E464" t="s">
        <v>1428</v>
      </c>
      <c r="F464" t="str" cm="1">
        <f t="array" ref="F464">IF(OR(COUNTIF(D464,"*"&amp;$T$9:$T$15&amp;"*")),"Female","Male")</f>
        <v>Male</v>
      </c>
      <c r="G464">
        <v>38</v>
      </c>
      <c r="H464">
        <v>0</v>
      </c>
      <c r="I464">
        <v>0</v>
      </c>
      <c r="J464">
        <v>3</v>
      </c>
      <c r="K464">
        <v>7.05</v>
      </c>
      <c r="L464">
        <f t="shared" si="36"/>
        <v>0</v>
      </c>
      <c r="M464">
        <f t="shared" si="37"/>
        <v>38</v>
      </c>
      <c r="N464" t="str">
        <f t="shared" si="38"/>
        <v>Adult</v>
      </c>
      <c r="O464">
        <f t="shared" si="39"/>
        <v>7.05</v>
      </c>
    </row>
    <row r="465" spans="1:15" x14ac:dyDescent="0.3">
      <c r="A465">
        <v>464</v>
      </c>
      <c r="B465">
        <v>0</v>
      </c>
      <c r="C465" t="str">
        <f t="shared" si="35"/>
        <v>No</v>
      </c>
      <c r="D465" t="s">
        <v>956</v>
      </c>
      <c r="E465" t="s">
        <v>1429</v>
      </c>
      <c r="F465" t="str" cm="1">
        <f t="array" ref="F465">IF(OR(COUNTIF(D465,"*"&amp;$T$9:$T$15&amp;"*")),"Female","Male")</f>
        <v>Male</v>
      </c>
      <c r="G465">
        <v>21</v>
      </c>
      <c r="H465">
        <v>0</v>
      </c>
      <c r="I465">
        <v>0</v>
      </c>
      <c r="J465">
        <v>2</v>
      </c>
      <c r="K465">
        <v>0</v>
      </c>
      <c r="L465">
        <f t="shared" si="36"/>
        <v>0</v>
      </c>
      <c r="M465">
        <f t="shared" si="37"/>
        <v>21</v>
      </c>
      <c r="N465" t="str">
        <f t="shared" si="38"/>
        <v>Adult</v>
      </c>
      <c r="O465">
        <f t="shared" si="39"/>
        <v>0</v>
      </c>
    </row>
    <row r="466" spans="1:15" x14ac:dyDescent="0.3">
      <c r="A466">
        <v>465</v>
      </c>
      <c r="B466">
        <v>0</v>
      </c>
      <c r="C466" t="str">
        <f t="shared" si="35"/>
        <v>No</v>
      </c>
      <c r="D466" t="s">
        <v>956</v>
      </c>
      <c r="E466" t="s">
        <v>1430</v>
      </c>
      <c r="F466" t="str" cm="1">
        <f t="array" ref="F466">IF(OR(COUNTIF(D466,"*"&amp;$T$9:$T$15&amp;"*")),"Female","Male")</f>
        <v>Male</v>
      </c>
      <c r="G466">
        <v>56</v>
      </c>
      <c r="H466">
        <v>0</v>
      </c>
      <c r="I466">
        <v>0</v>
      </c>
      <c r="J466">
        <v>1</v>
      </c>
      <c r="K466">
        <v>26.55</v>
      </c>
      <c r="L466">
        <f t="shared" si="36"/>
        <v>0</v>
      </c>
      <c r="M466">
        <f t="shared" si="37"/>
        <v>56</v>
      </c>
      <c r="N466" t="str">
        <f t="shared" si="38"/>
        <v>Adult</v>
      </c>
      <c r="O466">
        <f t="shared" si="39"/>
        <v>26.55</v>
      </c>
    </row>
    <row r="467" spans="1:15" x14ac:dyDescent="0.3">
      <c r="A467">
        <v>466</v>
      </c>
      <c r="B467">
        <v>0</v>
      </c>
      <c r="C467" t="str">
        <f t="shared" si="35"/>
        <v>No</v>
      </c>
      <c r="D467" t="s">
        <v>956</v>
      </c>
      <c r="E467" t="s">
        <v>1431</v>
      </c>
      <c r="F467" t="str" cm="1">
        <f t="array" ref="F467">IF(OR(COUNTIF(D467,"*"&amp;$T$9:$T$15&amp;"*")),"Female","Male")</f>
        <v>Male</v>
      </c>
      <c r="G467">
        <v>22</v>
      </c>
      <c r="H467">
        <v>0</v>
      </c>
      <c r="I467">
        <v>0</v>
      </c>
      <c r="J467">
        <v>3</v>
      </c>
      <c r="K467">
        <v>7.7249999999999996</v>
      </c>
      <c r="L467">
        <f t="shared" si="36"/>
        <v>0</v>
      </c>
      <c r="M467">
        <f t="shared" si="37"/>
        <v>22</v>
      </c>
      <c r="N467" t="str">
        <f t="shared" si="38"/>
        <v>Adult</v>
      </c>
      <c r="O467">
        <f t="shared" si="39"/>
        <v>7.73</v>
      </c>
    </row>
    <row r="468" spans="1:15" x14ac:dyDescent="0.3">
      <c r="A468">
        <v>467</v>
      </c>
      <c r="B468">
        <v>1</v>
      </c>
      <c r="C468" t="str">
        <f t="shared" si="35"/>
        <v>Yes</v>
      </c>
      <c r="D468" t="s">
        <v>960</v>
      </c>
      <c r="E468" t="s">
        <v>1432</v>
      </c>
      <c r="F468" t="str" cm="1">
        <f t="array" ref="F468">IF(OR(COUNTIF(D468,"*"&amp;$T$9:$T$15&amp;"*")),"Female","Male")</f>
        <v>Female</v>
      </c>
      <c r="G468">
        <v>0.75</v>
      </c>
      <c r="H468">
        <v>2</v>
      </c>
      <c r="I468">
        <v>1</v>
      </c>
      <c r="J468">
        <v>3</v>
      </c>
      <c r="K468">
        <v>19.258299999999998</v>
      </c>
      <c r="L468">
        <f t="shared" si="36"/>
        <v>1</v>
      </c>
      <c r="M468">
        <f t="shared" si="37"/>
        <v>1</v>
      </c>
      <c r="N468" t="str">
        <f t="shared" si="38"/>
        <v>Child</v>
      </c>
      <c r="O468">
        <f t="shared" si="39"/>
        <v>19.260000000000002</v>
      </c>
    </row>
    <row r="469" spans="1:15" x14ac:dyDescent="0.3">
      <c r="A469">
        <v>468</v>
      </c>
      <c r="B469">
        <v>0</v>
      </c>
      <c r="C469" t="str">
        <f t="shared" si="35"/>
        <v>No</v>
      </c>
      <c r="D469" t="s">
        <v>956</v>
      </c>
      <c r="E469" t="s">
        <v>1433</v>
      </c>
      <c r="F469" t="str" cm="1">
        <f t="array" ref="F469">IF(OR(COUNTIF(D469,"*"&amp;$T$9:$T$15&amp;"*")),"Female","Male")</f>
        <v>Male</v>
      </c>
      <c r="G469">
        <v>39</v>
      </c>
      <c r="H469">
        <v>0</v>
      </c>
      <c r="I469">
        <v>0</v>
      </c>
      <c r="J469">
        <v>3</v>
      </c>
      <c r="K469">
        <v>7.25</v>
      </c>
      <c r="L469">
        <f t="shared" si="36"/>
        <v>0</v>
      </c>
      <c r="M469">
        <f t="shared" si="37"/>
        <v>39</v>
      </c>
      <c r="N469" t="str">
        <f t="shared" si="38"/>
        <v>Adult</v>
      </c>
      <c r="O469">
        <f t="shared" si="39"/>
        <v>7.25</v>
      </c>
    </row>
    <row r="470" spans="1:15" x14ac:dyDescent="0.3">
      <c r="A470">
        <v>469</v>
      </c>
      <c r="B470">
        <v>0</v>
      </c>
      <c r="C470" t="str">
        <f t="shared" si="35"/>
        <v>No</v>
      </c>
      <c r="D470" t="s">
        <v>956</v>
      </c>
      <c r="E470" t="s">
        <v>1434</v>
      </c>
      <c r="F470" t="str" cm="1">
        <f t="array" ref="F470">IF(OR(COUNTIF(D470,"*"&amp;$T$9:$T$15&amp;"*")),"Female","Male")</f>
        <v>Male</v>
      </c>
      <c r="G470">
        <v>38</v>
      </c>
      <c r="H470">
        <v>0</v>
      </c>
      <c r="I470">
        <v>0</v>
      </c>
      <c r="J470">
        <v>3</v>
      </c>
      <c r="K470">
        <v>8.6624999999999996</v>
      </c>
      <c r="L470">
        <f t="shared" si="36"/>
        <v>0</v>
      </c>
      <c r="M470">
        <f t="shared" si="37"/>
        <v>38</v>
      </c>
      <c r="N470" t="str">
        <f t="shared" si="38"/>
        <v>Adult</v>
      </c>
      <c r="O470">
        <f t="shared" si="39"/>
        <v>8.66</v>
      </c>
    </row>
    <row r="471" spans="1:15" x14ac:dyDescent="0.3">
      <c r="A471">
        <v>470</v>
      </c>
      <c r="B471">
        <v>1</v>
      </c>
      <c r="C471" t="str">
        <f t="shared" si="35"/>
        <v>Yes</v>
      </c>
      <c r="D471" t="s">
        <v>958</v>
      </c>
      <c r="E471" t="s">
        <v>1435</v>
      </c>
      <c r="F471" t="str" cm="1">
        <f t="array" ref="F471">IF(OR(COUNTIF(D471,"*"&amp;$T$9:$T$15&amp;"*")),"Female","Male")</f>
        <v>Female</v>
      </c>
      <c r="G471">
        <v>33</v>
      </c>
      <c r="H471">
        <v>1</v>
      </c>
      <c r="I471">
        <v>2</v>
      </c>
      <c r="J471">
        <v>2</v>
      </c>
      <c r="K471">
        <v>27.75</v>
      </c>
      <c r="L471">
        <f t="shared" si="36"/>
        <v>1</v>
      </c>
      <c r="M471">
        <f t="shared" si="37"/>
        <v>33</v>
      </c>
      <c r="N471" t="str">
        <f t="shared" si="38"/>
        <v>Adult</v>
      </c>
      <c r="O471">
        <f t="shared" si="39"/>
        <v>27.75</v>
      </c>
    </row>
    <row r="472" spans="1:15" x14ac:dyDescent="0.3">
      <c r="A472">
        <v>471</v>
      </c>
      <c r="B472">
        <v>1</v>
      </c>
      <c r="C472" t="str">
        <f t="shared" si="35"/>
        <v>Yes</v>
      </c>
      <c r="D472" t="s">
        <v>958</v>
      </c>
      <c r="E472" t="s">
        <v>1436</v>
      </c>
      <c r="F472" t="str" cm="1">
        <f t="array" ref="F472">IF(OR(COUNTIF(D472,"*"&amp;$T$9:$T$15&amp;"*")),"Female","Male")</f>
        <v>Female</v>
      </c>
      <c r="G472">
        <v>23</v>
      </c>
      <c r="H472">
        <v>0</v>
      </c>
      <c r="I472">
        <v>0</v>
      </c>
      <c r="J472">
        <v>2</v>
      </c>
      <c r="K472">
        <v>13.791700000000001</v>
      </c>
      <c r="L472">
        <f t="shared" si="36"/>
        <v>1</v>
      </c>
      <c r="M472">
        <f t="shared" si="37"/>
        <v>23</v>
      </c>
      <c r="N472" t="str">
        <f t="shared" si="38"/>
        <v>Adult</v>
      </c>
      <c r="O472">
        <f t="shared" si="39"/>
        <v>13.79</v>
      </c>
    </row>
    <row r="473" spans="1:15" x14ac:dyDescent="0.3">
      <c r="A473">
        <v>472</v>
      </c>
      <c r="B473">
        <v>0</v>
      </c>
      <c r="C473" t="str">
        <f t="shared" si="35"/>
        <v>No</v>
      </c>
      <c r="D473" t="s">
        <v>960</v>
      </c>
      <c r="E473" t="s">
        <v>1437</v>
      </c>
      <c r="F473" t="str" cm="1">
        <f t="array" ref="F473">IF(OR(COUNTIF(D473,"*"&amp;$T$9:$T$15&amp;"*")),"Female","Male")</f>
        <v>Female</v>
      </c>
      <c r="G473">
        <v>22</v>
      </c>
      <c r="H473">
        <v>0</v>
      </c>
      <c r="I473">
        <v>0</v>
      </c>
      <c r="J473">
        <v>3</v>
      </c>
      <c r="K473">
        <v>9.8375000000000004</v>
      </c>
      <c r="L473">
        <f t="shared" si="36"/>
        <v>1</v>
      </c>
      <c r="M473">
        <f t="shared" si="37"/>
        <v>22</v>
      </c>
      <c r="N473" t="str">
        <f t="shared" si="38"/>
        <v>Adult</v>
      </c>
      <c r="O473">
        <f t="shared" si="39"/>
        <v>9.84</v>
      </c>
    </row>
    <row r="474" spans="1:15" x14ac:dyDescent="0.3">
      <c r="A474">
        <v>473</v>
      </c>
      <c r="B474">
        <v>0</v>
      </c>
      <c r="C474" t="str">
        <f t="shared" si="35"/>
        <v>No</v>
      </c>
      <c r="D474" t="s">
        <v>956</v>
      </c>
      <c r="E474" t="s">
        <v>1438</v>
      </c>
      <c r="F474" t="str" cm="1">
        <f t="array" ref="F474">IF(OR(COUNTIF(D474,"*"&amp;$T$9:$T$15&amp;"*")),"Female","Male")</f>
        <v>Male</v>
      </c>
      <c r="G474">
        <v>40</v>
      </c>
      <c r="H474">
        <v>0</v>
      </c>
      <c r="I474">
        <v>0</v>
      </c>
      <c r="J474">
        <v>1</v>
      </c>
      <c r="K474">
        <v>52</v>
      </c>
      <c r="L474">
        <f t="shared" si="36"/>
        <v>0</v>
      </c>
      <c r="M474">
        <f t="shared" si="37"/>
        <v>40</v>
      </c>
      <c r="N474" t="str">
        <f t="shared" si="38"/>
        <v>Adult</v>
      </c>
      <c r="O474">
        <f t="shared" si="39"/>
        <v>52</v>
      </c>
    </row>
    <row r="475" spans="1:15" x14ac:dyDescent="0.3">
      <c r="A475">
        <v>474</v>
      </c>
      <c r="B475">
        <v>0</v>
      </c>
      <c r="C475" t="str">
        <f t="shared" si="35"/>
        <v>No</v>
      </c>
      <c r="D475" t="s">
        <v>956</v>
      </c>
      <c r="E475" t="s">
        <v>1439</v>
      </c>
      <c r="F475" t="str" cm="1">
        <f t="array" ref="F475">IF(OR(COUNTIF(D475,"*"&amp;$T$9:$T$15&amp;"*")),"Female","Male")</f>
        <v>Male</v>
      </c>
      <c r="G475">
        <v>34</v>
      </c>
      <c r="H475">
        <v>1</v>
      </c>
      <c r="I475">
        <v>0</v>
      </c>
      <c r="J475">
        <v>2</v>
      </c>
      <c r="K475">
        <v>21</v>
      </c>
      <c r="L475">
        <f t="shared" si="36"/>
        <v>0</v>
      </c>
      <c r="M475">
        <f t="shared" si="37"/>
        <v>34</v>
      </c>
      <c r="N475" t="str">
        <f t="shared" si="38"/>
        <v>Adult</v>
      </c>
      <c r="O475">
        <f t="shared" si="39"/>
        <v>21</v>
      </c>
    </row>
    <row r="476" spans="1:15" x14ac:dyDescent="0.3">
      <c r="A476">
        <v>475</v>
      </c>
      <c r="B476">
        <v>0</v>
      </c>
      <c r="C476" t="str">
        <f t="shared" si="35"/>
        <v>No</v>
      </c>
      <c r="D476" t="s">
        <v>956</v>
      </c>
      <c r="E476" t="s">
        <v>1440</v>
      </c>
      <c r="F476" t="str" cm="1">
        <f t="array" ref="F476">IF(OR(COUNTIF(D476,"*"&amp;$T$9:$T$15&amp;"*")),"Female","Male")</f>
        <v>Male</v>
      </c>
      <c r="G476">
        <v>29</v>
      </c>
      <c r="H476">
        <v>1</v>
      </c>
      <c r="I476">
        <v>0</v>
      </c>
      <c r="J476">
        <v>3</v>
      </c>
      <c r="K476">
        <v>7.0457999999999998</v>
      </c>
      <c r="L476">
        <f t="shared" si="36"/>
        <v>0</v>
      </c>
      <c r="M476">
        <f t="shared" si="37"/>
        <v>29</v>
      </c>
      <c r="N476" t="str">
        <f t="shared" si="38"/>
        <v>Adult</v>
      </c>
      <c r="O476">
        <f t="shared" si="39"/>
        <v>7.05</v>
      </c>
    </row>
    <row r="477" spans="1:15" x14ac:dyDescent="0.3">
      <c r="A477">
        <v>476</v>
      </c>
      <c r="B477">
        <v>0</v>
      </c>
      <c r="C477" t="str">
        <f t="shared" si="35"/>
        <v>No</v>
      </c>
      <c r="D477" t="s">
        <v>956</v>
      </c>
      <c r="E477" t="s">
        <v>1441</v>
      </c>
      <c r="F477" t="str" cm="1">
        <f t="array" ref="F477">IF(OR(COUNTIF(D477,"*"&amp;$T$9:$T$15&amp;"*")),"Female","Male")</f>
        <v>Male</v>
      </c>
      <c r="G477">
        <v>22</v>
      </c>
      <c r="H477">
        <v>0</v>
      </c>
      <c r="I477">
        <v>0</v>
      </c>
      <c r="J477">
        <v>3</v>
      </c>
      <c r="K477">
        <v>7.5208000000000004</v>
      </c>
      <c r="L477">
        <f t="shared" si="36"/>
        <v>0</v>
      </c>
      <c r="M477">
        <f t="shared" si="37"/>
        <v>22</v>
      </c>
      <c r="N477" t="str">
        <f t="shared" si="38"/>
        <v>Adult</v>
      </c>
      <c r="O477">
        <f t="shared" si="39"/>
        <v>7.52</v>
      </c>
    </row>
    <row r="478" spans="1:15" x14ac:dyDescent="0.3">
      <c r="A478">
        <v>477</v>
      </c>
      <c r="B478">
        <v>1</v>
      </c>
      <c r="C478" t="str">
        <f t="shared" si="35"/>
        <v>Yes</v>
      </c>
      <c r="D478" t="s">
        <v>960</v>
      </c>
      <c r="E478" t="s">
        <v>1442</v>
      </c>
      <c r="F478" t="str" cm="1">
        <f t="array" ref="F478">IF(OR(COUNTIF(D478,"*"&amp;$T$9:$T$15&amp;"*")),"Female","Male")</f>
        <v>Female</v>
      </c>
      <c r="G478">
        <v>2</v>
      </c>
      <c r="H478">
        <v>0</v>
      </c>
      <c r="I478">
        <v>1</v>
      </c>
      <c r="J478">
        <v>3</v>
      </c>
      <c r="K478">
        <v>12.2875</v>
      </c>
      <c r="L478">
        <f t="shared" si="36"/>
        <v>1</v>
      </c>
      <c r="M478">
        <f t="shared" si="37"/>
        <v>2</v>
      </c>
      <c r="N478" t="str">
        <f t="shared" si="38"/>
        <v>Child</v>
      </c>
      <c r="O478">
        <f t="shared" si="39"/>
        <v>12.29</v>
      </c>
    </row>
    <row r="479" spans="1:15" x14ac:dyDescent="0.3">
      <c r="A479">
        <v>478</v>
      </c>
      <c r="B479">
        <v>0</v>
      </c>
      <c r="C479" t="str">
        <f t="shared" si="35"/>
        <v>No</v>
      </c>
      <c r="D479" t="s">
        <v>966</v>
      </c>
      <c r="E479" t="s">
        <v>1443</v>
      </c>
      <c r="F479" t="str" cm="1">
        <f t="array" ref="F479">IF(OR(COUNTIF(D479,"*"&amp;$T$9:$T$15&amp;"*")),"Female","Male")</f>
        <v>Male</v>
      </c>
      <c r="G479">
        <v>9</v>
      </c>
      <c r="H479">
        <v>5</v>
      </c>
      <c r="I479">
        <v>2</v>
      </c>
      <c r="J479">
        <v>3</v>
      </c>
      <c r="K479">
        <v>46.9</v>
      </c>
      <c r="L479">
        <f t="shared" si="36"/>
        <v>0</v>
      </c>
      <c r="M479">
        <f t="shared" si="37"/>
        <v>9</v>
      </c>
      <c r="N479" t="str">
        <f t="shared" si="38"/>
        <v>Child</v>
      </c>
      <c r="O479">
        <f t="shared" si="39"/>
        <v>46.9</v>
      </c>
    </row>
    <row r="480" spans="1:15" x14ac:dyDescent="0.3">
      <c r="A480">
        <v>479</v>
      </c>
      <c r="B480">
        <v>0</v>
      </c>
      <c r="C480" t="str">
        <f t="shared" si="35"/>
        <v>No</v>
      </c>
      <c r="D480" t="s">
        <v>956</v>
      </c>
      <c r="E480" t="s">
        <v>1444</v>
      </c>
      <c r="F480" t="str" cm="1">
        <f t="array" ref="F480">IF(OR(COUNTIF(D480,"*"&amp;$T$9:$T$15&amp;"*")),"Female","Male")</f>
        <v>Male</v>
      </c>
      <c r="G480">
        <v>37</v>
      </c>
      <c r="H480">
        <v>0</v>
      </c>
      <c r="I480">
        <v>0</v>
      </c>
      <c r="J480">
        <v>2</v>
      </c>
      <c r="K480">
        <v>0</v>
      </c>
      <c r="L480">
        <f t="shared" si="36"/>
        <v>0</v>
      </c>
      <c r="M480">
        <f t="shared" si="37"/>
        <v>37</v>
      </c>
      <c r="N480" t="str">
        <f t="shared" si="38"/>
        <v>Adult</v>
      </c>
      <c r="O480">
        <f t="shared" si="39"/>
        <v>0</v>
      </c>
    </row>
    <row r="481" spans="1:15" x14ac:dyDescent="0.3">
      <c r="A481">
        <v>480</v>
      </c>
      <c r="B481">
        <v>0</v>
      </c>
      <c r="C481" t="str">
        <f t="shared" si="35"/>
        <v>No</v>
      </c>
      <c r="D481" t="s">
        <v>956</v>
      </c>
      <c r="E481" t="s">
        <v>1445</v>
      </c>
      <c r="F481" t="str" cm="1">
        <f t="array" ref="F481">IF(OR(COUNTIF(D481,"*"&amp;$T$9:$T$15&amp;"*")),"Female","Male")</f>
        <v>Male</v>
      </c>
      <c r="G481">
        <v>50</v>
      </c>
      <c r="H481">
        <v>0</v>
      </c>
      <c r="I481">
        <v>0</v>
      </c>
      <c r="J481">
        <v>3</v>
      </c>
      <c r="K481">
        <v>8.0500000000000007</v>
      </c>
      <c r="L481">
        <f t="shared" si="36"/>
        <v>0</v>
      </c>
      <c r="M481">
        <f t="shared" si="37"/>
        <v>50</v>
      </c>
      <c r="N481" t="str">
        <f t="shared" si="38"/>
        <v>Adult</v>
      </c>
      <c r="O481">
        <f t="shared" si="39"/>
        <v>8.0500000000000007</v>
      </c>
    </row>
    <row r="482" spans="1:15" x14ac:dyDescent="0.3">
      <c r="A482">
        <v>481</v>
      </c>
      <c r="B482">
        <v>1</v>
      </c>
      <c r="C482" t="str">
        <f t="shared" si="35"/>
        <v>Yes</v>
      </c>
      <c r="D482" t="s">
        <v>958</v>
      </c>
      <c r="E482" t="s">
        <v>1446</v>
      </c>
      <c r="F482" t="str" cm="1">
        <f t="array" ref="F482">IF(OR(COUNTIF(D482,"*"&amp;$T$9:$T$15&amp;"*")),"Female","Male")</f>
        <v>Female</v>
      </c>
      <c r="G482">
        <v>63</v>
      </c>
      <c r="H482">
        <v>0</v>
      </c>
      <c r="I482">
        <v>0</v>
      </c>
      <c r="J482">
        <v>3</v>
      </c>
      <c r="K482">
        <v>9.5875000000000004</v>
      </c>
      <c r="L482">
        <f t="shared" si="36"/>
        <v>1</v>
      </c>
      <c r="M482">
        <f t="shared" si="37"/>
        <v>63</v>
      </c>
      <c r="N482" t="str">
        <f t="shared" si="38"/>
        <v>Adult</v>
      </c>
      <c r="O482">
        <f t="shared" si="39"/>
        <v>9.59</v>
      </c>
    </row>
    <row r="483" spans="1:15" x14ac:dyDescent="0.3">
      <c r="A483">
        <v>482</v>
      </c>
      <c r="B483">
        <v>1</v>
      </c>
      <c r="C483" t="str">
        <f t="shared" si="35"/>
        <v>Yes</v>
      </c>
      <c r="D483" t="s">
        <v>956</v>
      </c>
      <c r="E483" t="s">
        <v>1447</v>
      </c>
      <c r="F483" t="str" cm="1">
        <f t="array" ref="F483">IF(OR(COUNTIF(D483,"*"&amp;$T$9:$T$15&amp;"*")),"Female","Male")</f>
        <v>Male</v>
      </c>
      <c r="G483">
        <v>25</v>
      </c>
      <c r="H483">
        <v>1</v>
      </c>
      <c r="I483">
        <v>0</v>
      </c>
      <c r="J483">
        <v>1</v>
      </c>
      <c r="K483">
        <v>91.0792</v>
      </c>
      <c r="L483">
        <f t="shared" si="36"/>
        <v>0</v>
      </c>
      <c r="M483">
        <f t="shared" si="37"/>
        <v>25</v>
      </c>
      <c r="N483" t="str">
        <f t="shared" si="38"/>
        <v>Adult</v>
      </c>
      <c r="O483">
        <f t="shared" si="39"/>
        <v>91.08</v>
      </c>
    </row>
    <row r="484" spans="1:15" x14ac:dyDescent="0.3">
      <c r="A484">
        <v>483</v>
      </c>
      <c r="B484">
        <v>0</v>
      </c>
      <c r="C484" t="str">
        <f t="shared" si="35"/>
        <v>No</v>
      </c>
      <c r="D484" t="s">
        <v>960</v>
      </c>
      <c r="E484" t="s">
        <v>1448</v>
      </c>
      <c r="F484" t="str" cm="1">
        <f t="array" ref="F484">IF(OR(COUNTIF(D484,"*"&amp;$T$9:$T$15&amp;"*")),"Female","Male")</f>
        <v>Female</v>
      </c>
      <c r="G484">
        <v>8</v>
      </c>
      <c r="H484">
        <v>3</v>
      </c>
      <c r="I484">
        <v>1</v>
      </c>
      <c r="J484">
        <v>3</v>
      </c>
      <c r="K484">
        <v>25.466699999999999</v>
      </c>
      <c r="L484">
        <f t="shared" si="36"/>
        <v>1</v>
      </c>
      <c r="M484">
        <f t="shared" si="37"/>
        <v>8</v>
      </c>
      <c r="N484" t="str">
        <f t="shared" si="38"/>
        <v>Child</v>
      </c>
      <c r="O484">
        <f t="shared" si="39"/>
        <v>25.47</v>
      </c>
    </row>
    <row r="485" spans="1:15" x14ac:dyDescent="0.3">
      <c r="A485">
        <v>484</v>
      </c>
      <c r="B485">
        <v>1</v>
      </c>
      <c r="C485" t="str">
        <f t="shared" si="35"/>
        <v>Yes</v>
      </c>
      <c r="D485" t="s">
        <v>958</v>
      </c>
      <c r="E485" t="s">
        <v>1449</v>
      </c>
      <c r="F485" t="str" cm="1">
        <f t="array" ref="F485">IF(OR(COUNTIF(D485,"*"&amp;$T$9:$T$15&amp;"*")),"Female","Male")</f>
        <v>Female</v>
      </c>
      <c r="G485">
        <v>35</v>
      </c>
      <c r="H485">
        <v>1</v>
      </c>
      <c r="I485">
        <v>0</v>
      </c>
      <c r="J485">
        <v>1</v>
      </c>
      <c r="K485">
        <v>90</v>
      </c>
      <c r="L485">
        <f t="shared" si="36"/>
        <v>1</v>
      </c>
      <c r="M485">
        <f t="shared" si="37"/>
        <v>35</v>
      </c>
      <c r="N485" t="str">
        <f t="shared" si="38"/>
        <v>Adult</v>
      </c>
      <c r="O485">
        <f t="shared" si="39"/>
        <v>90</v>
      </c>
    </row>
    <row r="486" spans="1:15" x14ac:dyDescent="0.3">
      <c r="A486">
        <v>485</v>
      </c>
      <c r="B486">
        <v>0</v>
      </c>
      <c r="C486" t="str">
        <f t="shared" si="35"/>
        <v>No</v>
      </c>
      <c r="D486" t="s">
        <v>956</v>
      </c>
      <c r="E486" t="s">
        <v>1450</v>
      </c>
      <c r="F486" t="str" cm="1">
        <f t="array" ref="F486">IF(OR(COUNTIF(D486,"*"&amp;$T$9:$T$15&amp;"*")),"Female","Male")</f>
        <v>Male</v>
      </c>
      <c r="G486">
        <v>58</v>
      </c>
      <c r="H486">
        <v>0</v>
      </c>
      <c r="I486">
        <v>0</v>
      </c>
      <c r="J486">
        <v>1</v>
      </c>
      <c r="K486">
        <v>29.7</v>
      </c>
      <c r="L486">
        <f t="shared" si="36"/>
        <v>0</v>
      </c>
      <c r="M486">
        <f t="shared" si="37"/>
        <v>58</v>
      </c>
      <c r="N486" t="str">
        <f t="shared" si="38"/>
        <v>Adult</v>
      </c>
      <c r="O486">
        <f t="shared" si="39"/>
        <v>29.7</v>
      </c>
    </row>
    <row r="487" spans="1:15" x14ac:dyDescent="0.3">
      <c r="A487">
        <v>486</v>
      </c>
      <c r="B487">
        <v>0</v>
      </c>
      <c r="C487" t="str">
        <f t="shared" si="35"/>
        <v>No</v>
      </c>
      <c r="D487" t="s">
        <v>956</v>
      </c>
      <c r="E487" t="s">
        <v>1451</v>
      </c>
      <c r="F487" t="str" cm="1">
        <f t="array" ref="F487">IF(OR(COUNTIF(D487,"*"&amp;$T$9:$T$15&amp;"*")),"Female","Male")</f>
        <v>Male</v>
      </c>
      <c r="G487">
        <v>30</v>
      </c>
      <c r="H487">
        <v>0</v>
      </c>
      <c r="I487">
        <v>0</v>
      </c>
      <c r="J487">
        <v>3</v>
      </c>
      <c r="K487">
        <v>8.0500000000000007</v>
      </c>
      <c r="L487">
        <f t="shared" si="36"/>
        <v>0</v>
      </c>
      <c r="M487">
        <f t="shared" si="37"/>
        <v>30</v>
      </c>
      <c r="N487" t="str">
        <f t="shared" si="38"/>
        <v>Adult</v>
      </c>
      <c r="O487">
        <f t="shared" si="39"/>
        <v>8.0500000000000007</v>
      </c>
    </row>
    <row r="488" spans="1:15" x14ac:dyDescent="0.3">
      <c r="A488">
        <v>487</v>
      </c>
      <c r="B488">
        <v>1</v>
      </c>
      <c r="C488" t="str">
        <f t="shared" si="35"/>
        <v>Yes</v>
      </c>
      <c r="D488" t="s">
        <v>966</v>
      </c>
      <c r="E488" t="s">
        <v>1452</v>
      </c>
      <c r="F488" t="str" cm="1">
        <f t="array" ref="F488">IF(OR(COUNTIF(D488,"*"&amp;$T$9:$T$15&amp;"*")),"Female","Male")</f>
        <v>Male</v>
      </c>
      <c r="G488">
        <v>9</v>
      </c>
      <c r="H488">
        <v>1</v>
      </c>
      <c r="I488">
        <v>1</v>
      </c>
      <c r="J488">
        <v>3</v>
      </c>
      <c r="K488">
        <v>15.9</v>
      </c>
      <c r="L488">
        <f t="shared" si="36"/>
        <v>0</v>
      </c>
      <c r="M488">
        <f t="shared" si="37"/>
        <v>9</v>
      </c>
      <c r="N488" t="str">
        <f t="shared" si="38"/>
        <v>Child</v>
      </c>
      <c r="O488">
        <f t="shared" si="39"/>
        <v>15.9</v>
      </c>
    </row>
    <row r="489" spans="1:15" x14ac:dyDescent="0.3">
      <c r="A489">
        <v>488</v>
      </c>
      <c r="B489">
        <v>0</v>
      </c>
      <c r="C489" t="str">
        <f t="shared" si="35"/>
        <v>No</v>
      </c>
      <c r="D489" t="s">
        <v>956</v>
      </c>
      <c r="E489" t="s">
        <v>1453</v>
      </c>
      <c r="F489" t="str" cm="1">
        <f t="array" ref="F489">IF(OR(COUNTIF(D489,"*"&amp;$T$9:$T$15&amp;"*")),"Female","Male")</f>
        <v>Male</v>
      </c>
      <c r="G489">
        <v>19</v>
      </c>
      <c r="H489">
        <v>1</v>
      </c>
      <c r="I489">
        <v>0</v>
      </c>
      <c r="J489">
        <v>3</v>
      </c>
      <c r="K489">
        <v>19.966699999999999</v>
      </c>
      <c r="L489">
        <f t="shared" si="36"/>
        <v>0</v>
      </c>
      <c r="M489">
        <f t="shared" si="37"/>
        <v>19</v>
      </c>
      <c r="N489" t="str">
        <f t="shared" si="38"/>
        <v>Adult</v>
      </c>
      <c r="O489">
        <f t="shared" si="39"/>
        <v>19.97</v>
      </c>
    </row>
    <row r="490" spans="1:15" x14ac:dyDescent="0.3">
      <c r="A490">
        <v>489</v>
      </c>
      <c r="B490">
        <v>0</v>
      </c>
      <c r="C490" t="str">
        <f t="shared" si="35"/>
        <v>No</v>
      </c>
      <c r="D490" t="s">
        <v>956</v>
      </c>
      <c r="E490" t="s">
        <v>1454</v>
      </c>
      <c r="F490" t="str" cm="1">
        <f t="array" ref="F490">IF(OR(COUNTIF(D490,"*"&amp;$T$9:$T$15&amp;"*")),"Female","Male")</f>
        <v>Male</v>
      </c>
      <c r="G490">
        <v>21</v>
      </c>
      <c r="H490">
        <v>0</v>
      </c>
      <c r="I490">
        <v>0</v>
      </c>
      <c r="J490">
        <v>3</v>
      </c>
      <c r="K490">
        <v>7.25</v>
      </c>
      <c r="L490">
        <f t="shared" si="36"/>
        <v>0</v>
      </c>
      <c r="M490">
        <f t="shared" si="37"/>
        <v>21</v>
      </c>
      <c r="N490" t="str">
        <f t="shared" si="38"/>
        <v>Adult</v>
      </c>
      <c r="O490">
        <f t="shared" si="39"/>
        <v>7.25</v>
      </c>
    </row>
    <row r="491" spans="1:15" x14ac:dyDescent="0.3">
      <c r="A491">
        <v>490</v>
      </c>
      <c r="B491">
        <v>0</v>
      </c>
      <c r="C491" t="str">
        <f t="shared" si="35"/>
        <v>No</v>
      </c>
      <c r="D491" t="s">
        <v>956</v>
      </c>
      <c r="E491" t="s">
        <v>1455</v>
      </c>
      <c r="F491" t="str" cm="1">
        <f t="array" ref="F491">IF(OR(COUNTIF(D491,"*"&amp;$T$9:$T$15&amp;"*")),"Female","Male")</f>
        <v>Male</v>
      </c>
      <c r="G491">
        <v>55</v>
      </c>
      <c r="H491">
        <v>0</v>
      </c>
      <c r="I491">
        <v>0</v>
      </c>
      <c r="J491">
        <v>1</v>
      </c>
      <c r="K491">
        <v>30.5</v>
      </c>
      <c r="L491">
        <f t="shared" si="36"/>
        <v>0</v>
      </c>
      <c r="M491">
        <f t="shared" si="37"/>
        <v>55</v>
      </c>
      <c r="N491" t="str">
        <f t="shared" si="38"/>
        <v>Adult</v>
      </c>
      <c r="O491">
        <f t="shared" si="39"/>
        <v>30.5</v>
      </c>
    </row>
    <row r="492" spans="1:15" x14ac:dyDescent="0.3">
      <c r="A492">
        <v>491</v>
      </c>
      <c r="B492">
        <v>0</v>
      </c>
      <c r="C492" t="str">
        <f t="shared" si="35"/>
        <v>No</v>
      </c>
      <c r="D492" t="s">
        <v>956</v>
      </c>
      <c r="E492" t="s">
        <v>1456</v>
      </c>
      <c r="F492" t="str" cm="1">
        <f t="array" ref="F492">IF(OR(COUNTIF(D492,"*"&amp;$T$9:$T$15&amp;"*")),"Female","Male")</f>
        <v>Male</v>
      </c>
      <c r="G492">
        <v>71</v>
      </c>
      <c r="H492">
        <v>0</v>
      </c>
      <c r="I492">
        <v>0</v>
      </c>
      <c r="J492">
        <v>1</v>
      </c>
      <c r="K492">
        <v>49.504199999999997</v>
      </c>
      <c r="L492">
        <f t="shared" si="36"/>
        <v>0</v>
      </c>
      <c r="M492">
        <f t="shared" si="37"/>
        <v>71</v>
      </c>
      <c r="N492" t="str">
        <f t="shared" si="38"/>
        <v>Adult</v>
      </c>
      <c r="O492">
        <f t="shared" si="39"/>
        <v>49.5</v>
      </c>
    </row>
    <row r="493" spans="1:15" x14ac:dyDescent="0.3">
      <c r="A493">
        <v>492</v>
      </c>
      <c r="B493">
        <v>0</v>
      </c>
      <c r="C493" t="str">
        <f t="shared" si="35"/>
        <v>No</v>
      </c>
      <c r="D493" t="s">
        <v>956</v>
      </c>
      <c r="E493" t="s">
        <v>1457</v>
      </c>
      <c r="F493" t="str" cm="1">
        <f t="array" ref="F493">IF(OR(COUNTIF(D493,"*"&amp;$T$9:$T$15&amp;"*")),"Female","Male")</f>
        <v>Male</v>
      </c>
      <c r="G493">
        <v>21</v>
      </c>
      <c r="H493">
        <v>0</v>
      </c>
      <c r="I493">
        <v>0</v>
      </c>
      <c r="J493">
        <v>3</v>
      </c>
      <c r="K493">
        <v>8.0500000000000007</v>
      </c>
      <c r="L493">
        <f t="shared" si="36"/>
        <v>0</v>
      </c>
      <c r="M493">
        <f t="shared" si="37"/>
        <v>21</v>
      </c>
      <c r="N493" t="str">
        <f t="shared" si="38"/>
        <v>Adult</v>
      </c>
      <c r="O493">
        <f t="shared" si="39"/>
        <v>8.0500000000000007</v>
      </c>
    </row>
    <row r="494" spans="1:15" x14ac:dyDescent="0.3">
      <c r="A494">
        <v>493</v>
      </c>
      <c r="B494">
        <v>0</v>
      </c>
      <c r="C494" t="str">
        <f t="shared" si="35"/>
        <v>No</v>
      </c>
      <c r="D494" t="s">
        <v>956</v>
      </c>
      <c r="E494" t="s">
        <v>1458</v>
      </c>
      <c r="F494" t="str" cm="1">
        <f t="array" ref="F494">IF(OR(COUNTIF(D494,"*"&amp;$T$9:$T$15&amp;"*")),"Female","Male")</f>
        <v>Male</v>
      </c>
      <c r="G494">
        <v>26</v>
      </c>
      <c r="H494">
        <v>0</v>
      </c>
      <c r="I494">
        <v>0</v>
      </c>
      <c r="J494">
        <v>3</v>
      </c>
      <c r="K494">
        <v>14.458299999999999</v>
      </c>
      <c r="L494">
        <f t="shared" si="36"/>
        <v>0</v>
      </c>
      <c r="M494">
        <f t="shared" si="37"/>
        <v>26</v>
      </c>
      <c r="N494" t="str">
        <f t="shared" si="38"/>
        <v>Adult</v>
      </c>
      <c r="O494">
        <f t="shared" si="39"/>
        <v>14.46</v>
      </c>
    </row>
    <row r="495" spans="1:15" x14ac:dyDescent="0.3">
      <c r="A495">
        <v>494</v>
      </c>
      <c r="B495">
        <v>1</v>
      </c>
      <c r="C495" t="str">
        <f t="shared" si="35"/>
        <v>Yes</v>
      </c>
      <c r="D495" t="s">
        <v>960</v>
      </c>
      <c r="E495" t="s">
        <v>1459</v>
      </c>
      <c r="F495" t="str" cm="1">
        <f t="array" ref="F495">IF(OR(COUNTIF(D495,"*"&amp;$T$9:$T$15&amp;"*")),"Female","Male")</f>
        <v>Female</v>
      </c>
      <c r="G495">
        <v>54</v>
      </c>
      <c r="H495">
        <v>1</v>
      </c>
      <c r="I495">
        <v>0</v>
      </c>
      <c r="J495">
        <v>1</v>
      </c>
      <c r="K495">
        <v>78.2667</v>
      </c>
      <c r="L495">
        <f t="shared" si="36"/>
        <v>1</v>
      </c>
      <c r="M495">
        <f t="shared" si="37"/>
        <v>54</v>
      </c>
      <c r="N495" t="str">
        <f t="shared" si="38"/>
        <v>Adult</v>
      </c>
      <c r="O495">
        <f t="shared" si="39"/>
        <v>78.27</v>
      </c>
    </row>
    <row r="496" spans="1:15" x14ac:dyDescent="0.3">
      <c r="A496">
        <v>495</v>
      </c>
      <c r="B496">
        <v>0</v>
      </c>
      <c r="C496" t="str">
        <f t="shared" si="35"/>
        <v>No</v>
      </c>
      <c r="D496" t="s">
        <v>956</v>
      </c>
      <c r="E496" t="s">
        <v>1460</v>
      </c>
      <c r="F496" t="str" cm="1">
        <f t="array" ref="F496">IF(OR(COUNTIF(D496,"*"&amp;$T$9:$T$15&amp;"*")),"Female","Male")</f>
        <v>Male</v>
      </c>
      <c r="G496">
        <v>55</v>
      </c>
      <c r="H496">
        <v>0</v>
      </c>
      <c r="I496">
        <v>0</v>
      </c>
      <c r="J496">
        <v>3</v>
      </c>
      <c r="K496">
        <v>15.1</v>
      </c>
      <c r="L496">
        <f t="shared" si="36"/>
        <v>0</v>
      </c>
      <c r="M496">
        <f t="shared" si="37"/>
        <v>55</v>
      </c>
      <c r="N496" t="str">
        <f t="shared" si="38"/>
        <v>Adult</v>
      </c>
      <c r="O496">
        <f t="shared" si="39"/>
        <v>15.1</v>
      </c>
    </row>
    <row r="497" spans="1:15" x14ac:dyDescent="0.3">
      <c r="A497">
        <v>496</v>
      </c>
      <c r="B497">
        <v>0</v>
      </c>
      <c r="C497" t="str">
        <f t="shared" si="35"/>
        <v>No</v>
      </c>
      <c r="D497" t="s">
        <v>958</v>
      </c>
      <c r="E497" t="s">
        <v>1461</v>
      </c>
      <c r="F497" t="str" cm="1">
        <f t="array" ref="F497">IF(OR(COUNTIF(D497,"*"&amp;$T$9:$T$15&amp;"*")),"Female","Male")</f>
        <v>Female</v>
      </c>
      <c r="G497">
        <v>25</v>
      </c>
      <c r="H497">
        <v>1</v>
      </c>
      <c r="I497">
        <v>2</v>
      </c>
      <c r="J497">
        <v>1</v>
      </c>
      <c r="K497">
        <v>151.55000000000001</v>
      </c>
      <c r="L497">
        <f t="shared" si="36"/>
        <v>1</v>
      </c>
      <c r="M497">
        <f t="shared" si="37"/>
        <v>25</v>
      </c>
      <c r="N497" t="str">
        <f t="shared" si="38"/>
        <v>Adult</v>
      </c>
      <c r="O497">
        <f t="shared" si="39"/>
        <v>151.55000000000001</v>
      </c>
    </row>
    <row r="498" spans="1:15" x14ac:dyDescent="0.3">
      <c r="A498">
        <v>497</v>
      </c>
      <c r="B498">
        <v>0</v>
      </c>
      <c r="C498" t="str">
        <f t="shared" si="35"/>
        <v>No</v>
      </c>
      <c r="D498" t="s">
        <v>956</v>
      </c>
      <c r="E498" t="s">
        <v>1462</v>
      </c>
      <c r="F498" t="str" cm="1">
        <f t="array" ref="F498">IF(OR(COUNTIF(D498,"*"&amp;$T$9:$T$15&amp;"*")),"Female","Male")</f>
        <v>Male</v>
      </c>
      <c r="G498">
        <v>24</v>
      </c>
      <c r="H498">
        <v>0</v>
      </c>
      <c r="I498">
        <v>0</v>
      </c>
      <c r="J498">
        <v>3</v>
      </c>
      <c r="K498">
        <v>7.7957999999999998</v>
      </c>
      <c r="L498">
        <f t="shared" si="36"/>
        <v>0</v>
      </c>
      <c r="M498">
        <f t="shared" si="37"/>
        <v>24</v>
      </c>
      <c r="N498" t="str">
        <f t="shared" si="38"/>
        <v>Adult</v>
      </c>
      <c r="O498">
        <f t="shared" si="39"/>
        <v>7.8</v>
      </c>
    </row>
    <row r="499" spans="1:15" x14ac:dyDescent="0.3">
      <c r="A499">
        <v>498</v>
      </c>
      <c r="B499">
        <v>0</v>
      </c>
      <c r="C499" t="str">
        <f t="shared" si="35"/>
        <v>No</v>
      </c>
      <c r="D499" t="s">
        <v>956</v>
      </c>
      <c r="E499" t="s">
        <v>1463</v>
      </c>
      <c r="F499" t="str" cm="1">
        <f t="array" ref="F499">IF(OR(COUNTIF(D499,"*"&amp;$T$9:$T$15&amp;"*")),"Female","Male")</f>
        <v>Male</v>
      </c>
      <c r="G499">
        <v>17</v>
      </c>
      <c r="H499">
        <v>0</v>
      </c>
      <c r="I499">
        <v>0</v>
      </c>
      <c r="J499">
        <v>3</v>
      </c>
      <c r="K499">
        <v>8.6624999999999996</v>
      </c>
      <c r="L499">
        <f t="shared" si="36"/>
        <v>0</v>
      </c>
      <c r="M499">
        <f t="shared" si="37"/>
        <v>17</v>
      </c>
      <c r="N499" t="str">
        <f t="shared" si="38"/>
        <v>Adult</v>
      </c>
      <c r="O499">
        <f t="shared" si="39"/>
        <v>8.66</v>
      </c>
    </row>
    <row r="500" spans="1:15" x14ac:dyDescent="0.3">
      <c r="A500">
        <v>499</v>
      </c>
      <c r="B500">
        <v>0</v>
      </c>
      <c r="C500" t="str">
        <f t="shared" si="35"/>
        <v>No</v>
      </c>
      <c r="D500" t="s">
        <v>960</v>
      </c>
      <c r="E500" t="s">
        <v>1464</v>
      </c>
      <c r="F500" t="str" cm="1">
        <f t="array" ref="F500">IF(OR(COUNTIF(D500,"*"&amp;$T$9:$T$15&amp;"*")),"Female","Male")</f>
        <v>Female</v>
      </c>
      <c r="G500">
        <v>21</v>
      </c>
      <c r="H500">
        <v>0</v>
      </c>
      <c r="I500">
        <v>0</v>
      </c>
      <c r="J500">
        <v>3</v>
      </c>
      <c r="K500">
        <v>7.75</v>
      </c>
      <c r="L500">
        <f t="shared" si="36"/>
        <v>1</v>
      </c>
      <c r="M500">
        <f t="shared" si="37"/>
        <v>21</v>
      </c>
      <c r="N500" t="str">
        <f t="shared" si="38"/>
        <v>Adult</v>
      </c>
      <c r="O500">
        <f t="shared" si="39"/>
        <v>7.75</v>
      </c>
    </row>
    <row r="501" spans="1:15" x14ac:dyDescent="0.3">
      <c r="A501">
        <v>500</v>
      </c>
      <c r="B501">
        <v>0</v>
      </c>
      <c r="C501" t="str">
        <f t="shared" si="35"/>
        <v>No</v>
      </c>
      <c r="D501" t="s">
        <v>960</v>
      </c>
      <c r="E501" t="s">
        <v>1465</v>
      </c>
      <c r="F501" t="str" cm="1">
        <f t="array" ref="F501">IF(OR(COUNTIF(D501,"*"&amp;$T$9:$T$15&amp;"*")),"Female","Male")</f>
        <v>Female</v>
      </c>
      <c r="G501">
        <v>21</v>
      </c>
      <c r="H501">
        <v>0</v>
      </c>
      <c r="I501">
        <v>0</v>
      </c>
      <c r="J501">
        <v>3</v>
      </c>
      <c r="K501">
        <v>7.6292</v>
      </c>
      <c r="L501">
        <f t="shared" si="36"/>
        <v>1</v>
      </c>
      <c r="M501">
        <f t="shared" si="37"/>
        <v>21</v>
      </c>
      <c r="N501" t="str">
        <f t="shared" si="38"/>
        <v>Adult</v>
      </c>
      <c r="O501">
        <f t="shared" si="39"/>
        <v>7.63</v>
      </c>
    </row>
    <row r="502" spans="1:15" x14ac:dyDescent="0.3">
      <c r="A502">
        <v>501</v>
      </c>
      <c r="B502">
        <v>0</v>
      </c>
      <c r="C502" t="str">
        <f t="shared" si="35"/>
        <v>No</v>
      </c>
      <c r="D502" t="s">
        <v>960</v>
      </c>
      <c r="E502" t="s">
        <v>1466</v>
      </c>
      <c r="F502" t="str" cm="1">
        <f t="array" ref="F502">IF(OR(COUNTIF(D502,"*"&amp;$T$9:$T$15&amp;"*")),"Female","Male")</f>
        <v>Female</v>
      </c>
      <c r="G502">
        <v>37</v>
      </c>
      <c r="H502">
        <v>0</v>
      </c>
      <c r="I502">
        <v>0</v>
      </c>
      <c r="J502">
        <v>3</v>
      </c>
      <c r="K502">
        <v>9.5875000000000004</v>
      </c>
      <c r="L502">
        <f t="shared" si="36"/>
        <v>1</v>
      </c>
      <c r="M502">
        <f t="shared" si="37"/>
        <v>37</v>
      </c>
      <c r="N502" t="str">
        <f t="shared" si="38"/>
        <v>Adult</v>
      </c>
      <c r="O502">
        <f t="shared" si="39"/>
        <v>9.59</v>
      </c>
    </row>
    <row r="503" spans="1:15" x14ac:dyDescent="0.3">
      <c r="A503">
        <v>502</v>
      </c>
      <c r="B503">
        <v>1</v>
      </c>
      <c r="C503" t="str">
        <f t="shared" si="35"/>
        <v>Yes</v>
      </c>
      <c r="D503" t="s">
        <v>960</v>
      </c>
      <c r="E503" t="s">
        <v>1467</v>
      </c>
      <c r="F503" t="str" cm="1">
        <f t="array" ref="F503">IF(OR(COUNTIF(D503,"*"&amp;$T$9:$T$15&amp;"*")),"Female","Male")</f>
        <v>Female</v>
      </c>
      <c r="G503">
        <v>16</v>
      </c>
      <c r="H503">
        <v>0</v>
      </c>
      <c r="I503">
        <v>0</v>
      </c>
      <c r="J503">
        <v>1</v>
      </c>
      <c r="K503">
        <v>86.5</v>
      </c>
      <c r="L503">
        <f t="shared" si="36"/>
        <v>1</v>
      </c>
      <c r="M503">
        <f t="shared" si="37"/>
        <v>16</v>
      </c>
      <c r="N503" t="str">
        <f t="shared" si="38"/>
        <v>Child</v>
      </c>
      <c r="O503">
        <f t="shared" si="39"/>
        <v>86.5</v>
      </c>
    </row>
    <row r="504" spans="1:15" x14ac:dyDescent="0.3">
      <c r="A504">
        <v>503</v>
      </c>
      <c r="B504">
        <v>0</v>
      </c>
      <c r="C504" t="str">
        <f t="shared" si="35"/>
        <v>No</v>
      </c>
      <c r="D504" t="s">
        <v>956</v>
      </c>
      <c r="E504" t="s">
        <v>1468</v>
      </c>
      <c r="F504" t="str" cm="1">
        <f t="array" ref="F504">IF(OR(COUNTIF(D504,"*"&amp;$T$9:$T$15&amp;"*")),"Female","Male")</f>
        <v>Male</v>
      </c>
      <c r="G504">
        <v>18</v>
      </c>
      <c r="H504">
        <v>1</v>
      </c>
      <c r="I504">
        <v>0</v>
      </c>
      <c r="J504">
        <v>1</v>
      </c>
      <c r="K504">
        <v>108.9</v>
      </c>
      <c r="L504">
        <f t="shared" si="36"/>
        <v>0</v>
      </c>
      <c r="M504">
        <f t="shared" si="37"/>
        <v>18</v>
      </c>
      <c r="N504" t="str">
        <f t="shared" si="38"/>
        <v>Adult</v>
      </c>
      <c r="O504">
        <f t="shared" si="39"/>
        <v>108.9</v>
      </c>
    </row>
    <row r="505" spans="1:15" x14ac:dyDescent="0.3">
      <c r="A505">
        <v>504</v>
      </c>
      <c r="B505">
        <v>1</v>
      </c>
      <c r="C505" t="str">
        <f t="shared" si="35"/>
        <v>Yes</v>
      </c>
      <c r="D505" t="s">
        <v>958</v>
      </c>
      <c r="E505" t="s">
        <v>1469</v>
      </c>
      <c r="F505" t="str" cm="1">
        <f t="array" ref="F505">IF(OR(COUNTIF(D505,"*"&amp;$T$9:$T$15&amp;"*")),"Female","Male")</f>
        <v>Female</v>
      </c>
      <c r="G505">
        <v>33</v>
      </c>
      <c r="H505">
        <v>0</v>
      </c>
      <c r="I505">
        <v>2</v>
      </c>
      <c r="J505">
        <v>2</v>
      </c>
      <c r="K505">
        <v>26</v>
      </c>
      <c r="L505">
        <f t="shared" si="36"/>
        <v>1</v>
      </c>
      <c r="M505">
        <f t="shared" si="37"/>
        <v>33</v>
      </c>
      <c r="N505" t="str">
        <f t="shared" si="38"/>
        <v>Adult</v>
      </c>
      <c r="O505">
        <f t="shared" si="39"/>
        <v>26</v>
      </c>
    </row>
    <row r="506" spans="1:15" x14ac:dyDescent="0.3">
      <c r="A506">
        <v>505</v>
      </c>
      <c r="B506">
        <v>1</v>
      </c>
      <c r="C506" t="str">
        <f t="shared" si="35"/>
        <v>Yes</v>
      </c>
      <c r="D506" t="s">
        <v>956</v>
      </c>
      <c r="E506" t="s">
        <v>1470</v>
      </c>
      <c r="F506" t="str" cm="1">
        <f t="array" ref="F506">IF(OR(COUNTIF(D506,"*"&amp;$T$9:$T$15&amp;"*")),"Female","Male")</f>
        <v>Male</v>
      </c>
      <c r="G506">
        <v>37</v>
      </c>
      <c r="H506">
        <v>0</v>
      </c>
      <c r="I506">
        <v>0</v>
      </c>
      <c r="J506">
        <v>1</v>
      </c>
      <c r="K506">
        <v>26.55</v>
      </c>
      <c r="L506">
        <f t="shared" si="36"/>
        <v>0</v>
      </c>
      <c r="M506">
        <f t="shared" si="37"/>
        <v>37</v>
      </c>
      <c r="N506" t="str">
        <f t="shared" si="38"/>
        <v>Adult</v>
      </c>
      <c r="O506">
        <f t="shared" si="39"/>
        <v>26.55</v>
      </c>
    </row>
    <row r="507" spans="1:15" x14ac:dyDescent="0.3">
      <c r="A507">
        <v>506</v>
      </c>
      <c r="B507">
        <v>0</v>
      </c>
      <c r="C507" t="str">
        <f t="shared" si="35"/>
        <v>No</v>
      </c>
      <c r="D507" t="s">
        <v>956</v>
      </c>
      <c r="E507" t="s">
        <v>1471</v>
      </c>
      <c r="F507" t="str" cm="1">
        <f t="array" ref="F507">IF(OR(COUNTIF(D507,"*"&amp;$T$9:$T$15&amp;"*")),"Female","Male")</f>
        <v>Male</v>
      </c>
      <c r="G507">
        <v>28</v>
      </c>
      <c r="H507">
        <v>0</v>
      </c>
      <c r="I507">
        <v>0</v>
      </c>
      <c r="J507">
        <v>3</v>
      </c>
      <c r="K507">
        <v>22.524999999999999</v>
      </c>
      <c r="L507">
        <f t="shared" si="36"/>
        <v>0</v>
      </c>
      <c r="M507">
        <f t="shared" si="37"/>
        <v>28</v>
      </c>
      <c r="N507" t="str">
        <f t="shared" si="38"/>
        <v>Adult</v>
      </c>
      <c r="O507">
        <f t="shared" si="39"/>
        <v>22.53</v>
      </c>
    </row>
    <row r="508" spans="1:15" x14ac:dyDescent="0.3">
      <c r="A508">
        <v>507</v>
      </c>
      <c r="B508">
        <v>1</v>
      </c>
      <c r="C508" t="str">
        <f t="shared" si="35"/>
        <v>Yes</v>
      </c>
      <c r="D508" t="s">
        <v>956</v>
      </c>
      <c r="E508" t="s">
        <v>1472</v>
      </c>
      <c r="F508" t="str" cm="1">
        <f t="array" ref="F508">IF(OR(COUNTIF(D508,"*"&amp;$T$9:$T$15&amp;"*")),"Female","Male")</f>
        <v>Male</v>
      </c>
      <c r="G508">
        <v>26</v>
      </c>
      <c r="H508">
        <v>0</v>
      </c>
      <c r="I508">
        <v>0</v>
      </c>
      <c r="J508">
        <v>3</v>
      </c>
      <c r="K508">
        <v>56.495800000000003</v>
      </c>
      <c r="L508">
        <f t="shared" si="36"/>
        <v>0</v>
      </c>
      <c r="M508">
        <f t="shared" si="37"/>
        <v>26</v>
      </c>
      <c r="N508" t="str">
        <f t="shared" si="38"/>
        <v>Adult</v>
      </c>
      <c r="O508">
        <f t="shared" si="39"/>
        <v>56.5</v>
      </c>
    </row>
    <row r="509" spans="1:15" x14ac:dyDescent="0.3">
      <c r="A509">
        <v>508</v>
      </c>
      <c r="B509">
        <v>1</v>
      </c>
      <c r="C509" t="str">
        <f t="shared" si="35"/>
        <v>Yes</v>
      </c>
      <c r="D509" t="s">
        <v>956</v>
      </c>
      <c r="E509" t="s">
        <v>1473</v>
      </c>
      <c r="F509" t="str" cm="1">
        <f t="array" ref="F509">IF(OR(COUNTIF(D509,"*"&amp;$T$9:$T$15&amp;"*")),"Female","Male")</f>
        <v>Male</v>
      </c>
      <c r="G509">
        <v>29</v>
      </c>
      <c r="H509">
        <v>0</v>
      </c>
      <c r="I509">
        <v>0</v>
      </c>
      <c r="J509">
        <v>3</v>
      </c>
      <c r="K509">
        <v>7.75</v>
      </c>
      <c r="L509">
        <f t="shared" si="36"/>
        <v>0</v>
      </c>
      <c r="M509">
        <f t="shared" si="37"/>
        <v>29</v>
      </c>
      <c r="N509" t="str">
        <f t="shared" si="38"/>
        <v>Adult</v>
      </c>
      <c r="O509">
        <f t="shared" si="39"/>
        <v>7.75</v>
      </c>
    </row>
    <row r="510" spans="1:15" x14ac:dyDescent="0.3">
      <c r="A510">
        <v>509</v>
      </c>
      <c r="B510">
        <v>0</v>
      </c>
      <c r="C510" t="str">
        <f t="shared" si="35"/>
        <v>No</v>
      </c>
      <c r="D510" t="s">
        <v>956</v>
      </c>
      <c r="E510" t="s">
        <v>1474</v>
      </c>
      <c r="F510" t="str" cm="1">
        <f t="array" ref="F510">IF(OR(COUNTIF(D510,"*"&amp;$T$9:$T$15&amp;"*")),"Female","Male")</f>
        <v>Male</v>
      </c>
      <c r="G510">
        <v>66</v>
      </c>
      <c r="H510">
        <v>0</v>
      </c>
      <c r="I510">
        <v>0</v>
      </c>
      <c r="J510">
        <v>3</v>
      </c>
      <c r="K510">
        <v>8.0500000000000007</v>
      </c>
      <c r="L510">
        <f t="shared" si="36"/>
        <v>0</v>
      </c>
      <c r="M510">
        <f t="shared" si="37"/>
        <v>66</v>
      </c>
      <c r="N510" t="str">
        <f t="shared" si="38"/>
        <v>Adult</v>
      </c>
      <c r="O510">
        <f t="shared" si="39"/>
        <v>8.0500000000000007</v>
      </c>
    </row>
    <row r="511" spans="1:15" x14ac:dyDescent="0.3">
      <c r="A511">
        <v>510</v>
      </c>
      <c r="B511">
        <v>1</v>
      </c>
      <c r="C511" t="str">
        <f t="shared" si="35"/>
        <v>Yes</v>
      </c>
      <c r="D511" t="s">
        <v>956</v>
      </c>
      <c r="E511" t="s">
        <v>1475</v>
      </c>
      <c r="F511" t="str" cm="1">
        <f t="array" ref="F511">IF(OR(COUNTIF(D511,"*"&amp;$T$9:$T$15&amp;"*")),"Female","Male")</f>
        <v>Male</v>
      </c>
      <c r="G511">
        <v>36</v>
      </c>
      <c r="H511">
        <v>0</v>
      </c>
      <c r="I511">
        <v>0</v>
      </c>
      <c r="J511">
        <v>1</v>
      </c>
      <c r="K511">
        <v>26.287500000000001</v>
      </c>
      <c r="L511">
        <f t="shared" si="36"/>
        <v>0</v>
      </c>
      <c r="M511">
        <f t="shared" si="37"/>
        <v>36</v>
      </c>
      <c r="N511" t="str">
        <f t="shared" si="38"/>
        <v>Adult</v>
      </c>
      <c r="O511">
        <f t="shared" si="39"/>
        <v>26.29</v>
      </c>
    </row>
    <row r="512" spans="1:15" x14ac:dyDescent="0.3">
      <c r="A512">
        <v>511</v>
      </c>
      <c r="B512">
        <v>1</v>
      </c>
      <c r="C512" t="str">
        <f t="shared" si="35"/>
        <v>Yes</v>
      </c>
      <c r="D512" t="s">
        <v>958</v>
      </c>
      <c r="E512" t="s">
        <v>1476</v>
      </c>
      <c r="F512" t="str" cm="1">
        <f t="array" ref="F512">IF(OR(COUNTIF(D512,"*"&amp;$T$9:$T$15&amp;"*")),"Female","Male")</f>
        <v>Female</v>
      </c>
      <c r="G512">
        <v>54</v>
      </c>
      <c r="H512">
        <v>1</v>
      </c>
      <c r="I512">
        <v>0</v>
      </c>
      <c r="J512">
        <v>1</v>
      </c>
      <c r="K512">
        <v>59.4</v>
      </c>
      <c r="L512">
        <f t="shared" si="36"/>
        <v>1</v>
      </c>
      <c r="M512">
        <f t="shared" si="37"/>
        <v>54</v>
      </c>
      <c r="N512" t="str">
        <f t="shared" si="38"/>
        <v>Adult</v>
      </c>
      <c r="O512">
        <f t="shared" si="39"/>
        <v>59.4</v>
      </c>
    </row>
    <row r="513" spans="1:15" x14ac:dyDescent="0.3">
      <c r="A513">
        <v>512</v>
      </c>
      <c r="B513">
        <v>0</v>
      </c>
      <c r="C513" t="str">
        <f t="shared" si="35"/>
        <v>No</v>
      </c>
      <c r="D513" t="s">
        <v>956</v>
      </c>
      <c r="E513" t="s">
        <v>1477</v>
      </c>
      <c r="F513" t="str" cm="1">
        <f t="array" ref="F513">IF(OR(COUNTIF(D513,"*"&amp;$T$9:$T$15&amp;"*")),"Female","Male")</f>
        <v>Male</v>
      </c>
      <c r="G513">
        <v>24</v>
      </c>
      <c r="H513">
        <v>0</v>
      </c>
      <c r="I513">
        <v>0</v>
      </c>
      <c r="J513">
        <v>3</v>
      </c>
      <c r="K513">
        <v>7.4958</v>
      </c>
      <c r="L513">
        <f t="shared" si="36"/>
        <v>0</v>
      </c>
      <c r="M513">
        <f t="shared" si="37"/>
        <v>24</v>
      </c>
      <c r="N513" t="str">
        <f t="shared" si="38"/>
        <v>Adult</v>
      </c>
      <c r="O513">
        <f t="shared" si="39"/>
        <v>7.5</v>
      </c>
    </row>
    <row r="514" spans="1:15" x14ac:dyDescent="0.3">
      <c r="A514">
        <v>513</v>
      </c>
      <c r="B514">
        <v>0</v>
      </c>
      <c r="C514" t="str">
        <f t="shared" si="35"/>
        <v>No</v>
      </c>
      <c r="D514" t="s">
        <v>956</v>
      </c>
      <c r="E514" t="s">
        <v>1478</v>
      </c>
      <c r="F514" t="str" cm="1">
        <f t="array" ref="F514">IF(OR(COUNTIF(D514,"*"&amp;$T$9:$T$15&amp;"*")),"Female","Male")</f>
        <v>Male</v>
      </c>
      <c r="G514">
        <v>47</v>
      </c>
      <c r="H514">
        <v>0</v>
      </c>
      <c r="I514">
        <v>0</v>
      </c>
      <c r="J514">
        <v>1</v>
      </c>
      <c r="K514">
        <v>34.020800000000001</v>
      </c>
      <c r="L514">
        <f t="shared" si="36"/>
        <v>0</v>
      </c>
      <c r="M514">
        <f t="shared" si="37"/>
        <v>47</v>
      </c>
      <c r="N514" t="str">
        <f t="shared" si="38"/>
        <v>Adult</v>
      </c>
      <c r="O514">
        <f t="shared" si="39"/>
        <v>34.020000000000003</v>
      </c>
    </row>
    <row r="515" spans="1:15" x14ac:dyDescent="0.3">
      <c r="A515">
        <v>514</v>
      </c>
      <c r="B515">
        <v>1</v>
      </c>
      <c r="C515" t="str">
        <f t="shared" ref="C515:C578" si="40">IF(B515=0,"No","Yes")</f>
        <v>Yes</v>
      </c>
      <c r="D515" t="s">
        <v>958</v>
      </c>
      <c r="E515" t="s">
        <v>1479</v>
      </c>
      <c r="F515" t="str" cm="1">
        <f t="array" ref="F515">IF(OR(COUNTIF(D515,"*"&amp;$T$9:$T$15&amp;"*")),"Female","Male")</f>
        <v>Female</v>
      </c>
      <c r="G515">
        <v>34</v>
      </c>
      <c r="H515">
        <v>0</v>
      </c>
      <c r="I515">
        <v>0</v>
      </c>
      <c r="J515">
        <v>2</v>
      </c>
      <c r="K515">
        <v>10.5</v>
      </c>
      <c r="L515">
        <f t="shared" ref="L515:L578" si="41">IF(F515 = "Male", 0, 1)</f>
        <v>1</v>
      </c>
      <c r="M515">
        <f t="shared" ref="M515:M578" si="42">ROUND(G515, 0)</f>
        <v>34</v>
      </c>
      <c r="N515" t="str">
        <f t="shared" ref="N515:N578" si="43">IF(G515&lt;=16,"Child","Adult")</f>
        <v>Adult</v>
      </c>
      <c r="O515">
        <f t="shared" ref="O515:O578" si="44">ROUND(K515, 2)</f>
        <v>10.5</v>
      </c>
    </row>
    <row r="516" spans="1:15" x14ac:dyDescent="0.3">
      <c r="A516">
        <v>515</v>
      </c>
      <c r="B516">
        <v>0</v>
      </c>
      <c r="C516" t="str">
        <f t="shared" si="40"/>
        <v>No</v>
      </c>
      <c r="D516" t="s">
        <v>956</v>
      </c>
      <c r="E516" t="s">
        <v>1480</v>
      </c>
      <c r="F516" t="str" cm="1">
        <f t="array" ref="F516">IF(OR(COUNTIF(D516,"*"&amp;$T$9:$T$15&amp;"*")),"Female","Male")</f>
        <v>Male</v>
      </c>
      <c r="G516">
        <v>30</v>
      </c>
      <c r="H516">
        <v>0</v>
      </c>
      <c r="I516">
        <v>0</v>
      </c>
      <c r="J516">
        <v>3</v>
      </c>
      <c r="K516">
        <v>24.15</v>
      </c>
      <c r="L516">
        <f t="shared" si="41"/>
        <v>0</v>
      </c>
      <c r="M516">
        <f t="shared" si="42"/>
        <v>30</v>
      </c>
      <c r="N516" t="str">
        <f t="shared" si="43"/>
        <v>Adult</v>
      </c>
      <c r="O516">
        <f t="shared" si="44"/>
        <v>24.15</v>
      </c>
    </row>
    <row r="517" spans="1:15" x14ac:dyDescent="0.3">
      <c r="A517">
        <v>516</v>
      </c>
      <c r="B517">
        <v>1</v>
      </c>
      <c r="C517" t="str">
        <f t="shared" si="40"/>
        <v>Yes</v>
      </c>
      <c r="D517" t="s">
        <v>958</v>
      </c>
      <c r="E517" t="s">
        <v>1481</v>
      </c>
      <c r="F517" t="str" cm="1">
        <f t="array" ref="F517">IF(OR(COUNTIF(D517,"*"&amp;$T$9:$T$15&amp;"*")),"Female","Male")</f>
        <v>Female</v>
      </c>
      <c r="G517">
        <v>36</v>
      </c>
      <c r="H517">
        <v>1</v>
      </c>
      <c r="I517">
        <v>0</v>
      </c>
      <c r="J517">
        <v>2</v>
      </c>
      <c r="K517">
        <v>26</v>
      </c>
      <c r="L517">
        <f t="shared" si="41"/>
        <v>1</v>
      </c>
      <c r="M517">
        <f t="shared" si="42"/>
        <v>36</v>
      </c>
      <c r="N517" t="str">
        <f t="shared" si="43"/>
        <v>Adult</v>
      </c>
      <c r="O517">
        <f t="shared" si="44"/>
        <v>26</v>
      </c>
    </row>
    <row r="518" spans="1:15" x14ac:dyDescent="0.3">
      <c r="A518">
        <v>517</v>
      </c>
      <c r="B518">
        <v>0</v>
      </c>
      <c r="C518" t="str">
        <f t="shared" si="40"/>
        <v>No</v>
      </c>
      <c r="D518" t="s">
        <v>956</v>
      </c>
      <c r="E518" t="s">
        <v>1482</v>
      </c>
      <c r="F518" t="str" cm="1">
        <f t="array" ref="F518">IF(OR(COUNTIF(D518,"*"&amp;$T$9:$T$15&amp;"*")),"Female","Male")</f>
        <v>Male</v>
      </c>
      <c r="G518">
        <v>32</v>
      </c>
      <c r="H518">
        <v>0</v>
      </c>
      <c r="I518">
        <v>0</v>
      </c>
      <c r="J518">
        <v>3</v>
      </c>
      <c r="K518">
        <v>7.8958000000000004</v>
      </c>
      <c r="L518">
        <f t="shared" si="41"/>
        <v>0</v>
      </c>
      <c r="M518">
        <f t="shared" si="42"/>
        <v>32</v>
      </c>
      <c r="N518" t="str">
        <f t="shared" si="43"/>
        <v>Adult</v>
      </c>
      <c r="O518">
        <f t="shared" si="44"/>
        <v>7.9</v>
      </c>
    </row>
    <row r="519" spans="1:15" x14ac:dyDescent="0.3">
      <c r="A519">
        <v>518</v>
      </c>
      <c r="B519">
        <v>1</v>
      </c>
      <c r="C519" t="str">
        <f t="shared" si="40"/>
        <v>Yes</v>
      </c>
      <c r="D519" t="s">
        <v>960</v>
      </c>
      <c r="E519" t="s">
        <v>1483</v>
      </c>
      <c r="F519" t="str" cm="1">
        <f t="array" ref="F519">IF(OR(COUNTIF(D519,"*"&amp;$T$9:$T$15&amp;"*")),"Female","Male")</f>
        <v>Female</v>
      </c>
      <c r="G519">
        <v>30</v>
      </c>
      <c r="H519">
        <v>0</v>
      </c>
      <c r="I519">
        <v>0</v>
      </c>
      <c r="J519">
        <v>1</v>
      </c>
      <c r="K519">
        <v>93.5</v>
      </c>
      <c r="L519">
        <f t="shared" si="41"/>
        <v>1</v>
      </c>
      <c r="M519">
        <f t="shared" si="42"/>
        <v>30</v>
      </c>
      <c r="N519" t="str">
        <f t="shared" si="43"/>
        <v>Adult</v>
      </c>
      <c r="O519">
        <f t="shared" si="44"/>
        <v>93.5</v>
      </c>
    </row>
    <row r="520" spans="1:15" x14ac:dyDescent="0.3">
      <c r="A520">
        <v>519</v>
      </c>
      <c r="B520">
        <v>0</v>
      </c>
      <c r="C520" t="str">
        <f t="shared" si="40"/>
        <v>No</v>
      </c>
      <c r="D520" t="s">
        <v>956</v>
      </c>
      <c r="E520" t="s">
        <v>1484</v>
      </c>
      <c r="F520" t="str" cm="1">
        <f t="array" ref="F520">IF(OR(COUNTIF(D520,"*"&amp;$T$9:$T$15&amp;"*")),"Female","Male")</f>
        <v>Male</v>
      </c>
      <c r="G520">
        <v>22</v>
      </c>
      <c r="H520">
        <v>0</v>
      </c>
      <c r="I520">
        <v>0</v>
      </c>
      <c r="J520">
        <v>3</v>
      </c>
      <c r="K520">
        <v>7.8958000000000004</v>
      </c>
      <c r="L520">
        <f t="shared" si="41"/>
        <v>0</v>
      </c>
      <c r="M520">
        <f t="shared" si="42"/>
        <v>22</v>
      </c>
      <c r="N520" t="str">
        <f t="shared" si="43"/>
        <v>Adult</v>
      </c>
      <c r="O520">
        <f t="shared" si="44"/>
        <v>7.9</v>
      </c>
    </row>
    <row r="521" spans="1:15" x14ac:dyDescent="0.3">
      <c r="A521">
        <v>520</v>
      </c>
      <c r="B521">
        <v>0</v>
      </c>
      <c r="C521" t="str">
        <f t="shared" si="40"/>
        <v>No</v>
      </c>
      <c r="D521" t="s">
        <v>956</v>
      </c>
      <c r="E521" t="s">
        <v>1485</v>
      </c>
      <c r="F521" t="str" cm="1">
        <f t="array" ref="F521">IF(OR(COUNTIF(D521,"*"&amp;$T$9:$T$15&amp;"*")),"Female","Male")</f>
        <v>Male</v>
      </c>
      <c r="G521">
        <v>35</v>
      </c>
      <c r="H521">
        <v>0</v>
      </c>
      <c r="I521">
        <v>0</v>
      </c>
      <c r="J521">
        <v>3</v>
      </c>
      <c r="K521">
        <v>7.2249999999999996</v>
      </c>
      <c r="L521">
        <f t="shared" si="41"/>
        <v>0</v>
      </c>
      <c r="M521">
        <f t="shared" si="42"/>
        <v>35</v>
      </c>
      <c r="N521" t="str">
        <f t="shared" si="43"/>
        <v>Adult</v>
      </c>
      <c r="O521">
        <f t="shared" si="44"/>
        <v>7.23</v>
      </c>
    </row>
    <row r="522" spans="1:15" x14ac:dyDescent="0.3">
      <c r="A522">
        <v>521</v>
      </c>
      <c r="B522">
        <v>1</v>
      </c>
      <c r="C522" t="str">
        <f t="shared" si="40"/>
        <v>Yes</v>
      </c>
      <c r="D522" t="s">
        <v>958</v>
      </c>
      <c r="E522" t="s">
        <v>1486</v>
      </c>
      <c r="F522" t="str" cm="1">
        <f t="array" ref="F522">IF(OR(COUNTIF(D522,"*"&amp;$T$9:$T$15&amp;"*")),"Female","Male")</f>
        <v>Female</v>
      </c>
      <c r="G522">
        <v>44</v>
      </c>
      <c r="H522">
        <v>0</v>
      </c>
      <c r="I522">
        <v>1</v>
      </c>
      <c r="J522">
        <v>1</v>
      </c>
      <c r="K522">
        <v>57.979199999999999</v>
      </c>
      <c r="L522">
        <f t="shared" si="41"/>
        <v>1</v>
      </c>
      <c r="M522">
        <f t="shared" si="42"/>
        <v>44</v>
      </c>
      <c r="N522" t="str">
        <f t="shared" si="43"/>
        <v>Adult</v>
      </c>
      <c r="O522">
        <f t="shared" si="44"/>
        <v>57.98</v>
      </c>
    </row>
    <row r="523" spans="1:15" x14ac:dyDescent="0.3">
      <c r="A523">
        <v>522</v>
      </c>
      <c r="B523">
        <v>0</v>
      </c>
      <c r="C523" t="str">
        <f t="shared" si="40"/>
        <v>No</v>
      </c>
      <c r="D523" t="s">
        <v>956</v>
      </c>
      <c r="E523" t="s">
        <v>1487</v>
      </c>
      <c r="F523" t="str" cm="1">
        <f t="array" ref="F523">IF(OR(COUNTIF(D523,"*"&amp;$T$9:$T$15&amp;"*")),"Female","Male")</f>
        <v>Male</v>
      </c>
      <c r="G523">
        <v>18</v>
      </c>
      <c r="H523">
        <v>0</v>
      </c>
      <c r="I523">
        <v>0</v>
      </c>
      <c r="J523">
        <v>3</v>
      </c>
      <c r="K523">
        <v>7.2291999999999996</v>
      </c>
      <c r="L523">
        <f t="shared" si="41"/>
        <v>0</v>
      </c>
      <c r="M523">
        <f t="shared" si="42"/>
        <v>18</v>
      </c>
      <c r="N523" t="str">
        <f t="shared" si="43"/>
        <v>Adult</v>
      </c>
      <c r="O523">
        <f t="shared" si="44"/>
        <v>7.23</v>
      </c>
    </row>
    <row r="524" spans="1:15" x14ac:dyDescent="0.3">
      <c r="A524">
        <v>523</v>
      </c>
      <c r="B524">
        <v>0</v>
      </c>
      <c r="C524" t="str">
        <f t="shared" si="40"/>
        <v>No</v>
      </c>
      <c r="D524" t="s">
        <v>956</v>
      </c>
      <c r="E524" t="s">
        <v>1488</v>
      </c>
      <c r="F524" t="str" cm="1">
        <f t="array" ref="F524">IF(OR(COUNTIF(D524,"*"&amp;$T$9:$T$15&amp;"*")),"Female","Male")</f>
        <v>Male</v>
      </c>
      <c r="G524">
        <v>40.5</v>
      </c>
      <c r="H524">
        <v>0</v>
      </c>
      <c r="I524">
        <v>0</v>
      </c>
      <c r="J524">
        <v>3</v>
      </c>
      <c r="K524">
        <v>7.75</v>
      </c>
      <c r="L524">
        <f t="shared" si="41"/>
        <v>0</v>
      </c>
      <c r="M524">
        <f t="shared" si="42"/>
        <v>41</v>
      </c>
      <c r="N524" t="str">
        <f t="shared" si="43"/>
        <v>Adult</v>
      </c>
      <c r="O524">
        <f t="shared" si="44"/>
        <v>7.75</v>
      </c>
    </row>
    <row r="525" spans="1:15" x14ac:dyDescent="0.3">
      <c r="A525">
        <v>524</v>
      </c>
      <c r="B525">
        <v>1</v>
      </c>
      <c r="C525" t="str">
        <f t="shared" si="40"/>
        <v>Yes</v>
      </c>
      <c r="D525" t="s">
        <v>960</v>
      </c>
      <c r="E525" t="s">
        <v>1489</v>
      </c>
      <c r="F525" t="str" cm="1">
        <f t="array" ref="F525">IF(OR(COUNTIF(D525,"*"&amp;$T$9:$T$15&amp;"*")),"Female","Male")</f>
        <v>Female</v>
      </c>
      <c r="G525">
        <v>50</v>
      </c>
      <c r="H525">
        <v>0</v>
      </c>
      <c r="I525">
        <v>0</v>
      </c>
      <c r="J525">
        <v>2</v>
      </c>
      <c r="K525">
        <v>10.5</v>
      </c>
      <c r="L525">
        <f t="shared" si="41"/>
        <v>1</v>
      </c>
      <c r="M525">
        <f t="shared" si="42"/>
        <v>50</v>
      </c>
      <c r="N525" t="str">
        <f t="shared" si="43"/>
        <v>Adult</v>
      </c>
      <c r="O525">
        <f t="shared" si="44"/>
        <v>10.5</v>
      </c>
    </row>
    <row r="526" spans="1:15" x14ac:dyDescent="0.3">
      <c r="A526">
        <v>525</v>
      </c>
      <c r="B526">
        <v>0</v>
      </c>
      <c r="C526" t="str">
        <f t="shared" si="40"/>
        <v>No</v>
      </c>
      <c r="D526" t="s">
        <v>956</v>
      </c>
      <c r="E526" t="s">
        <v>1490</v>
      </c>
      <c r="F526" t="str" cm="1">
        <f t="array" ref="F526">IF(OR(COUNTIF(D526,"*"&amp;$T$9:$T$15&amp;"*")),"Female","Male")</f>
        <v>Male</v>
      </c>
      <c r="G526">
        <v>49</v>
      </c>
      <c r="H526">
        <v>0</v>
      </c>
      <c r="I526">
        <v>0</v>
      </c>
      <c r="J526">
        <v>1</v>
      </c>
      <c r="K526">
        <v>221.7792</v>
      </c>
      <c r="L526">
        <f t="shared" si="41"/>
        <v>0</v>
      </c>
      <c r="M526">
        <f t="shared" si="42"/>
        <v>49</v>
      </c>
      <c r="N526" t="str">
        <f t="shared" si="43"/>
        <v>Adult</v>
      </c>
      <c r="O526">
        <f t="shared" si="44"/>
        <v>221.78</v>
      </c>
    </row>
    <row r="527" spans="1:15" x14ac:dyDescent="0.3">
      <c r="A527">
        <v>526</v>
      </c>
      <c r="B527">
        <v>0</v>
      </c>
      <c r="C527" t="str">
        <f t="shared" si="40"/>
        <v>No</v>
      </c>
      <c r="D527" t="s">
        <v>956</v>
      </c>
      <c r="E527" t="s">
        <v>1491</v>
      </c>
      <c r="F527" t="str" cm="1">
        <f t="array" ref="F527">IF(OR(COUNTIF(D527,"*"&amp;$T$9:$T$15&amp;"*")),"Female","Male")</f>
        <v>Male</v>
      </c>
      <c r="G527">
        <v>39</v>
      </c>
      <c r="H527">
        <v>0</v>
      </c>
      <c r="I527">
        <v>0</v>
      </c>
      <c r="J527">
        <v>3</v>
      </c>
      <c r="K527">
        <v>7.9249999999999998</v>
      </c>
      <c r="L527">
        <f t="shared" si="41"/>
        <v>0</v>
      </c>
      <c r="M527">
        <f t="shared" si="42"/>
        <v>39</v>
      </c>
      <c r="N527" t="str">
        <f t="shared" si="43"/>
        <v>Adult</v>
      </c>
      <c r="O527">
        <f t="shared" si="44"/>
        <v>7.93</v>
      </c>
    </row>
    <row r="528" spans="1:15" x14ac:dyDescent="0.3">
      <c r="A528">
        <v>527</v>
      </c>
      <c r="B528">
        <v>0</v>
      </c>
      <c r="C528" t="str">
        <f t="shared" si="40"/>
        <v>No</v>
      </c>
      <c r="D528" t="s">
        <v>956</v>
      </c>
      <c r="E528" t="s">
        <v>1492</v>
      </c>
      <c r="F528" t="str" cm="1">
        <f t="array" ref="F528">IF(OR(COUNTIF(D528,"*"&amp;$T$9:$T$15&amp;"*")),"Female","Male")</f>
        <v>Male</v>
      </c>
      <c r="G528">
        <v>23</v>
      </c>
      <c r="H528">
        <v>2</v>
      </c>
      <c r="I528">
        <v>1</v>
      </c>
      <c r="J528">
        <v>2</v>
      </c>
      <c r="K528">
        <v>11.5</v>
      </c>
      <c r="L528">
        <f t="shared" si="41"/>
        <v>0</v>
      </c>
      <c r="M528">
        <f t="shared" si="42"/>
        <v>23</v>
      </c>
      <c r="N528" t="str">
        <f t="shared" si="43"/>
        <v>Adult</v>
      </c>
      <c r="O528">
        <f t="shared" si="44"/>
        <v>11.5</v>
      </c>
    </row>
    <row r="529" spans="1:15" x14ac:dyDescent="0.3">
      <c r="A529">
        <v>528</v>
      </c>
      <c r="B529">
        <v>1</v>
      </c>
      <c r="C529" t="str">
        <f t="shared" si="40"/>
        <v>Yes</v>
      </c>
      <c r="D529" t="s">
        <v>960</v>
      </c>
      <c r="E529" t="s">
        <v>1493</v>
      </c>
      <c r="F529" t="str" cm="1">
        <f t="array" ref="F529">IF(OR(COUNTIF(D529,"*"&amp;$T$9:$T$15&amp;"*")),"Female","Male")</f>
        <v>Female</v>
      </c>
      <c r="G529">
        <v>2</v>
      </c>
      <c r="H529">
        <v>1</v>
      </c>
      <c r="I529">
        <v>1</v>
      </c>
      <c r="J529">
        <v>2</v>
      </c>
      <c r="K529">
        <v>26</v>
      </c>
      <c r="L529">
        <f t="shared" si="41"/>
        <v>1</v>
      </c>
      <c r="M529">
        <f t="shared" si="42"/>
        <v>2</v>
      </c>
      <c r="N529" t="str">
        <f t="shared" si="43"/>
        <v>Child</v>
      </c>
      <c r="O529">
        <f t="shared" si="44"/>
        <v>26</v>
      </c>
    </row>
    <row r="530" spans="1:15" x14ac:dyDescent="0.3">
      <c r="A530">
        <v>529</v>
      </c>
      <c r="B530">
        <v>0</v>
      </c>
      <c r="C530" t="str">
        <f t="shared" si="40"/>
        <v>No</v>
      </c>
      <c r="D530" t="s">
        <v>956</v>
      </c>
      <c r="E530" t="s">
        <v>1494</v>
      </c>
      <c r="F530" t="str" cm="1">
        <f t="array" ref="F530">IF(OR(COUNTIF(D530,"*"&amp;$T$9:$T$15&amp;"*")),"Female","Male")</f>
        <v>Male</v>
      </c>
      <c r="G530">
        <v>17</v>
      </c>
      <c r="H530">
        <v>0</v>
      </c>
      <c r="I530">
        <v>0</v>
      </c>
      <c r="J530">
        <v>3</v>
      </c>
      <c r="K530">
        <v>7.2291999999999996</v>
      </c>
      <c r="L530">
        <f t="shared" si="41"/>
        <v>0</v>
      </c>
      <c r="M530">
        <f t="shared" si="42"/>
        <v>17</v>
      </c>
      <c r="N530" t="str">
        <f t="shared" si="43"/>
        <v>Adult</v>
      </c>
      <c r="O530">
        <f t="shared" si="44"/>
        <v>7.23</v>
      </c>
    </row>
    <row r="531" spans="1:15" x14ac:dyDescent="0.3">
      <c r="A531">
        <v>530</v>
      </c>
      <c r="B531">
        <v>0</v>
      </c>
      <c r="C531" t="str">
        <f t="shared" si="40"/>
        <v>No</v>
      </c>
      <c r="D531" t="s">
        <v>956</v>
      </c>
      <c r="E531" t="s">
        <v>1495</v>
      </c>
      <c r="F531" t="str" cm="1">
        <f t="array" ref="F531">IF(OR(COUNTIF(D531,"*"&amp;$T$9:$T$15&amp;"*")),"Female","Male")</f>
        <v>Male</v>
      </c>
      <c r="G531">
        <v>17</v>
      </c>
      <c r="H531">
        <v>1</v>
      </c>
      <c r="I531">
        <v>1</v>
      </c>
      <c r="J531">
        <v>3</v>
      </c>
      <c r="K531">
        <v>7.2291999999999996</v>
      </c>
      <c r="L531">
        <f t="shared" si="41"/>
        <v>0</v>
      </c>
      <c r="M531">
        <f t="shared" si="42"/>
        <v>17</v>
      </c>
      <c r="N531" t="str">
        <f t="shared" si="43"/>
        <v>Adult</v>
      </c>
      <c r="O531">
        <f t="shared" si="44"/>
        <v>7.23</v>
      </c>
    </row>
    <row r="532" spans="1:15" x14ac:dyDescent="0.3">
      <c r="A532">
        <v>531</v>
      </c>
      <c r="B532">
        <v>1</v>
      </c>
      <c r="C532" t="str">
        <f t="shared" si="40"/>
        <v>Yes</v>
      </c>
      <c r="D532" t="s">
        <v>958</v>
      </c>
      <c r="E532" t="s">
        <v>1496</v>
      </c>
      <c r="F532" t="str" cm="1">
        <f t="array" ref="F532">IF(OR(COUNTIF(D532,"*"&amp;$T$9:$T$15&amp;"*")),"Female","Male")</f>
        <v>Female</v>
      </c>
      <c r="G532">
        <v>24</v>
      </c>
      <c r="H532">
        <v>0</v>
      </c>
      <c r="I532">
        <v>2</v>
      </c>
      <c r="J532">
        <v>3</v>
      </c>
      <c r="K532">
        <v>22.3583</v>
      </c>
      <c r="L532">
        <f t="shared" si="41"/>
        <v>1</v>
      </c>
      <c r="M532">
        <f t="shared" si="42"/>
        <v>24</v>
      </c>
      <c r="N532" t="str">
        <f t="shared" si="43"/>
        <v>Adult</v>
      </c>
      <c r="O532">
        <f t="shared" si="44"/>
        <v>22.36</v>
      </c>
    </row>
    <row r="533" spans="1:15" x14ac:dyDescent="0.3">
      <c r="A533">
        <v>532</v>
      </c>
      <c r="B533">
        <v>0</v>
      </c>
      <c r="C533" t="str">
        <f t="shared" si="40"/>
        <v>No</v>
      </c>
      <c r="D533" t="s">
        <v>960</v>
      </c>
      <c r="E533" t="s">
        <v>1497</v>
      </c>
      <c r="F533" t="str" cm="1">
        <f t="array" ref="F533">IF(OR(COUNTIF(D533,"*"&amp;$T$9:$T$15&amp;"*")),"Female","Male")</f>
        <v>Female</v>
      </c>
      <c r="G533">
        <v>30</v>
      </c>
      <c r="H533">
        <v>0</v>
      </c>
      <c r="I533">
        <v>0</v>
      </c>
      <c r="J533">
        <v>3</v>
      </c>
      <c r="K533">
        <v>8.6624999999999996</v>
      </c>
      <c r="L533">
        <f t="shared" si="41"/>
        <v>1</v>
      </c>
      <c r="M533">
        <f t="shared" si="42"/>
        <v>30</v>
      </c>
      <c r="N533" t="str">
        <f t="shared" si="43"/>
        <v>Adult</v>
      </c>
      <c r="O533">
        <f t="shared" si="44"/>
        <v>8.66</v>
      </c>
    </row>
    <row r="534" spans="1:15" x14ac:dyDescent="0.3">
      <c r="A534">
        <v>533</v>
      </c>
      <c r="B534">
        <v>1</v>
      </c>
      <c r="C534" t="str">
        <f t="shared" si="40"/>
        <v>Yes</v>
      </c>
      <c r="D534" t="s">
        <v>960</v>
      </c>
      <c r="E534" t="s">
        <v>1498</v>
      </c>
      <c r="F534" t="str" cm="1">
        <f t="array" ref="F534">IF(OR(COUNTIF(D534,"*"&amp;$T$9:$T$15&amp;"*")),"Female","Male")</f>
        <v>Female</v>
      </c>
      <c r="G534">
        <v>7</v>
      </c>
      <c r="H534">
        <v>0</v>
      </c>
      <c r="I534">
        <v>2</v>
      </c>
      <c r="J534">
        <v>2</v>
      </c>
      <c r="K534">
        <v>26.25</v>
      </c>
      <c r="L534">
        <f t="shared" si="41"/>
        <v>1</v>
      </c>
      <c r="M534">
        <f t="shared" si="42"/>
        <v>7</v>
      </c>
      <c r="N534" t="str">
        <f t="shared" si="43"/>
        <v>Child</v>
      </c>
      <c r="O534">
        <f t="shared" si="44"/>
        <v>26.25</v>
      </c>
    </row>
    <row r="535" spans="1:15" x14ac:dyDescent="0.3">
      <c r="A535">
        <v>534</v>
      </c>
      <c r="B535">
        <v>0</v>
      </c>
      <c r="C535" t="str">
        <f t="shared" si="40"/>
        <v>No</v>
      </c>
      <c r="D535" t="s">
        <v>1411</v>
      </c>
      <c r="E535" t="s">
        <v>1499</v>
      </c>
      <c r="F535" t="str" cm="1">
        <f t="array" ref="F535">IF(OR(COUNTIF(D535,"*"&amp;$T$9:$T$15&amp;"*")),"Female","Male")</f>
        <v>Male</v>
      </c>
      <c r="G535">
        <v>45</v>
      </c>
      <c r="H535">
        <v>0</v>
      </c>
      <c r="I535">
        <v>0</v>
      </c>
      <c r="J535">
        <v>1</v>
      </c>
      <c r="K535">
        <v>26.55</v>
      </c>
      <c r="L535">
        <f t="shared" si="41"/>
        <v>0</v>
      </c>
      <c r="M535">
        <f t="shared" si="42"/>
        <v>45</v>
      </c>
      <c r="N535" t="str">
        <f t="shared" si="43"/>
        <v>Adult</v>
      </c>
      <c r="O535">
        <f t="shared" si="44"/>
        <v>26.55</v>
      </c>
    </row>
    <row r="536" spans="1:15" x14ac:dyDescent="0.3">
      <c r="A536">
        <v>535</v>
      </c>
      <c r="B536">
        <v>1</v>
      </c>
      <c r="C536" t="str">
        <f t="shared" si="40"/>
        <v>Yes</v>
      </c>
      <c r="D536" t="s">
        <v>960</v>
      </c>
      <c r="E536" t="s">
        <v>1500</v>
      </c>
      <c r="F536" t="str" cm="1">
        <f t="array" ref="F536">IF(OR(COUNTIF(D536,"*"&amp;$T$9:$T$15&amp;"*")),"Female","Male")</f>
        <v>Female</v>
      </c>
      <c r="G536">
        <v>30</v>
      </c>
      <c r="H536">
        <v>0</v>
      </c>
      <c r="I536">
        <v>0</v>
      </c>
      <c r="J536">
        <v>1</v>
      </c>
      <c r="K536">
        <v>106.425</v>
      </c>
      <c r="L536">
        <f t="shared" si="41"/>
        <v>1</v>
      </c>
      <c r="M536">
        <f t="shared" si="42"/>
        <v>30</v>
      </c>
      <c r="N536" t="str">
        <f t="shared" si="43"/>
        <v>Adult</v>
      </c>
      <c r="O536">
        <f t="shared" si="44"/>
        <v>106.43</v>
      </c>
    </row>
    <row r="537" spans="1:15" x14ac:dyDescent="0.3">
      <c r="A537">
        <v>536</v>
      </c>
      <c r="B537">
        <v>0</v>
      </c>
      <c r="C537" t="str">
        <f t="shared" si="40"/>
        <v>No</v>
      </c>
      <c r="D537" t="s">
        <v>956</v>
      </c>
      <c r="E537" t="s">
        <v>1501</v>
      </c>
      <c r="F537" t="str" cm="1">
        <f t="array" ref="F537">IF(OR(COUNTIF(D537,"*"&amp;$T$9:$T$15&amp;"*")),"Female","Male")</f>
        <v>Male</v>
      </c>
      <c r="G537">
        <v>69</v>
      </c>
      <c r="H537">
        <v>0</v>
      </c>
      <c r="I537">
        <v>0</v>
      </c>
      <c r="J537">
        <v>3</v>
      </c>
      <c r="K537">
        <v>14.5</v>
      </c>
      <c r="L537">
        <f t="shared" si="41"/>
        <v>0</v>
      </c>
      <c r="M537">
        <f t="shared" si="42"/>
        <v>69</v>
      </c>
      <c r="N537" t="str">
        <f t="shared" si="43"/>
        <v>Adult</v>
      </c>
      <c r="O537">
        <f t="shared" si="44"/>
        <v>14.5</v>
      </c>
    </row>
    <row r="538" spans="1:15" x14ac:dyDescent="0.3">
      <c r="A538">
        <v>537</v>
      </c>
      <c r="B538">
        <v>1</v>
      </c>
      <c r="C538" t="str">
        <f t="shared" si="40"/>
        <v>Yes</v>
      </c>
      <c r="D538" t="s">
        <v>960</v>
      </c>
      <c r="E538" t="s">
        <v>1502</v>
      </c>
      <c r="F538" t="str" cm="1">
        <f t="array" ref="F538">IF(OR(COUNTIF(D538,"*"&amp;$T$9:$T$15&amp;"*")),"Female","Male")</f>
        <v>Female</v>
      </c>
      <c r="G538">
        <v>22</v>
      </c>
      <c r="H538">
        <v>0</v>
      </c>
      <c r="I538">
        <v>2</v>
      </c>
      <c r="J538">
        <v>1</v>
      </c>
      <c r="K538">
        <v>49.5</v>
      </c>
      <c r="L538">
        <f t="shared" si="41"/>
        <v>1</v>
      </c>
      <c r="M538">
        <f t="shared" si="42"/>
        <v>22</v>
      </c>
      <c r="N538" t="str">
        <f t="shared" si="43"/>
        <v>Adult</v>
      </c>
      <c r="O538">
        <f t="shared" si="44"/>
        <v>49.5</v>
      </c>
    </row>
    <row r="539" spans="1:15" x14ac:dyDescent="0.3">
      <c r="A539">
        <v>538</v>
      </c>
      <c r="B539">
        <v>1</v>
      </c>
      <c r="C539" t="str">
        <f t="shared" si="40"/>
        <v>Yes</v>
      </c>
      <c r="D539" t="s">
        <v>960</v>
      </c>
      <c r="E539" t="s">
        <v>1503</v>
      </c>
      <c r="F539" t="str" cm="1">
        <f t="array" ref="F539">IF(OR(COUNTIF(D539,"*"&amp;$T$9:$T$15&amp;"*")),"Female","Male")</f>
        <v>Female</v>
      </c>
      <c r="G539">
        <v>36</v>
      </c>
      <c r="H539">
        <v>0</v>
      </c>
      <c r="I539">
        <v>2</v>
      </c>
      <c r="J539">
        <v>1</v>
      </c>
      <c r="K539">
        <v>71</v>
      </c>
      <c r="L539">
        <f t="shared" si="41"/>
        <v>1</v>
      </c>
      <c r="M539">
        <f t="shared" si="42"/>
        <v>36</v>
      </c>
      <c r="N539" t="str">
        <f t="shared" si="43"/>
        <v>Adult</v>
      </c>
      <c r="O539">
        <f t="shared" si="44"/>
        <v>71</v>
      </c>
    </row>
    <row r="540" spans="1:15" x14ac:dyDescent="0.3">
      <c r="A540">
        <v>539</v>
      </c>
      <c r="B540">
        <v>0</v>
      </c>
      <c r="C540" t="str">
        <f t="shared" si="40"/>
        <v>No</v>
      </c>
      <c r="D540" t="s">
        <v>960</v>
      </c>
      <c r="E540" t="s">
        <v>1504</v>
      </c>
      <c r="F540" t="str" cm="1">
        <f t="array" ref="F540">IF(OR(COUNTIF(D540,"*"&amp;$T$9:$T$15&amp;"*")),"Female","Male")</f>
        <v>Female</v>
      </c>
      <c r="G540">
        <v>9</v>
      </c>
      <c r="H540">
        <v>4</v>
      </c>
      <c r="I540">
        <v>2</v>
      </c>
      <c r="J540">
        <v>3</v>
      </c>
      <c r="K540">
        <v>31.274999999999999</v>
      </c>
      <c r="L540">
        <f t="shared" si="41"/>
        <v>1</v>
      </c>
      <c r="M540">
        <f t="shared" si="42"/>
        <v>9</v>
      </c>
      <c r="N540" t="str">
        <f t="shared" si="43"/>
        <v>Child</v>
      </c>
      <c r="O540">
        <f t="shared" si="44"/>
        <v>31.28</v>
      </c>
    </row>
    <row r="541" spans="1:15" x14ac:dyDescent="0.3">
      <c r="A541">
        <v>540</v>
      </c>
      <c r="B541">
        <v>0</v>
      </c>
      <c r="C541" t="str">
        <f t="shared" si="40"/>
        <v>No</v>
      </c>
      <c r="D541" t="s">
        <v>960</v>
      </c>
      <c r="E541" t="s">
        <v>1505</v>
      </c>
      <c r="F541" t="str" cm="1">
        <f t="array" ref="F541">IF(OR(COUNTIF(D541,"*"&amp;$T$9:$T$15&amp;"*")),"Female","Male")</f>
        <v>Female</v>
      </c>
      <c r="G541">
        <v>11</v>
      </c>
      <c r="H541">
        <v>4</v>
      </c>
      <c r="I541">
        <v>2</v>
      </c>
      <c r="J541">
        <v>3</v>
      </c>
      <c r="K541">
        <v>31.274999999999999</v>
      </c>
      <c r="L541">
        <f t="shared" si="41"/>
        <v>1</v>
      </c>
      <c r="M541">
        <f t="shared" si="42"/>
        <v>11</v>
      </c>
      <c r="N541" t="str">
        <f t="shared" si="43"/>
        <v>Child</v>
      </c>
      <c r="O541">
        <f t="shared" si="44"/>
        <v>31.28</v>
      </c>
    </row>
    <row r="542" spans="1:15" x14ac:dyDescent="0.3">
      <c r="A542">
        <v>541</v>
      </c>
      <c r="B542">
        <v>1</v>
      </c>
      <c r="C542" t="str">
        <f t="shared" si="40"/>
        <v>Yes</v>
      </c>
      <c r="D542" t="s">
        <v>956</v>
      </c>
      <c r="E542" t="s">
        <v>1506</v>
      </c>
      <c r="F542" t="str" cm="1">
        <f t="array" ref="F542">IF(OR(COUNTIF(D542,"*"&amp;$T$9:$T$15&amp;"*")),"Female","Male")</f>
        <v>Male</v>
      </c>
      <c r="G542">
        <v>32</v>
      </c>
      <c r="H542">
        <v>1</v>
      </c>
      <c r="I542">
        <v>0</v>
      </c>
      <c r="J542">
        <v>2</v>
      </c>
      <c r="K542">
        <v>26</v>
      </c>
      <c r="L542">
        <f t="shared" si="41"/>
        <v>0</v>
      </c>
      <c r="M542">
        <f t="shared" si="42"/>
        <v>32</v>
      </c>
      <c r="N542" t="str">
        <f t="shared" si="43"/>
        <v>Adult</v>
      </c>
      <c r="O542">
        <f t="shared" si="44"/>
        <v>26</v>
      </c>
    </row>
    <row r="543" spans="1:15" x14ac:dyDescent="0.3">
      <c r="A543">
        <v>542</v>
      </c>
      <c r="B543">
        <v>0</v>
      </c>
      <c r="C543" t="str">
        <f t="shared" si="40"/>
        <v>No</v>
      </c>
      <c r="D543" t="s">
        <v>956</v>
      </c>
      <c r="E543" t="s">
        <v>1507</v>
      </c>
      <c r="F543" t="str" cm="1">
        <f t="array" ref="F543">IF(OR(COUNTIF(D543,"*"&amp;$T$9:$T$15&amp;"*")),"Female","Male")</f>
        <v>Male</v>
      </c>
      <c r="G543">
        <v>50</v>
      </c>
      <c r="H543">
        <v>1</v>
      </c>
      <c r="I543">
        <v>0</v>
      </c>
      <c r="J543">
        <v>1</v>
      </c>
      <c r="K543">
        <v>106.425</v>
      </c>
      <c r="L543">
        <f t="shared" si="41"/>
        <v>0</v>
      </c>
      <c r="M543">
        <f t="shared" si="42"/>
        <v>50</v>
      </c>
      <c r="N543" t="str">
        <f t="shared" si="43"/>
        <v>Adult</v>
      </c>
      <c r="O543">
        <f t="shared" si="44"/>
        <v>106.43</v>
      </c>
    </row>
    <row r="544" spans="1:15" x14ac:dyDescent="0.3">
      <c r="A544">
        <v>543</v>
      </c>
      <c r="B544">
        <v>0</v>
      </c>
      <c r="C544" t="str">
        <f t="shared" si="40"/>
        <v>No</v>
      </c>
      <c r="D544" t="s">
        <v>956</v>
      </c>
      <c r="E544" t="s">
        <v>1508</v>
      </c>
      <c r="F544" t="str" cm="1">
        <f t="array" ref="F544">IF(OR(COUNTIF(D544,"*"&amp;$T$9:$T$15&amp;"*")),"Female","Male")</f>
        <v>Male</v>
      </c>
      <c r="G544">
        <v>64</v>
      </c>
      <c r="H544">
        <v>0</v>
      </c>
      <c r="I544">
        <v>0</v>
      </c>
      <c r="J544">
        <v>1</v>
      </c>
      <c r="K544">
        <v>26</v>
      </c>
      <c r="L544">
        <f t="shared" si="41"/>
        <v>0</v>
      </c>
      <c r="M544">
        <f t="shared" si="42"/>
        <v>64</v>
      </c>
      <c r="N544" t="str">
        <f t="shared" si="43"/>
        <v>Adult</v>
      </c>
      <c r="O544">
        <f t="shared" si="44"/>
        <v>26</v>
      </c>
    </row>
    <row r="545" spans="1:15" x14ac:dyDescent="0.3">
      <c r="A545">
        <v>544</v>
      </c>
      <c r="B545">
        <v>1</v>
      </c>
      <c r="C545" t="str">
        <f t="shared" si="40"/>
        <v>Yes</v>
      </c>
      <c r="D545" t="s">
        <v>958</v>
      </c>
      <c r="E545" t="s">
        <v>1509</v>
      </c>
      <c r="F545" t="str" cm="1">
        <f t="array" ref="F545">IF(OR(COUNTIF(D545,"*"&amp;$T$9:$T$15&amp;"*")),"Female","Male")</f>
        <v>Female</v>
      </c>
      <c r="G545">
        <v>19</v>
      </c>
      <c r="H545">
        <v>1</v>
      </c>
      <c r="I545">
        <v>0</v>
      </c>
      <c r="J545">
        <v>2</v>
      </c>
      <c r="K545">
        <v>26</v>
      </c>
      <c r="L545">
        <f t="shared" si="41"/>
        <v>1</v>
      </c>
      <c r="M545">
        <f t="shared" si="42"/>
        <v>19</v>
      </c>
      <c r="N545" t="str">
        <f t="shared" si="43"/>
        <v>Adult</v>
      </c>
      <c r="O545">
        <f t="shared" si="44"/>
        <v>26</v>
      </c>
    </row>
    <row r="546" spans="1:15" x14ac:dyDescent="0.3">
      <c r="A546">
        <v>545</v>
      </c>
      <c r="B546">
        <v>1</v>
      </c>
      <c r="C546" t="str">
        <f t="shared" si="40"/>
        <v>Yes</v>
      </c>
      <c r="D546" t="s">
        <v>956</v>
      </c>
      <c r="E546" t="s">
        <v>1510</v>
      </c>
      <c r="F546" t="str" cm="1">
        <f t="array" ref="F546">IF(OR(COUNTIF(D546,"*"&amp;$T$9:$T$15&amp;"*")),"Female","Male")</f>
        <v>Male</v>
      </c>
      <c r="G546">
        <v>27</v>
      </c>
      <c r="H546">
        <v>0</v>
      </c>
      <c r="I546">
        <v>0</v>
      </c>
      <c r="J546">
        <v>2</v>
      </c>
      <c r="K546">
        <v>13.862500000000001</v>
      </c>
      <c r="L546">
        <f t="shared" si="41"/>
        <v>0</v>
      </c>
      <c r="M546">
        <f t="shared" si="42"/>
        <v>27</v>
      </c>
      <c r="N546" t="str">
        <f t="shared" si="43"/>
        <v>Adult</v>
      </c>
      <c r="O546">
        <f t="shared" si="44"/>
        <v>13.86</v>
      </c>
    </row>
    <row r="547" spans="1:15" x14ac:dyDescent="0.3">
      <c r="A547">
        <v>546</v>
      </c>
      <c r="B547">
        <v>0</v>
      </c>
      <c r="C547" t="str">
        <f t="shared" si="40"/>
        <v>No</v>
      </c>
      <c r="D547" t="s">
        <v>956</v>
      </c>
      <c r="E547" t="s">
        <v>1511</v>
      </c>
      <c r="F547" t="str" cm="1">
        <f t="array" ref="F547">IF(OR(COUNTIF(D547,"*"&amp;$T$9:$T$15&amp;"*")),"Female","Male")</f>
        <v>Male</v>
      </c>
      <c r="G547">
        <v>33</v>
      </c>
      <c r="H547">
        <v>1</v>
      </c>
      <c r="I547">
        <v>1</v>
      </c>
      <c r="J547">
        <v>3</v>
      </c>
      <c r="K547">
        <v>20.524999999999999</v>
      </c>
      <c r="L547">
        <f t="shared" si="41"/>
        <v>0</v>
      </c>
      <c r="M547">
        <f t="shared" si="42"/>
        <v>33</v>
      </c>
      <c r="N547" t="str">
        <f t="shared" si="43"/>
        <v>Adult</v>
      </c>
      <c r="O547">
        <f t="shared" si="44"/>
        <v>20.53</v>
      </c>
    </row>
    <row r="548" spans="1:15" x14ac:dyDescent="0.3">
      <c r="A548">
        <v>547</v>
      </c>
      <c r="B548">
        <v>1</v>
      </c>
      <c r="C548" t="str">
        <f t="shared" si="40"/>
        <v>Yes</v>
      </c>
      <c r="D548" t="s">
        <v>966</v>
      </c>
      <c r="E548" t="s">
        <v>1512</v>
      </c>
      <c r="F548" t="str" cm="1">
        <f t="array" ref="F548">IF(OR(COUNTIF(D548,"*"&amp;$T$9:$T$15&amp;"*")),"Female","Male")</f>
        <v>Male</v>
      </c>
      <c r="G548">
        <v>8</v>
      </c>
      <c r="H548">
        <v>1</v>
      </c>
      <c r="I548">
        <v>1</v>
      </c>
      <c r="J548">
        <v>2</v>
      </c>
      <c r="K548">
        <v>36.75</v>
      </c>
      <c r="L548">
        <f t="shared" si="41"/>
        <v>0</v>
      </c>
      <c r="M548">
        <f t="shared" si="42"/>
        <v>8</v>
      </c>
      <c r="N548" t="str">
        <f t="shared" si="43"/>
        <v>Child</v>
      </c>
      <c r="O548">
        <f t="shared" si="44"/>
        <v>36.75</v>
      </c>
    </row>
    <row r="549" spans="1:15" x14ac:dyDescent="0.3">
      <c r="A549">
        <v>548</v>
      </c>
      <c r="B549">
        <v>1</v>
      </c>
      <c r="C549" t="str">
        <f t="shared" si="40"/>
        <v>Yes</v>
      </c>
      <c r="D549" t="s">
        <v>956</v>
      </c>
      <c r="E549" t="s">
        <v>1513</v>
      </c>
      <c r="F549" t="str" cm="1">
        <f t="array" ref="F549">IF(OR(COUNTIF(D549,"*"&amp;$T$9:$T$15&amp;"*")),"Female","Male")</f>
        <v>Male</v>
      </c>
      <c r="G549">
        <v>17</v>
      </c>
      <c r="H549">
        <v>0</v>
      </c>
      <c r="I549">
        <v>2</v>
      </c>
      <c r="J549">
        <v>1</v>
      </c>
      <c r="K549">
        <v>110.88330000000001</v>
      </c>
      <c r="L549">
        <f t="shared" si="41"/>
        <v>0</v>
      </c>
      <c r="M549">
        <f t="shared" si="42"/>
        <v>17</v>
      </c>
      <c r="N549" t="str">
        <f t="shared" si="43"/>
        <v>Adult</v>
      </c>
      <c r="O549">
        <f t="shared" si="44"/>
        <v>110.88</v>
      </c>
    </row>
    <row r="550" spans="1:15" x14ac:dyDescent="0.3">
      <c r="A550">
        <v>549</v>
      </c>
      <c r="B550">
        <v>0</v>
      </c>
      <c r="C550" t="str">
        <f t="shared" si="40"/>
        <v>No</v>
      </c>
      <c r="D550" t="s">
        <v>956</v>
      </c>
      <c r="E550" t="s">
        <v>1514</v>
      </c>
      <c r="F550" t="str" cm="1">
        <f t="array" ref="F550">IF(OR(COUNTIF(D550,"*"&amp;$T$9:$T$15&amp;"*")),"Female","Male")</f>
        <v>Male</v>
      </c>
      <c r="G550">
        <v>27</v>
      </c>
      <c r="H550">
        <v>0</v>
      </c>
      <c r="I550">
        <v>0</v>
      </c>
      <c r="J550">
        <v>2</v>
      </c>
      <c r="K550">
        <v>26</v>
      </c>
      <c r="L550">
        <f t="shared" si="41"/>
        <v>0</v>
      </c>
      <c r="M550">
        <f t="shared" si="42"/>
        <v>27</v>
      </c>
      <c r="N550" t="str">
        <f t="shared" si="43"/>
        <v>Adult</v>
      </c>
      <c r="O550">
        <f t="shared" si="44"/>
        <v>26</v>
      </c>
    </row>
    <row r="551" spans="1:15" x14ac:dyDescent="0.3">
      <c r="A551">
        <v>550</v>
      </c>
      <c r="B551">
        <v>0</v>
      </c>
      <c r="C551" t="str">
        <f t="shared" si="40"/>
        <v>No</v>
      </c>
      <c r="D551" t="s">
        <v>956</v>
      </c>
      <c r="E551" t="s">
        <v>1515</v>
      </c>
      <c r="F551" t="str" cm="1">
        <f t="array" ref="F551">IF(OR(COUNTIF(D551,"*"&amp;$T$9:$T$15&amp;"*")),"Female","Male")</f>
        <v>Male</v>
      </c>
      <c r="G551">
        <v>21</v>
      </c>
      <c r="H551">
        <v>0</v>
      </c>
      <c r="I551">
        <v>0</v>
      </c>
      <c r="J551">
        <v>3</v>
      </c>
      <c r="K551">
        <v>7.8292000000000002</v>
      </c>
      <c r="L551">
        <f t="shared" si="41"/>
        <v>0</v>
      </c>
      <c r="M551">
        <f t="shared" si="42"/>
        <v>21</v>
      </c>
      <c r="N551" t="str">
        <f t="shared" si="43"/>
        <v>Adult</v>
      </c>
      <c r="O551">
        <f t="shared" si="44"/>
        <v>7.83</v>
      </c>
    </row>
    <row r="552" spans="1:15" x14ac:dyDescent="0.3">
      <c r="A552">
        <v>551</v>
      </c>
      <c r="B552">
        <v>1</v>
      </c>
      <c r="C552" t="str">
        <f t="shared" si="40"/>
        <v>Yes</v>
      </c>
      <c r="D552" t="s">
        <v>956</v>
      </c>
      <c r="E552" t="s">
        <v>1516</v>
      </c>
      <c r="F552" t="str" cm="1">
        <f t="array" ref="F552">IF(OR(COUNTIF(D552,"*"&amp;$T$9:$T$15&amp;"*")),"Female","Male")</f>
        <v>Male</v>
      </c>
      <c r="G552">
        <v>22</v>
      </c>
      <c r="H552">
        <v>0</v>
      </c>
      <c r="I552">
        <v>0</v>
      </c>
      <c r="J552">
        <v>3</v>
      </c>
      <c r="K552">
        <v>7.2249999999999996</v>
      </c>
      <c r="L552">
        <f t="shared" si="41"/>
        <v>0</v>
      </c>
      <c r="M552">
        <f t="shared" si="42"/>
        <v>22</v>
      </c>
      <c r="N552" t="str">
        <f t="shared" si="43"/>
        <v>Adult</v>
      </c>
      <c r="O552">
        <f t="shared" si="44"/>
        <v>7.23</v>
      </c>
    </row>
    <row r="553" spans="1:15" x14ac:dyDescent="0.3">
      <c r="A553">
        <v>552</v>
      </c>
      <c r="B553">
        <v>1</v>
      </c>
      <c r="C553" t="str">
        <f t="shared" si="40"/>
        <v>Yes</v>
      </c>
      <c r="D553" t="s">
        <v>960</v>
      </c>
      <c r="E553" t="s">
        <v>1517</v>
      </c>
      <c r="F553" t="str" cm="1">
        <f t="array" ref="F553">IF(OR(COUNTIF(D553,"*"&amp;$T$9:$T$15&amp;"*")),"Female","Male")</f>
        <v>Female</v>
      </c>
      <c r="G553">
        <v>22</v>
      </c>
      <c r="H553">
        <v>0</v>
      </c>
      <c r="I553">
        <v>0</v>
      </c>
      <c r="J553">
        <v>3</v>
      </c>
      <c r="K553">
        <v>7.7750000000000004</v>
      </c>
      <c r="L553">
        <f t="shared" si="41"/>
        <v>1</v>
      </c>
      <c r="M553">
        <f t="shared" si="42"/>
        <v>22</v>
      </c>
      <c r="N553" t="str">
        <f t="shared" si="43"/>
        <v>Adult</v>
      </c>
      <c r="O553">
        <f t="shared" si="44"/>
        <v>7.78</v>
      </c>
    </row>
    <row r="554" spans="1:15" x14ac:dyDescent="0.3">
      <c r="A554">
        <v>553</v>
      </c>
      <c r="B554">
        <v>0</v>
      </c>
      <c r="C554" t="str">
        <f t="shared" si="40"/>
        <v>No</v>
      </c>
      <c r="D554" t="s">
        <v>956</v>
      </c>
      <c r="E554" t="s">
        <v>1518</v>
      </c>
      <c r="F554" t="str" cm="1">
        <f t="array" ref="F554">IF(OR(COUNTIF(D554,"*"&amp;$T$9:$T$15&amp;"*")),"Female","Male")</f>
        <v>Male</v>
      </c>
      <c r="G554">
        <v>62</v>
      </c>
      <c r="H554">
        <v>0</v>
      </c>
      <c r="I554">
        <v>0</v>
      </c>
      <c r="J554">
        <v>1</v>
      </c>
      <c r="K554">
        <v>26.55</v>
      </c>
      <c r="L554">
        <f t="shared" si="41"/>
        <v>0</v>
      </c>
      <c r="M554">
        <f t="shared" si="42"/>
        <v>62</v>
      </c>
      <c r="N554" t="str">
        <f t="shared" si="43"/>
        <v>Adult</v>
      </c>
      <c r="O554">
        <f t="shared" si="44"/>
        <v>26.55</v>
      </c>
    </row>
    <row r="555" spans="1:15" x14ac:dyDescent="0.3">
      <c r="A555">
        <v>554</v>
      </c>
      <c r="B555">
        <v>1</v>
      </c>
      <c r="C555" t="str">
        <f t="shared" si="40"/>
        <v>Yes</v>
      </c>
      <c r="D555" t="s">
        <v>1519</v>
      </c>
      <c r="E555" t="s">
        <v>1520</v>
      </c>
      <c r="F555" t="str" cm="1">
        <f t="array" ref="F555">IF(OR(COUNTIF(D555,"*"&amp;$T$9:$T$15&amp;"*")),"Female","Male")</f>
        <v>Female</v>
      </c>
      <c r="G555">
        <v>48</v>
      </c>
      <c r="H555">
        <v>1</v>
      </c>
      <c r="I555">
        <v>0</v>
      </c>
      <c r="J555">
        <v>1</v>
      </c>
      <c r="K555">
        <v>39.6</v>
      </c>
      <c r="L555">
        <f t="shared" si="41"/>
        <v>1</v>
      </c>
      <c r="M555">
        <f t="shared" si="42"/>
        <v>48</v>
      </c>
      <c r="N555" t="str">
        <f t="shared" si="43"/>
        <v>Adult</v>
      </c>
      <c r="O555">
        <f t="shared" si="44"/>
        <v>39.6</v>
      </c>
    </row>
    <row r="556" spans="1:15" x14ac:dyDescent="0.3">
      <c r="A556">
        <v>555</v>
      </c>
      <c r="B556">
        <v>0</v>
      </c>
      <c r="C556" t="str">
        <f t="shared" si="40"/>
        <v>No</v>
      </c>
      <c r="D556" t="s">
        <v>956</v>
      </c>
      <c r="E556" t="s">
        <v>1521</v>
      </c>
      <c r="F556" t="str" cm="1">
        <f t="array" ref="F556">IF(OR(COUNTIF(D556,"*"&amp;$T$9:$T$15&amp;"*")),"Female","Male")</f>
        <v>Male</v>
      </c>
      <c r="G556">
        <v>45</v>
      </c>
      <c r="H556">
        <v>0</v>
      </c>
      <c r="I556">
        <v>0</v>
      </c>
      <c r="J556">
        <v>1</v>
      </c>
      <c r="K556">
        <v>227.52500000000001</v>
      </c>
      <c r="L556">
        <f t="shared" si="41"/>
        <v>0</v>
      </c>
      <c r="M556">
        <f t="shared" si="42"/>
        <v>45</v>
      </c>
      <c r="N556" t="str">
        <f t="shared" si="43"/>
        <v>Adult</v>
      </c>
      <c r="O556">
        <f t="shared" si="44"/>
        <v>227.53</v>
      </c>
    </row>
    <row r="557" spans="1:15" x14ac:dyDescent="0.3">
      <c r="A557">
        <v>556</v>
      </c>
      <c r="B557">
        <v>1</v>
      </c>
      <c r="C557" t="str">
        <f t="shared" si="40"/>
        <v>Yes</v>
      </c>
      <c r="D557" t="s">
        <v>958</v>
      </c>
      <c r="E557" t="s">
        <v>1522</v>
      </c>
      <c r="F557" t="str" cm="1">
        <f t="array" ref="F557">IF(OR(COUNTIF(D557,"*"&amp;$T$9:$T$15&amp;"*")),"Female","Male")</f>
        <v>Female</v>
      </c>
      <c r="G557">
        <v>39</v>
      </c>
      <c r="H557">
        <v>1</v>
      </c>
      <c r="I557">
        <v>1</v>
      </c>
      <c r="J557">
        <v>1</v>
      </c>
      <c r="K557">
        <v>79.650000000000006</v>
      </c>
      <c r="L557">
        <f t="shared" si="41"/>
        <v>1</v>
      </c>
      <c r="M557">
        <f t="shared" si="42"/>
        <v>39</v>
      </c>
      <c r="N557" t="str">
        <f t="shared" si="43"/>
        <v>Adult</v>
      </c>
      <c r="O557">
        <f t="shared" si="44"/>
        <v>79.650000000000006</v>
      </c>
    </row>
    <row r="558" spans="1:15" x14ac:dyDescent="0.3">
      <c r="A558">
        <v>557</v>
      </c>
      <c r="B558">
        <v>1</v>
      </c>
      <c r="C558" t="str">
        <f t="shared" si="40"/>
        <v>Yes</v>
      </c>
      <c r="D558" t="s">
        <v>958</v>
      </c>
      <c r="E558" t="s">
        <v>1523</v>
      </c>
      <c r="F558" t="str" cm="1">
        <f t="array" ref="F558">IF(OR(COUNTIF(D558,"*"&amp;$T$9:$T$15&amp;"*")),"Female","Male")</f>
        <v>Female</v>
      </c>
      <c r="G558">
        <v>36</v>
      </c>
      <c r="H558">
        <v>1</v>
      </c>
      <c r="I558">
        <v>0</v>
      </c>
      <c r="J558">
        <v>3</v>
      </c>
      <c r="K558">
        <v>17.399999999999999</v>
      </c>
      <c r="L558">
        <f t="shared" si="41"/>
        <v>1</v>
      </c>
      <c r="M558">
        <f t="shared" si="42"/>
        <v>36</v>
      </c>
      <c r="N558" t="str">
        <f t="shared" si="43"/>
        <v>Adult</v>
      </c>
      <c r="O558">
        <f t="shared" si="44"/>
        <v>17.399999999999999</v>
      </c>
    </row>
    <row r="559" spans="1:15" x14ac:dyDescent="0.3">
      <c r="A559">
        <v>558</v>
      </c>
      <c r="B559">
        <v>0</v>
      </c>
      <c r="C559" t="str">
        <f t="shared" si="40"/>
        <v>No</v>
      </c>
      <c r="D559" t="s">
        <v>956</v>
      </c>
      <c r="E559" t="s">
        <v>1524</v>
      </c>
      <c r="F559" t="str" cm="1">
        <f t="array" ref="F559">IF(OR(COUNTIF(D559,"*"&amp;$T$9:$T$15&amp;"*")),"Female","Male")</f>
        <v>Male</v>
      </c>
      <c r="G559">
        <v>30</v>
      </c>
      <c r="H559">
        <v>0</v>
      </c>
      <c r="I559">
        <v>0</v>
      </c>
      <c r="J559">
        <v>3</v>
      </c>
      <c r="K559">
        <v>7.75</v>
      </c>
      <c r="L559">
        <f t="shared" si="41"/>
        <v>0</v>
      </c>
      <c r="M559">
        <f t="shared" si="42"/>
        <v>30</v>
      </c>
      <c r="N559" t="str">
        <f t="shared" si="43"/>
        <v>Adult</v>
      </c>
      <c r="O559">
        <f t="shared" si="44"/>
        <v>7.75</v>
      </c>
    </row>
    <row r="560" spans="1:15" x14ac:dyDescent="0.3">
      <c r="A560">
        <v>559</v>
      </c>
      <c r="B560">
        <v>0</v>
      </c>
      <c r="C560" t="str">
        <f t="shared" si="40"/>
        <v>No</v>
      </c>
      <c r="D560" t="s">
        <v>956</v>
      </c>
      <c r="E560" t="s">
        <v>1525</v>
      </c>
      <c r="F560" t="str" cm="1">
        <f t="array" ref="F560">IF(OR(COUNTIF(D560,"*"&amp;$T$9:$T$15&amp;"*")),"Female","Male")</f>
        <v>Male</v>
      </c>
      <c r="G560">
        <v>40</v>
      </c>
      <c r="H560">
        <v>0</v>
      </c>
      <c r="I560">
        <v>0</v>
      </c>
      <c r="J560">
        <v>3</v>
      </c>
      <c r="K560">
        <v>7.8958000000000004</v>
      </c>
      <c r="L560">
        <f t="shared" si="41"/>
        <v>0</v>
      </c>
      <c r="M560">
        <f t="shared" si="42"/>
        <v>40</v>
      </c>
      <c r="N560" t="str">
        <f t="shared" si="43"/>
        <v>Adult</v>
      </c>
      <c r="O560">
        <f t="shared" si="44"/>
        <v>7.9</v>
      </c>
    </row>
    <row r="561" spans="1:15" x14ac:dyDescent="0.3">
      <c r="A561">
        <v>560</v>
      </c>
      <c r="B561">
        <v>0</v>
      </c>
      <c r="C561" t="str">
        <f t="shared" si="40"/>
        <v>No</v>
      </c>
      <c r="D561" t="s">
        <v>956</v>
      </c>
      <c r="E561" t="s">
        <v>1526</v>
      </c>
      <c r="F561" t="str" cm="1">
        <f t="array" ref="F561">IF(OR(COUNTIF(D561,"*"&amp;$T$9:$T$15&amp;"*")),"Female","Male")</f>
        <v>Male</v>
      </c>
      <c r="G561">
        <v>28</v>
      </c>
      <c r="H561">
        <v>0</v>
      </c>
      <c r="I561">
        <v>0</v>
      </c>
      <c r="J561">
        <v>2</v>
      </c>
      <c r="K561">
        <v>13.5</v>
      </c>
      <c r="L561">
        <f t="shared" si="41"/>
        <v>0</v>
      </c>
      <c r="M561">
        <f t="shared" si="42"/>
        <v>28</v>
      </c>
      <c r="N561" t="str">
        <f t="shared" si="43"/>
        <v>Adult</v>
      </c>
      <c r="O561">
        <f t="shared" si="44"/>
        <v>13.5</v>
      </c>
    </row>
    <row r="562" spans="1:15" x14ac:dyDescent="0.3">
      <c r="A562">
        <v>561</v>
      </c>
      <c r="B562">
        <v>0</v>
      </c>
      <c r="C562" t="str">
        <f t="shared" si="40"/>
        <v>No</v>
      </c>
      <c r="D562" t="s">
        <v>956</v>
      </c>
      <c r="E562" t="s">
        <v>1527</v>
      </c>
      <c r="F562" t="str" cm="1">
        <f t="array" ref="F562">IF(OR(COUNTIF(D562,"*"&amp;$T$9:$T$15&amp;"*")),"Female","Male")</f>
        <v>Male</v>
      </c>
      <c r="G562">
        <v>40</v>
      </c>
      <c r="H562">
        <v>0</v>
      </c>
      <c r="I562">
        <v>0</v>
      </c>
      <c r="J562">
        <v>3</v>
      </c>
      <c r="K562">
        <v>8.0500000000000007</v>
      </c>
      <c r="L562">
        <f t="shared" si="41"/>
        <v>0</v>
      </c>
      <c r="M562">
        <f t="shared" si="42"/>
        <v>40</v>
      </c>
      <c r="N562" t="str">
        <f t="shared" si="43"/>
        <v>Adult</v>
      </c>
      <c r="O562">
        <f t="shared" si="44"/>
        <v>8.0500000000000007</v>
      </c>
    </row>
    <row r="563" spans="1:15" x14ac:dyDescent="0.3">
      <c r="A563">
        <v>562</v>
      </c>
      <c r="B563">
        <v>0</v>
      </c>
      <c r="C563" t="str">
        <f t="shared" si="40"/>
        <v>No</v>
      </c>
      <c r="D563" t="s">
        <v>960</v>
      </c>
      <c r="E563" t="s">
        <v>1528</v>
      </c>
      <c r="F563" t="str" cm="1">
        <f t="array" ref="F563">IF(OR(COUNTIF(D563,"*"&amp;$T$9:$T$15&amp;"*")),"Female","Male")</f>
        <v>Female</v>
      </c>
      <c r="G563">
        <v>62</v>
      </c>
      <c r="H563">
        <v>0</v>
      </c>
      <c r="I563">
        <v>0</v>
      </c>
      <c r="J563">
        <v>3</v>
      </c>
      <c r="K563">
        <v>8.0500000000000007</v>
      </c>
      <c r="L563">
        <f t="shared" si="41"/>
        <v>1</v>
      </c>
      <c r="M563">
        <f t="shared" si="42"/>
        <v>62</v>
      </c>
      <c r="N563" t="str">
        <f t="shared" si="43"/>
        <v>Adult</v>
      </c>
      <c r="O563">
        <f t="shared" si="44"/>
        <v>8.0500000000000007</v>
      </c>
    </row>
    <row r="564" spans="1:15" x14ac:dyDescent="0.3">
      <c r="A564">
        <v>563</v>
      </c>
      <c r="B564">
        <v>0</v>
      </c>
      <c r="C564" t="str">
        <f t="shared" si="40"/>
        <v>No</v>
      </c>
      <c r="D564" t="s">
        <v>956</v>
      </c>
      <c r="E564" t="s">
        <v>1529</v>
      </c>
      <c r="F564" t="str" cm="1">
        <f t="array" ref="F564">IF(OR(COUNTIF(D564,"*"&amp;$T$9:$T$15&amp;"*")),"Female","Male")</f>
        <v>Male</v>
      </c>
      <c r="G564">
        <v>24</v>
      </c>
      <c r="H564">
        <v>2</v>
      </c>
      <c r="I564">
        <v>0</v>
      </c>
      <c r="J564">
        <v>3</v>
      </c>
      <c r="K564">
        <v>24.15</v>
      </c>
      <c r="L564">
        <f t="shared" si="41"/>
        <v>0</v>
      </c>
      <c r="M564">
        <f t="shared" si="42"/>
        <v>24</v>
      </c>
      <c r="N564" t="str">
        <f t="shared" si="43"/>
        <v>Adult</v>
      </c>
      <c r="O564">
        <f t="shared" si="44"/>
        <v>24.15</v>
      </c>
    </row>
    <row r="565" spans="1:15" x14ac:dyDescent="0.3">
      <c r="A565">
        <v>564</v>
      </c>
      <c r="B565">
        <v>0</v>
      </c>
      <c r="C565" t="str">
        <f t="shared" si="40"/>
        <v>No</v>
      </c>
      <c r="D565" t="s">
        <v>956</v>
      </c>
      <c r="E565" t="s">
        <v>1530</v>
      </c>
      <c r="F565" t="str" cm="1">
        <f t="array" ref="F565">IF(OR(COUNTIF(D565,"*"&amp;$T$9:$T$15&amp;"*")),"Female","Male")</f>
        <v>Male</v>
      </c>
      <c r="G565">
        <v>19</v>
      </c>
      <c r="H565">
        <v>0</v>
      </c>
      <c r="I565">
        <v>0</v>
      </c>
      <c r="J565">
        <v>3</v>
      </c>
      <c r="K565">
        <v>7.8958000000000004</v>
      </c>
      <c r="L565">
        <f t="shared" si="41"/>
        <v>0</v>
      </c>
      <c r="M565">
        <f t="shared" si="42"/>
        <v>19</v>
      </c>
      <c r="N565" t="str">
        <f t="shared" si="43"/>
        <v>Adult</v>
      </c>
      <c r="O565">
        <f t="shared" si="44"/>
        <v>7.9</v>
      </c>
    </row>
    <row r="566" spans="1:15" x14ac:dyDescent="0.3">
      <c r="A566">
        <v>565</v>
      </c>
      <c r="B566">
        <v>0</v>
      </c>
      <c r="C566" t="str">
        <f t="shared" si="40"/>
        <v>No</v>
      </c>
      <c r="D566" t="s">
        <v>958</v>
      </c>
      <c r="E566" t="s">
        <v>1531</v>
      </c>
      <c r="F566" t="str" cm="1">
        <f t="array" ref="F566">IF(OR(COUNTIF(D566,"*"&amp;$T$9:$T$15&amp;"*")),"Female","Male")</f>
        <v>Female</v>
      </c>
      <c r="G566">
        <v>29</v>
      </c>
      <c r="H566">
        <v>0</v>
      </c>
      <c r="I566">
        <v>4</v>
      </c>
      <c r="J566">
        <v>3</v>
      </c>
      <c r="K566">
        <v>21.074999999999999</v>
      </c>
      <c r="L566">
        <f t="shared" si="41"/>
        <v>1</v>
      </c>
      <c r="M566">
        <f t="shared" si="42"/>
        <v>29</v>
      </c>
      <c r="N566" t="str">
        <f t="shared" si="43"/>
        <v>Adult</v>
      </c>
      <c r="O566">
        <f t="shared" si="44"/>
        <v>21.08</v>
      </c>
    </row>
    <row r="567" spans="1:15" x14ac:dyDescent="0.3">
      <c r="A567">
        <v>566</v>
      </c>
      <c r="B567">
        <v>0</v>
      </c>
      <c r="C567" t="str">
        <f t="shared" si="40"/>
        <v>No</v>
      </c>
      <c r="D567" t="s">
        <v>956</v>
      </c>
      <c r="E567" t="s">
        <v>1532</v>
      </c>
      <c r="F567" t="str" cm="1">
        <f t="array" ref="F567">IF(OR(COUNTIF(D567,"*"&amp;$T$9:$T$15&amp;"*")),"Female","Male")</f>
        <v>Male</v>
      </c>
      <c r="G567">
        <v>28</v>
      </c>
      <c r="H567">
        <v>0</v>
      </c>
      <c r="I567">
        <v>0</v>
      </c>
      <c r="J567">
        <v>3</v>
      </c>
      <c r="K567">
        <v>7.2291999999999996</v>
      </c>
      <c r="L567">
        <f t="shared" si="41"/>
        <v>0</v>
      </c>
      <c r="M567">
        <f t="shared" si="42"/>
        <v>28</v>
      </c>
      <c r="N567" t="str">
        <f t="shared" si="43"/>
        <v>Adult</v>
      </c>
      <c r="O567">
        <f t="shared" si="44"/>
        <v>7.23</v>
      </c>
    </row>
    <row r="568" spans="1:15" x14ac:dyDescent="0.3">
      <c r="A568">
        <v>567</v>
      </c>
      <c r="B568">
        <v>1</v>
      </c>
      <c r="C568" t="str">
        <f t="shared" si="40"/>
        <v>Yes</v>
      </c>
      <c r="D568" t="s">
        <v>956</v>
      </c>
      <c r="E568" t="s">
        <v>1533</v>
      </c>
      <c r="F568" t="str" cm="1">
        <f t="array" ref="F568">IF(OR(COUNTIF(D568,"*"&amp;$T$9:$T$15&amp;"*")),"Female","Male")</f>
        <v>Male</v>
      </c>
      <c r="G568">
        <v>32</v>
      </c>
      <c r="H568">
        <v>0</v>
      </c>
      <c r="I568">
        <v>0</v>
      </c>
      <c r="J568">
        <v>3</v>
      </c>
      <c r="K568">
        <v>7.8541999999999996</v>
      </c>
      <c r="L568">
        <f t="shared" si="41"/>
        <v>0</v>
      </c>
      <c r="M568">
        <f t="shared" si="42"/>
        <v>32</v>
      </c>
      <c r="N568" t="str">
        <f t="shared" si="43"/>
        <v>Adult</v>
      </c>
      <c r="O568">
        <f t="shared" si="44"/>
        <v>7.85</v>
      </c>
    </row>
    <row r="569" spans="1:15" x14ac:dyDescent="0.3">
      <c r="A569">
        <v>568</v>
      </c>
      <c r="B569">
        <v>1</v>
      </c>
      <c r="C569" t="str">
        <f t="shared" si="40"/>
        <v>Yes</v>
      </c>
      <c r="D569" t="s">
        <v>956</v>
      </c>
      <c r="E569" t="s">
        <v>1534</v>
      </c>
      <c r="F569" t="str" cm="1">
        <f t="array" ref="F569">IF(OR(COUNTIF(D569,"*"&amp;$T$9:$T$15&amp;"*")),"Female","Male")</f>
        <v>Male</v>
      </c>
      <c r="G569">
        <v>62</v>
      </c>
      <c r="H569">
        <v>0</v>
      </c>
      <c r="I569">
        <v>0</v>
      </c>
      <c r="J569">
        <v>2</v>
      </c>
      <c r="K569">
        <v>10.5</v>
      </c>
      <c r="L569">
        <f t="shared" si="41"/>
        <v>0</v>
      </c>
      <c r="M569">
        <f t="shared" si="42"/>
        <v>62</v>
      </c>
      <c r="N569" t="str">
        <f t="shared" si="43"/>
        <v>Adult</v>
      </c>
      <c r="O569">
        <f t="shared" si="44"/>
        <v>10.5</v>
      </c>
    </row>
    <row r="570" spans="1:15" x14ac:dyDescent="0.3">
      <c r="A570">
        <v>569</v>
      </c>
      <c r="B570">
        <v>1</v>
      </c>
      <c r="C570" t="str">
        <f t="shared" si="40"/>
        <v>Yes</v>
      </c>
      <c r="D570" t="s">
        <v>958</v>
      </c>
      <c r="E570" t="s">
        <v>1535</v>
      </c>
      <c r="F570" t="str" cm="1">
        <f t="array" ref="F570">IF(OR(COUNTIF(D570,"*"&amp;$T$9:$T$15&amp;"*")),"Female","Male")</f>
        <v>Female</v>
      </c>
      <c r="G570">
        <v>53</v>
      </c>
      <c r="H570">
        <v>2</v>
      </c>
      <c r="I570">
        <v>0</v>
      </c>
      <c r="J570">
        <v>1</v>
      </c>
      <c r="K570">
        <v>51.479199999999999</v>
      </c>
      <c r="L570">
        <f t="shared" si="41"/>
        <v>1</v>
      </c>
      <c r="M570">
        <f t="shared" si="42"/>
        <v>53</v>
      </c>
      <c r="N570" t="str">
        <f t="shared" si="43"/>
        <v>Adult</v>
      </c>
      <c r="O570">
        <f t="shared" si="44"/>
        <v>51.48</v>
      </c>
    </row>
    <row r="571" spans="1:15" x14ac:dyDescent="0.3">
      <c r="A571">
        <v>570</v>
      </c>
      <c r="B571">
        <v>1</v>
      </c>
      <c r="C571" t="str">
        <f t="shared" si="40"/>
        <v>Yes</v>
      </c>
      <c r="D571" t="s">
        <v>956</v>
      </c>
      <c r="E571" t="s">
        <v>1536</v>
      </c>
      <c r="F571" t="str" cm="1">
        <f t="array" ref="F571">IF(OR(COUNTIF(D571,"*"&amp;$T$9:$T$15&amp;"*")),"Female","Male")</f>
        <v>Male</v>
      </c>
      <c r="G571">
        <v>36</v>
      </c>
      <c r="H571">
        <v>0</v>
      </c>
      <c r="I571">
        <v>0</v>
      </c>
      <c r="J571">
        <v>1</v>
      </c>
      <c r="K571">
        <v>26.387499999999999</v>
      </c>
      <c r="L571">
        <f t="shared" si="41"/>
        <v>0</v>
      </c>
      <c r="M571">
        <f t="shared" si="42"/>
        <v>36</v>
      </c>
      <c r="N571" t="str">
        <f t="shared" si="43"/>
        <v>Adult</v>
      </c>
      <c r="O571">
        <f t="shared" si="44"/>
        <v>26.39</v>
      </c>
    </row>
    <row r="572" spans="1:15" x14ac:dyDescent="0.3">
      <c r="A572">
        <v>571</v>
      </c>
      <c r="B572">
        <v>1</v>
      </c>
      <c r="C572" t="str">
        <f t="shared" si="40"/>
        <v>Yes</v>
      </c>
      <c r="D572" t="s">
        <v>960</v>
      </c>
      <c r="E572" t="s">
        <v>1537</v>
      </c>
      <c r="F572" t="str" cm="1">
        <f t="array" ref="F572">IF(OR(COUNTIF(D572,"*"&amp;$T$9:$T$15&amp;"*")),"Female","Male")</f>
        <v>Female</v>
      </c>
      <c r="G572">
        <v>22</v>
      </c>
      <c r="H572">
        <v>0</v>
      </c>
      <c r="I572">
        <v>0</v>
      </c>
      <c r="J572">
        <v>3</v>
      </c>
      <c r="K572">
        <v>7.75</v>
      </c>
      <c r="L572">
        <f t="shared" si="41"/>
        <v>1</v>
      </c>
      <c r="M572">
        <f t="shared" si="42"/>
        <v>22</v>
      </c>
      <c r="N572" t="str">
        <f t="shared" si="43"/>
        <v>Adult</v>
      </c>
      <c r="O572">
        <f t="shared" si="44"/>
        <v>7.75</v>
      </c>
    </row>
    <row r="573" spans="1:15" x14ac:dyDescent="0.3">
      <c r="A573">
        <v>572</v>
      </c>
      <c r="B573">
        <v>0</v>
      </c>
      <c r="C573" t="str">
        <f t="shared" si="40"/>
        <v>No</v>
      </c>
      <c r="D573" t="s">
        <v>956</v>
      </c>
      <c r="E573" t="s">
        <v>1538</v>
      </c>
      <c r="F573" t="str" cm="1">
        <f t="array" ref="F573">IF(OR(COUNTIF(D573,"*"&amp;$T$9:$T$15&amp;"*")),"Female","Male")</f>
        <v>Male</v>
      </c>
      <c r="G573">
        <v>16</v>
      </c>
      <c r="H573">
        <v>0</v>
      </c>
      <c r="I573">
        <v>0</v>
      </c>
      <c r="J573">
        <v>3</v>
      </c>
      <c r="K573">
        <v>8.0500000000000007</v>
      </c>
      <c r="L573">
        <f t="shared" si="41"/>
        <v>0</v>
      </c>
      <c r="M573">
        <f t="shared" si="42"/>
        <v>16</v>
      </c>
      <c r="N573" t="str">
        <f t="shared" si="43"/>
        <v>Child</v>
      </c>
      <c r="O573">
        <f t="shared" si="44"/>
        <v>8.0500000000000007</v>
      </c>
    </row>
    <row r="574" spans="1:15" x14ac:dyDescent="0.3">
      <c r="A574">
        <v>573</v>
      </c>
      <c r="B574">
        <v>0</v>
      </c>
      <c r="C574" t="str">
        <f t="shared" si="40"/>
        <v>No</v>
      </c>
      <c r="D574" t="s">
        <v>956</v>
      </c>
      <c r="E574" t="s">
        <v>1539</v>
      </c>
      <c r="F574" t="str" cm="1">
        <f t="array" ref="F574">IF(OR(COUNTIF(D574,"*"&amp;$T$9:$T$15&amp;"*")),"Female","Male")</f>
        <v>Male</v>
      </c>
      <c r="G574">
        <v>19</v>
      </c>
      <c r="H574">
        <v>0</v>
      </c>
      <c r="I574">
        <v>0</v>
      </c>
      <c r="J574">
        <v>3</v>
      </c>
      <c r="K574">
        <v>14.5</v>
      </c>
      <c r="L574">
        <f t="shared" si="41"/>
        <v>0</v>
      </c>
      <c r="M574">
        <f t="shared" si="42"/>
        <v>19</v>
      </c>
      <c r="N574" t="str">
        <f t="shared" si="43"/>
        <v>Adult</v>
      </c>
      <c r="O574">
        <f t="shared" si="44"/>
        <v>14.5</v>
      </c>
    </row>
    <row r="575" spans="1:15" x14ac:dyDescent="0.3">
      <c r="A575">
        <v>574</v>
      </c>
      <c r="B575">
        <v>1</v>
      </c>
      <c r="C575" t="str">
        <f t="shared" si="40"/>
        <v>Yes</v>
      </c>
      <c r="D575" t="s">
        <v>960</v>
      </c>
      <c r="E575" t="s">
        <v>1540</v>
      </c>
      <c r="F575" t="str" cm="1">
        <f t="array" ref="F575">IF(OR(COUNTIF(D575,"*"&amp;$T$9:$T$15&amp;"*")),"Female","Male")</f>
        <v>Female</v>
      </c>
      <c r="G575">
        <v>34</v>
      </c>
      <c r="H575">
        <v>0</v>
      </c>
      <c r="I575">
        <v>0</v>
      </c>
      <c r="J575">
        <v>2</v>
      </c>
      <c r="K575">
        <v>13</v>
      </c>
      <c r="L575">
        <f t="shared" si="41"/>
        <v>1</v>
      </c>
      <c r="M575">
        <f t="shared" si="42"/>
        <v>34</v>
      </c>
      <c r="N575" t="str">
        <f t="shared" si="43"/>
        <v>Adult</v>
      </c>
      <c r="O575">
        <f t="shared" si="44"/>
        <v>13</v>
      </c>
    </row>
    <row r="576" spans="1:15" x14ac:dyDescent="0.3">
      <c r="A576">
        <v>575</v>
      </c>
      <c r="B576">
        <v>1</v>
      </c>
      <c r="C576" t="str">
        <f t="shared" si="40"/>
        <v>Yes</v>
      </c>
      <c r="D576" t="s">
        <v>958</v>
      </c>
      <c r="E576" t="s">
        <v>1541</v>
      </c>
      <c r="F576" t="str" cm="1">
        <f t="array" ref="F576">IF(OR(COUNTIF(D576,"*"&amp;$T$9:$T$15&amp;"*")),"Female","Male")</f>
        <v>Female</v>
      </c>
      <c r="G576">
        <v>39</v>
      </c>
      <c r="H576">
        <v>1</v>
      </c>
      <c r="I576">
        <v>0</v>
      </c>
      <c r="J576">
        <v>1</v>
      </c>
      <c r="K576">
        <v>55.9</v>
      </c>
      <c r="L576">
        <f t="shared" si="41"/>
        <v>1</v>
      </c>
      <c r="M576">
        <f t="shared" si="42"/>
        <v>39</v>
      </c>
      <c r="N576" t="str">
        <f t="shared" si="43"/>
        <v>Adult</v>
      </c>
      <c r="O576">
        <f t="shared" si="44"/>
        <v>55.9</v>
      </c>
    </row>
    <row r="577" spans="1:15" x14ac:dyDescent="0.3">
      <c r="A577">
        <v>576</v>
      </c>
      <c r="B577">
        <v>0</v>
      </c>
      <c r="C577" t="str">
        <f t="shared" si="40"/>
        <v>No</v>
      </c>
      <c r="D577" t="s">
        <v>958</v>
      </c>
      <c r="E577" t="s">
        <v>1542</v>
      </c>
      <c r="F577" t="str" cm="1">
        <f t="array" ref="F577">IF(OR(COUNTIF(D577,"*"&amp;$T$9:$T$15&amp;"*")),"Female","Male")</f>
        <v>Female</v>
      </c>
      <c r="G577">
        <v>18</v>
      </c>
      <c r="H577">
        <v>1</v>
      </c>
      <c r="I577">
        <v>0</v>
      </c>
      <c r="J577">
        <v>3</v>
      </c>
      <c r="K577">
        <v>14.458299999999999</v>
      </c>
      <c r="L577">
        <f t="shared" si="41"/>
        <v>1</v>
      </c>
      <c r="M577">
        <f t="shared" si="42"/>
        <v>18</v>
      </c>
      <c r="N577" t="str">
        <f t="shared" si="43"/>
        <v>Adult</v>
      </c>
      <c r="O577">
        <f t="shared" si="44"/>
        <v>14.46</v>
      </c>
    </row>
    <row r="578" spans="1:15" x14ac:dyDescent="0.3">
      <c r="A578">
        <v>577</v>
      </c>
      <c r="B578">
        <v>1</v>
      </c>
      <c r="C578" t="str">
        <f t="shared" si="40"/>
        <v>Yes</v>
      </c>
      <c r="D578" t="s">
        <v>956</v>
      </c>
      <c r="E578" t="s">
        <v>1543</v>
      </c>
      <c r="F578" t="str" cm="1">
        <f t="array" ref="F578">IF(OR(COUNTIF(D578,"*"&amp;$T$9:$T$15&amp;"*")),"Female","Male")</f>
        <v>Male</v>
      </c>
      <c r="G578">
        <v>32</v>
      </c>
      <c r="H578">
        <v>0</v>
      </c>
      <c r="I578">
        <v>0</v>
      </c>
      <c r="J578">
        <v>3</v>
      </c>
      <c r="K578">
        <v>7.9249999999999998</v>
      </c>
      <c r="L578">
        <f t="shared" si="41"/>
        <v>0</v>
      </c>
      <c r="M578">
        <f t="shared" si="42"/>
        <v>32</v>
      </c>
      <c r="N578" t="str">
        <f t="shared" si="43"/>
        <v>Adult</v>
      </c>
      <c r="O578">
        <f t="shared" si="44"/>
        <v>7.93</v>
      </c>
    </row>
    <row r="579" spans="1:15" x14ac:dyDescent="0.3">
      <c r="A579">
        <v>578</v>
      </c>
      <c r="B579">
        <v>1</v>
      </c>
      <c r="C579" t="str">
        <f t="shared" ref="C579:C642" si="45">IF(B579=0,"No","Yes")</f>
        <v>Yes</v>
      </c>
      <c r="D579" t="s">
        <v>960</v>
      </c>
      <c r="E579" t="s">
        <v>1544</v>
      </c>
      <c r="F579" t="str" cm="1">
        <f t="array" ref="F579">IF(OR(COUNTIF(D579,"*"&amp;$T$9:$T$15&amp;"*")),"Female","Male")</f>
        <v>Female</v>
      </c>
      <c r="G579">
        <v>25</v>
      </c>
      <c r="H579">
        <v>1</v>
      </c>
      <c r="I579">
        <v>1</v>
      </c>
      <c r="J579">
        <v>2</v>
      </c>
      <c r="K579">
        <v>30</v>
      </c>
      <c r="L579">
        <f t="shared" ref="L579:L642" si="46">IF(F579 = "Male", 0, 1)</f>
        <v>1</v>
      </c>
      <c r="M579">
        <f t="shared" ref="M579:M642" si="47">ROUND(G579, 0)</f>
        <v>25</v>
      </c>
      <c r="N579" t="str">
        <f t="shared" ref="N579:N642" si="48">IF(G579&lt;=16,"Child","Adult")</f>
        <v>Adult</v>
      </c>
      <c r="O579">
        <f t="shared" ref="O579:O642" si="49">ROUND(K579, 2)</f>
        <v>30</v>
      </c>
    </row>
    <row r="580" spans="1:15" x14ac:dyDescent="0.3">
      <c r="A580">
        <v>579</v>
      </c>
      <c r="B580">
        <v>1</v>
      </c>
      <c r="C580" t="str">
        <f t="shared" si="45"/>
        <v>Yes</v>
      </c>
      <c r="D580" t="s">
        <v>958</v>
      </c>
      <c r="E580" t="s">
        <v>1545</v>
      </c>
      <c r="F580" t="str" cm="1">
        <f t="array" ref="F580">IF(OR(COUNTIF(D580,"*"&amp;$T$9:$T$15&amp;"*")),"Female","Male")</f>
        <v>Female</v>
      </c>
      <c r="G580">
        <v>39</v>
      </c>
      <c r="H580">
        <v>1</v>
      </c>
      <c r="I580">
        <v>1</v>
      </c>
      <c r="J580">
        <v>1</v>
      </c>
      <c r="K580">
        <v>110.88330000000001</v>
      </c>
      <c r="L580">
        <f t="shared" si="46"/>
        <v>1</v>
      </c>
      <c r="M580">
        <f t="shared" si="47"/>
        <v>39</v>
      </c>
      <c r="N580" t="str">
        <f t="shared" si="48"/>
        <v>Adult</v>
      </c>
      <c r="O580">
        <f t="shared" si="49"/>
        <v>110.88</v>
      </c>
    </row>
    <row r="581" spans="1:15" x14ac:dyDescent="0.3">
      <c r="A581">
        <v>580</v>
      </c>
      <c r="B581">
        <v>0</v>
      </c>
      <c r="C581" t="str">
        <f t="shared" si="45"/>
        <v>No</v>
      </c>
      <c r="D581" t="s">
        <v>956</v>
      </c>
      <c r="E581" t="s">
        <v>1546</v>
      </c>
      <c r="F581" t="str" cm="1">
        <f t="array" ref="F581">IF(OR(COUNTIF(D581,"*"&amp;$T$9:$T$15&amp;"*")),"Female","Male")</f>
        <v>Male</v>
      </c>
      <c r="G581">
        <v>54</v>
      </c>
      <c r="H581">
        <v>0</v>
      </c>
      <c r="I581">
        <v>0</v>
      </c>
      <c r="J581">
        <v>2</v>
      </c>
      <c r="K581">
        <v>26</v>
      </c>
      <c r="L581">
        <f t="shared" si="46"/>
        <v>0</v>
      </c>
      <c r="M581">
        <f t="shared" si="47"/>
        <v>54</v>
      </c>
      <c r="N581" t="str">
        <f t="shared" si="48"/>
        <v>Adult</v>
      </c>
      <c r="O581">
        <f t="shared" si="49"/>
        <v>26</v>
      </c>
    </row>
    <row r="582" spans="1:15" x14ac:dyDescent="0.3">
      <c r="A582">
        <v>581</v>
      </c>
      <c r="B582">
        <v>0</v>
      </c>
      <c r="C582" t="str">
        <f t="shared" si="45"/>
        <v>No</v>
      </c>
      <c r="D582" t="s">
        <v>956</v>
      </c>
      <c r="E582" t="s">
        <v>1547</v>
      </c>
      <c r="F582" t="str" cm="1">
        <f t="array" ref="F582">IF(OR(COUNTIF(D582,"*"&amp;$T$9:$T$15&amp;"*")),"Female","Male")</f>
        <v>Male</v>
      </c>
      <c r="G582">
        <v>36</v>
      </c>
      <c r="H582">
        <v>0</v>
      </c>
      <c r="I582">
        <v>0</v>
      </c>
      <c r="J582">
        <v>1</v>
      </c>
      <c r="K582">
        <v>40.125</v>
      </c>
      <c r="L582">
        <f t="shared" si="46"/>
        <v>0</v>
      </c>
      <c r="M582">
        <f t="shared" si="47"/>
        <v>36</v>
      </c>
      <c r="N582" t="str">
        <f t="shared" si="48"/>
        <v>Adult</v>
      </c>
      <c r="O582">
        <f t="shared" si="49"/>
        <v>40.130000000000003</v>
      </c>
    </row>
    <row r="583" spans="1:15" x14ac:dyDescent="0.3">
      <c r="A583">
        <v>582</v>
      </c>
      <c r="B583">
        <v>0</v>
      </c>
      <c r="C583" t="str">
        <f t="shared" si="45"/>
        <v>No</v>
      </c>
      <c r="D583" t="s">
        <v>956</v>
      </c>
      <c r="E583" t="s">
        <v>1548</v>
      </c>
      <c r="F583" t="str" cm="1">
        <f t="array" ref="F583">IF(OR(COUNTIF(D583,"*"&amp;$T$9:$T$15&amp;"*")),"Female","Male")</f>
        <v>Male</v>
      </c>
      <c r="G583">
        <v>16</v>
      </c>
      <c r="H583">
        <v>0</v>
      </c>
      <c r="I583">
        <v>0</v>
      </c>
      <c r="J583">
        <v>3</v>
      </c>
      <c r="K583">
        <v>8.7125000000000004</v>
      </c>
      <c r="L583">
        <f t="shared" si="46"/>
        <v>0</v>
      </c>
      <c r="M583">
        <f t="shared" si="47"/>
        <v>16</v>
      </c>
      <c r="N583" t="str">
        <f t="shared" si="48"/>
        <v>Child</v>
      </c>
      <c r="O583">
        <f t="shared" si="49"/>
        <v>8.7100000000000009</v>
      </c>
    </row>
    <row r="584" spans="1:15" x14ac:dyDescent="0.3">
      <c r="A584">
        <v>583</v>
      </c>
      <c r="B584">
        <v>1</v>
      </c>
      <c r="C584" t="str">
        <f t="shared" si="45"/>
        <v>Yes</v>
      </c>
      <c r="D584" t="s">
        <v>960</v>
      </c>
      <c r="E584" t="s">
        <v>1549</v>
      </c>
      <c r="F584" t="str" cm="1">
        <f t="array" ref="F584">IF(OR(COUNTIF(D584,"*"&amp;$T$9:$T$15&amp;"*")),"Female","Male")</f>
        <v>Female</v>
      </c>
      <c r="G584">
        <v>18</v>
      </c>
      <c r="H584">
        <v>0</v>
      </c>
      <c r="I584">
        <v>2</v>
      </c>
      <c r="J584">
        <v>1</v>
      </c>
      <c r="K584">
        <v>79.650000000000006</v>
      </c>
      <c r="L584">
        <f t="shared" si="46"/>
        <v>1</v>
      </c>
      <c r="M584">
        <f t="shared" si="47"/>
        <v>18</v>
      </c>
      <c r="N584" t="str">
        <f t="shared" si="48"/>
        <v>Adult</v>
      </c>
      <c r="O584">
        <f t="shared" si="49"/>
        <v>79.650000000000006</v>
      </c>
    </row>
    <row r="585" spans="1:15" x14ac:dyDescent="0.3">
      <c r="A585">
        <v>584</v>
      </c>
      <c r="B585">
        <v>0</v>
      </c>
      <c r="C585" t="str">
        <f t="shared" si="45"/>
        <v>No</v>
      </c>
      <c r="D585" t="s">
        <v>956</v>
      </c>
      <c r="E585" t="s">
        <v>1550</v>
      </c>
      <c r="F585" t="str" cm="1">
        <f t="array" ref="F585">IF(OR(COUNTIF(D585,"*"&amp;$T$9:$T$15&amp;"*")),"Female","Male")</f>
        <v>Male</v>
      </c>
      <c r="G585">
        <v>47</v>
      </c>
      <c r="H585">
        <v>0</v>
      </c>
      <c r="I585">
        <v>0</v>
      </c>
      <c r="J585">
        <v>2</v>
      </c>
      <c r="K585">
        <v>15</v>
      </c>
      <c r="L585">
        <f t="shared" si="46"/>
        <v>0</v>
      </c>
      <c r="M585">
        <f t="shared" si="47"/>
        <v>47</v>
      </c>
      <c r="N585" t="str">
        <f t="shared" si="48"/>
        <v>Adult</v>
      </c>
      <c r="O585">
        <f t="shared" si="49"/>
        <v>15</v>
      </c>
    </row>
    <row r="586" spans="1:15" x14ac:dyDescent="0.3">
      <c r="A586">
        <v>585</v>
      </c>
      <c r="B586">
        <v>1</v>
      </c>
      <c r="C586" t="str">
        <f t="shared" si="45"/>
        <v>Yes</v>
      </c>
      <c r="D586" t="s">
        <v>956</v>
      </c>
      <c r="E586" t="s">
        <v>1551</v>
      </c>
      <c r="F586" t="str" cm="1">
        <f t="array" ref="F586">IF(OR(COUNTIF(D586,"*"&amp;$T$9:$T$15&amp;"*")),"Female","Male")</f>
        <v>Male</v>
      </c>
      <c r="G586">
        <v>60</v>
      </c>
      <c r="H586">
        <v>1</v>
      </c>
      <c r="I586">
        <v>1</v>
      </c>
      <c r="J586">
        <v>1</v>
      </c>
      <c r="K586">
        <v>79.2</v>
      </c>
      <c r="L586">
        <f t="shared" si="46"/>
        <v>0</v>
      </c>
      <c r="M586">
        <f t="shared" si="47"/>
        <v>60</v>
      </c>
      <c r="N586" t="str">
        <f t="shared" si="48"/>
        <v>Adult</v>
      </c>
      <c r="O586">
        <f t="shared" si="49"/>
        <v>79.2</v>
      </c>
    </row>
    <row r="587" spans="1:15" x14ac:dyDescent="0.3">
      <c r="A587">
        <v>586</v>
      </c>
      <c r="B587">
        <v>0</v>
      </c>
      <c r="C587" t="str">
        <f t="shared" si="45"/>
        <v>No</v>
      </c>
      <c r="D587" t="s">
        <v>956</v>
      </c>
      <c r="E587" t="s">
        <v>1552</v>
      </c>
      <c r="F587" t="str" cm="1">
        <f t="array" ref="F587">IF(OR(COUNTIF(D587,"*"&amp;$T$9:$T$15&amp;"*")),"Female","Male")</f>
        <v>Male</v>
      </c>
      <c r="G587">
        <v>22</v>
      </c>
      <c r="H587">
        <v>0</v>
      </c>
      <c r="I587">
        <v>0</v>
      </c>
      <c r="J587">
        <v>3</v>
      </c>
      <c r="K587">
        <v>8.0500000000000007</v>
      </c>
      <c r="L587">
        <f t="shared" si="46"/>
        <v>0</v>
      </c>
      <c r="M587">
        <f t="shared" si="47"/>
        <v>22</v>
      </c>
      <c r="N587" t="str">
        <f t="shared" si="48"/>
        <v>Adult</v>
      </c>
      <c r="O587">
        <f t="shared" si="49"/>
        <v>8.0500000000000007</v>
      </c>
    </row>
    <row r="588" spans="1:15" x14ac:dyDescent="0.3">
      <c r="A588">
        <v>587</v>
      </c>
      <c r="B588">
        <v>0</v>
      </c>
      <c r="C588" t="str">
        <f t="shared" si="45"/>
        <v>No</v>
      </c>
      <c r="D588" t="s">
        <v>956</v>
      </c>
      <c r="E588" t="s">
        <v>1553</v>
      </c>
      <c r="F588" t="str" cm="1">
        <f t="array" ref="F588">IF(OR(COUNTIF(D588,"*"&amp;$T$9:$T$15&amp;"*")),"Female","Male")</f>
        <v>Male</v>
      </c>
      <c r="G588">
        <v>22</v>
      </c>
      <c r="H588">
        <v>0</v>
      </c>
      <c r="I588">
        <v>0</v>
      </c>
      <c r="J588">
        <v>3</v>
      </c>
      <c r="K588">
        <v>8.0500000000000007</v>
      </c>
      <c r="L588">
        <f t="shared" si="46"/>
        <v>0</v>
      </c>
      <c r="M588">
        <f t="shared" si="47"/>
        <v>22</v>
      </c>
      <c r="N588" t="str">
        <f t="shared" si="48"/>
        <v>Adult</v>
      </c>
      <c r="O588">
        <f t="shared" si="49"/>
        <v>8.0500000000000007</v>
      </c>
    </row>
    <row r="589" spans="1:15" x14ac:dyDescent="0.3">
      <c r="A589">
        <v>588</v>
      </c>
      <c r="B589">
        <v>0</v>
      </c>
      <c r="C589" t="str">
        <f t="shared" si="45"/>
        <v>No</v>
      </c>
      <c r="D589" t="s">
        <v>956</v>
      </c>
      <c r="E589" t="s">
        <v>1554</v>
      </c>
      <c r="F589" t="str" cm="1">
        <f t="array" ref="F589">IF(OR(COUNTIF(D589,"*"&amp;$T$9:$T$15&amp;"*")),"Female","Male")</f>
        <v>Male</v>
      </c>
      <c r="G589">
        <v>35</v>
      </c>
      <c r="H589">
        <v>0</v>
      </c>
      <c r="I589">
        <v>0</v>
      </c>
      <c r="J589">
        <v>3</v>
      </c>
      <c r="K589">
        <v>7.125</v>
      </c>
      <c r="L589">
        <f t="shared" si="46"/>
        <v>0</v>
      </c>
      <c r="M589">
        <f t="shared" si="47"/>
        <v>35</v>
      </c>
      <c r="N589" t="str">
        <f t="shared" si="48"/>
        <v>Adult</v>
      </c>
      <c r="O589">
        <f t="shared" si="49"/>
        <v>7.13</v>
      </c>
    </row>
    <row r="590" spans="1:15" x14ac:dyDescent="0.3">
      <c r="A590">
        <v>589</v>
      </c>
      <c r="B590">
        <v>1</v>
      </c>
      <c r="C590" t="str">
        <f t="shared" si="45"/>
        <v>Yes</v>
      </c>
      <c r="D590" t="s">
        <v>958</v>
      </c>
      <c r="E590" t="s">
        <v>1555</v>
      </c>
      <c r="F590" t="str" cm="1">
        <f t="array" ref="F590">IF(OR(COUNTIF(D590,"*"&amp;$T$9:$T$15&amp;"*")),"Female","Male")</f>
        <v>Female</v>
      </c>
      <c r="G590">
        <v>52</v>
      </c>
      <c r="H590">
        <v>1</v>
      </c>
      <c r="I590">
        <v>0</v>
      </c>
      <c r="J590">
        <v>1</v>
      </c>
      <c r="K590">
        <v>78.2667</v>
      </c>
      <c r="L590">
        <f t="shared" si="46"/>
        <v>1</v>
      </c>
      <c r="M590">
        <f t="shared" si="47"/>
        <v>52</v>
      </c>
      <c r="N590" t="str">
        <f t="shared" si="48"/>
        <v>Adult</v>
      </c>
      <c r="O590">
        <f t="shared" si="49"/>
        <v>78.27</v>
      </c>
    </row>
    <row r="591" spans="1:15" x14ac:dyDescent="0.3">
      <c r="A591">
        <v>590</v>
      </c>
      <c r="B591">
        <v>0</v>
      </c>
      <c r="C591" t="str">
        <f t="shared" si="45"/>
        <v>No</v>
      </c>
      <c r="D591" t="s">
        <v>956</v>
      </c>
      <c r="E591" t="s">
        <v>1556</v>
      </c>
      <c r="F591" t="str" cm="1">
        <f t="array" ref="F591">IF(OR(COUNTIF(D591,"*"&amp;$T$9:$T$15&amp;"*")),"Female","Male")</f>
        <v>Male</v>
      </c>
      <c r="G591">
        <v>47</v>
      </c>
      <c r="H591">
        <v>0</v>
      </c>
      <c r="I591">
        <v>0</v>
      </c>
      <c r="J591">
        <v>3</v>
      </c>
      <c r="K591">
        <v>7.25</v>
      </c>
      <c r="L591">
        <f t="shared" si="46"/>
        <v>0</v>
      </c>
      <c r="M591">
        <f t="shared" si="47"/>
        <v>47</v>
      </c>
      <c r="N591" t="str">
        <f t="shared" si="48"/>
        <v>Adult</v>
      </c>
      <c r="O591">
        <f t="shared" si="49"/>
        <v>7.25</v>
      </c>
    </row>
    <row r="592" spans="1:15" x14ac:dyDescent="0.3">
      <c r="A592">
        <v>591</v>
      </c>
      <c r="B592">
        <v>0</v>
      </c>
      <c r="C592" t="str">
        <f t="shared" si="45"/>
        <v>No</v>
      </c>
      <c r="D592" t="s">
        <v>960</v>
      </c>
      <c r="E592" t="s">
        <v>1557</v>
      </c>
      <c r="F592" t="str" cm="1">
        <f t="array" ref="F592">IF(OR(COUNTIF(D592,"*"&amp;$T$9:$T$15&amp;"*")),"Female","Male")</f>
        <v>Female</v>
      </c>
      <c r="G592">
        <v>40</v>
      </c>
      <c r="H592">
        <v>0</v>
      </c>
      <c r="I592">
        <v>2</v>
      </c>
      <c r="J592">
        <v>3</v>
      </c>
      <c r="K592">
        <v>7.75</v>
      </c>
      <c r="L592">
        <f t="shared" si="46"/>
        <v>1</v>
      </c>
      <c r="M592">
        <f t="shared" si="47"/>
        <v>40</v>
      </c>
      <c r="N592" t="str">
        <f t="shared" si="48"/>
        <v>Adult</v>
      </c>
      <c r="O592">
        <f t="shared" si="49"/>
        <v>7.75</v>
      </c>
    </row>
    <row r="593" spans="1:15" x14ac:dyDescent="0.3">
      <c r="A593">
        <v>592</v>
      </c>
      <c r="B593">
        <v>0</v>
      </c>
      <c r="C593" t="str">
        <f t="shared" si="45"/>
        <v>No</v>
      </c>
      <c r="D593" t="s">
        <v>956</v>
      </c>
      <c r="E593" t="s">
        <v>1558</v>
      </c>
      <c r="F593" t="str" cm="1">
        <f t="array" ref="F593">IF(OR(COUNTIF(D593,"*"&amp;$T$9:$T$15&amp;"*")),"Female","Male")</f>
        <v>Male</v>
      </c>
      <c r="G593">
        <v>37</v>
      </c>
      <c r="H593">
        <v>1</v>
      </c>
      <c r="I593">
        <v>0</v>
      </c>
      <c r="J593">
        <v>2</v>
      </c>
      <c r="K593">
        <v>26</v>
      </c>
      <c r="L593">
        <f t="shared" si="46"/>
        <v>0</v>
      </c>
      <c r="M593">
        <f t="shared" si="47"/>
        <v>37</v>
      </c>
      <c r="N593" t="str">
        <f t="shared" si="48"/>
        <v>Adult</v>
      </c>
      <c r="O593">
        <f t="shared" si="49"/>
        <v>26</v>
      </c>
    </row>
    <row r="594" spans="1:15" x14ac:dyDescent="0.3">
      <c r="A594">
        <v>593</v>
      </c>
      <c r="B594">
        <v>0</v>
      </c>
      <c r="C594" t="str">
        <f t="shared" si="45"/>
        <v>No</v>
      </c>
      <c r="D594" t="s">
        <v>956</v>
      </c>
      <c r="E594" t="s">
        <v>1559</v>
      </c>
      <c r="F594" t="str" cm="1">
        <f t="array" ref="F594">IF(OR(COUNTIF(D594,"*"&amp;$T$9:$T$15&amp;"*")),"Female","Male")</f>
        <v>Male</v>
      </c>
      <c r="G594">
        <v>36</v>
      </c>
      <c r="H594">
        <v>1</v>
      </c>
      <c r="I594">
        <v>1</v>
      </c>
      <c r="J594">
        <v>3</v>
      </c>
      <c r="K594">
        <v>24.15</v>
      </c>
      <c r="L594">
        <f t="shared" si="46"/>
        <v>0</v>
      </c>
      <c r="M594">
        <f t="shared" si="47"/>
        <v>36</v>
      </c>
      <c r="N594" t="str">
        <f t="shared" si="48"/>
        <v>Adult</v>
      </c>
      <c r="O594">
        <f t="shared" si="49"/>
        <v>24.15</v>
      </c>
    </row>
    <row r="595" spans="1:15" x14ac:dyDescent="0.3">
      <c r="A595">
        <v>594</v>
      </c>
      <c r="B595">
        <v>1</v>
      </c>
      <c r="C595" t="str">
        <f t="shared" si="45"/>
        <v>Yes</v>
      </c>
      <c r="D595" t="s">
        <v>960</v>
      </c>
      <c r="E595" t="s">
        <v>1560</v>
      </c>
      <c r="F595" t="str" cm="1">
        <f t="array" ref="F595">IF(OR(COUNTIF(D595,"*"&amp;$T$9:$T$15&amp;"*")),"Female","Male")</f>
        <v>Female</v>
      </c>
      <c r="G595">
        <v>31</v>
      </c>
      <c r="H595">
        <v>0</v>
      </c>
      <c r="I595">
        <v>0</v>
      </c>
      <c r="J595">
        <v>2</v>
      </c>
      <c r="K595">
        <v>33</v>
      </c>
      <c r="L595">
        <f t="shared" si="46"/>
        <v>1</v>
      </c>
      <c r="M595">
        <f t="shared" si="47"/>
        <v>31</v>
      </c>
      <c r="N595" t="str">
        <f t="shared" si="48"/>
        <v>Adult</v>
      </c>
      <c r="O595">
        <f t="shared" si="49"/>
        <v>33</v>
      </c>
    </row>
    <row r="596" spans="1:15" x14ac:dyDescent="0.3">
      <c r="A596">
        <v>595</v>
      </c>
      <c r="B596">
        <v>0</v>
      </c>
      <c r="C596" t="str">
        <f t="shared" si="45"/>
        <v>No</v>
      </c>
      <c r="D596" t="s">
        <v>956</v>
      </c>
      <c r="E596" t="s">
        <v>1561</v>
      </c>
      <c r="F596" t="str" cm="1">
        <f t="array" ref="F596">IF(OR(COUNTIF(D596,"*"&amp;$T$9:$T$15&amp;"*")),"Female","Male")</f>
        <v>Male</v>
      </c>
      <c r="G596">
        <v>49</v>
      </c>
      <c r="H596">
        <v>0</v>
      </c>
      <c r="I596">
        <v>0</v>
      </c>
      <c r="J596">
        <v>3</v>
      </c>
      <c r="K596">
        <v>0</v>
      </c>
      <c r="L596">
        <f t="shared" si="46"/>
        <v>0</v>
      </c>
      <c r="M596">
        <f t="shared" si="47"/>
        <v>49</v>
      </c>
      <c r="N596" t="str">
        <f t="shared" si="48"/>
        <v>Adult</v>
      </c>
      <c r="O596">
        <f t="shared" si="49"/>
        <v>0</v>
      </c>
    </row>
    <row r="597" spans="1:15" x14ac:dyDescent="0.3">
      <c r="A597">
        <v>596</v>
      </c>
      <c r="B597">
        <v>0</v>
      </c>
      <c r="C597" t="str">
        <f t="shared" si="45"/>
        <v>No</v>
      </c>
      <c r="D597" t="s">
        <v>956</v>
      </c>
      <c r="E597" t="s">
        <v>1562</v>
      </c>
      <c r="F597" t="str" cm="1">
        <f t="array" ref="F597">IF(OR(COUNTIF(D597,"*"&amp;$T$9:$T$15&amp;"*")),"Female","Male")</f>
        <v>Male</v>
      </c>
      <c r="G597">
        <v>18</v>
      </c>
      <c r="H597">
        <v>0</v>
      </c>
      <c r="I597">
        <v>0</v>
      </c>
      <c r="J597">
        <v>3</v>
      </c>
      <c r="K597">
        <v>7.2249999999999996</v>
      </c>
      <c r="L597">
        <f t="shared" si="46"/>
        <v>0</v>
      </c>
      <c r="M597">
        <f t="shared" si="47"/>
        <v>18</v>
      </c>
      <c r="N597" t="str">
        <f t="shared" si="48"/>
        <v>Adult</v>
      </c>
      <c r="O597">
        <f t="shared" si="49"/>
        <v>7.23</v>
      </c>
    </row>
    <row r="598" spans="1:15" x14ac:dyDescent="0.3">
      <c r="A598">
        <v>597</v>
      </c>
      <c r="B598">
        <v>1</v>
      </c>
      <c r="C598" t="str">
        <f t="shared" si="45"/>
        <v>Yes</v>
      </c>
      <c r="D598" t="s">
        <v>1563</v>
      </c>
      <c r="E598" t="s">
        <v>1564</v>
      </c>
      <c r="F598" t="str" cm="1">
        <f t="array" ref="F598">IF(OR(COUNTIF(D598,"*"&amp;$T$9:$T$15&amp;"*")),"Female","Male")</f>
        <v>Male</v>
      </c>
      <c r="G598">
        <v>49</v>
      </c>
      <c r="H598">
        <v>1</v>
      </c>
      <c r="I598">
        <v>0</v>
      </c>
      <c r="J598">
        <v>1</v>
      </c>
      <c r="K598">
        <v>56.929200000000002</v>
      </c>
      <c r="L598">
        <f t="shared" si="46"/>
        <v>0</v>
      </c>
      <c r="M598">
        <f t="shared" si="47"/>
        <v>49</v>
      </c>
      <c r="N598" t="str">
        <f t="shared" si="48"/>
        <v>Adult</v>
      </c>
      <c r="O598">
        <f t="shared" si="49"/>
        <v>56.93</v>
      </c>
    </row>
    <row r="599" spans="1:15" x14ac:dyDescent="0.3">
      <c r="A599">
        <v>598</v>
      </c>
      <c r="B599">
        <v>1</v>
      </c>
      <c r="C599" t="str">
        <f t="shared" si="45"/>
        <v>Yes</v>
      </c>
      <c r="D599" t="s">
        <v>958</v>
      </c>
      <c r="E599" t="s">
        <v>1565</v>
      </c>
      <c r="F599" t="str" cm="1">
        <f t="array" ref="F599">IF(OR(COUNTIF(D599,"*"&amp;$T$9:$T$15&amp;"*")),"Female","Male")</f>
        <v>Female</v>
      </c>
      <c r="G599">
        <v>24</v>
      </c>
      <c r="H599">
        <v>2</v>
      </c>
      <c r="I599">
        <v>1</v>
      </c>
      <c r="J599">
        <v>2</v>
      </c>
      <c r="K599">
        <v>27</v>
      </c>
      <c r="L599">
        <f t="shared" si="46"/>
        <v>1</v>
      </c>
      <c r="M599">
        <f t="shared" si="47"/>
        <v>24</v>
      </c>
      <c r="N599" t="str">
        <f t="shared" si="48"/>
        <v>Adult</v>
      </c>
      <c r="O599">
        <f t="shared" si="49"/>
        <v>27</v>
      </c>
    </row>
    <row r="600" spans="1:15" x14ac:dyDescent="0.3">
      <c r="A600">
        <v>599</v>
      </c>
      <c r="B600">
        <v>0</v>
      </c>
      <c r="C600" t="str">
        <f t="shared" si="45"/>
        <v>No</v>
      </c>
      <c r="D600" t="s">
        <v>956</v>
      </c>
      <c r="E600" t="s">
        <v>1566</v>
      </c>
      <c r="F600" t="str" cm="1">
        <f t="array" ref="F600">IF(OR(COUNTIF(D600,"*"&amp;$T$9:$T$15&amp;"*")),"Female","Male")</f>
        <v>Male</v>
      </c>
      <c r="G600">
        <v>42</v>
      </c>
      <c r="H600">
        <v>0</v>
      </c>
      <c r="I600">
        <v>0</v>
      </c>
      <c r="J600">
        <v>3</v>
      </c>
      <c r="K600">
        <v>7.8958000000000004</v>
      </c>
      <c r="L600">
        <f t="shared" si="46"/>
        <v>0</v>
      </c>
      <c r="M600">
        <f t="shared" si="47"/>
        <v>42</v>
      </c>
      <c r="N600" t="str">
        <f t="shared" si="48"/>
        <v>Adult</v>
      </c>
      <c r="O600">
        <f t="shared" si="49"/>
        <v>7.9</v>
      </c>
    </row>
    <row r="601" spans="1:15" x14ac:dyDescent="0.3">
      <c r="A601">
        <v>600</v>
      </c>
      <c r="B601">
        <v>0</v>
      </c>
      <c r="C601" t="str">
        <f t="shared" si="45"/>
        <v>No</v>
      </c>
      <c r="D601" t="s">
        <v>956</v>
      </c>
      <c r="E601" t="s">
        <v>1567</v>
      </c>
      <c r="F601" t="str" cm="1">
        <f t="array" ref="F601">IF(OR(COUNTIF(D601,"*"&amp;$T$9:$T$15&amp;"*")),"Female","Male")</f>
        <v>Male</v>
      </c>
      <c r="G601">
        <v>37</v>
      </c>
      <c r="H601">
        <v>0</v>
      </c>
      <c r="I601">
        <v>0</v>
      </c>
      <c r="J601">
        <v>1</v>
      </c>
      <c r="K601">
        <v>42.4</v>
      </c>
      <c r="L601">
        <f t="shared" si="46"/>
        <v>0</v>
      </c>
      <c r="M601">
        <f t="shared" si="47"/>
        <v>37</v>
      </c>
      <c r="N601" t="str">
        <f t="shared" si="48"/>
        <v>Adult</v>
      </c>
      <c r="O601">
        <f t="shared" si="49"/>
        <v>42.4</v>
      </c>
    </row>
    <row r="602" spans="1:15" x14ac:dyDescent="0.3">
      <c r="A602">
        <v>601</v>
      </c>
      <c r="B602">
        <v>0</v>
      </c>
      <c r="C602" t="str">
        <f t="shared" si="45"/>
        <v>No</v>
      </c>
      <c r="D602" t="s">
        <v>956</v>
      </c>
      <c r="E602" t="s">
        <v>1568</v>
      </c>
      <c r="F602" t="str" cm="1">
        <f t="array" ref="F602">IF(OR(COUNTIF(D602,"*"&amp;$T$9:$T$15&amp;"*")),"Female","Male")</f>
        <v>Male</v>
      </c>
      <c r="G602">
        <v>44</v>
      </c>
      <c r="H602">
        <v>0</v>
      </c>
      <c r="I602">
        <v>0</v>
      </c>
      <c r="J602">
        <v>3</v>
      </c>
      <c r="K602">
        <v>8.0500000000000007</v>
      </c>
      <c r="L602">
        <f t="shared" si="46"/>
        <v>0</v>
      </c>
      <c r="M602">
        <f t="shared" si="47"/>
        <v>44</v>
      </c>
      <c r="N602" t="str">
        <f t="shared" si="48"/>
        <v>Adult</v>
      </c>
      <c r="O602">
        <f t="shared" si="49"/>
        <v>8.0500000000000007</v>
      </c>
    </row>
    <row r="603" spans="1:15" x14ac:dyDescent="0.3">
      <c r="A603">
        <v>602</v>
      </c>
      <c r="B603">
        <v>1</v>
      </c>
      <c r="C603" t="str">
        <f t="shared" si="45"/>
        <v>Yes</v>
      </c>
      <c r="D603" t="s">
        <v>956</v>
      </c>
      <c r="E603" t="s">
        <v>1569</v>
      </c>
      <c r="F603" t="str" cm="1">
        <f t="array" ref="F603">IF(OR(COUNTIF(D603,"*"&amp;$T$9:$T$15&amp;"*")),"Female","Male")</f>
        <v>Male</v>
      </c>
      <c r="G603">
        <v>35</v>
      </c>
      <c r="H603">
        <v>0</v>
      </c>
      <c r="I603">
        <v>0</v>
      </c>
      <c r="J603">
        <v>1</v>
      </c>
      <c r="K603">
        <v>26.55</v>
      </c>
      <c r="L603">
        <f t="shared" si="46"/>
        <v>0</v>
      </c>
      <c r="M603">
        <f t="shared" si="47"/>
        <v>35</v>
      </c>
      <c r="N603" t="str">
        <f t="shared" si="48"/>
        <v>Adult</v>
      </c>
      <c r="O603">
        <f t="shared" si="49"/>
        <v>26.55</v>
      </c>
    </row>
    <row r="604" spans="1:15" x14ac:dyDescent="0.3">
      <c r="A604">
        <v>603</v>
      </c>
      <c r="B604">
        <v>0</v>
      </c>
      <c r="C604" t="str">
        <f t="shared" si="45"/>
        <v>No</v>
      </c>
      <c r="D604" t="s">
        <v>956</v>
      </c>
      <c r="E604" t="s">
        <v>1570</v>
      </c>
      <c r="F604" t="str" cm="1">
        <f t="array" ref="F604">IF(OR(COUNTIF(D604,"*"&amp;$T$9:$T$15&amp;"*")),"Female","Male")</f>
        <v>Male</v>
      </c>
      <c r="G604">
        <v>36</v>
      </c>
      <c r="H604">
        <v>1</v>
      </c>
      <c r="I604">
        <v>0</v>
      </c>
      <c r="J604">
        <v>3</v>
      </c>
      <c r="K604">
        <v>15.55</v>
      </c>
      <c r="L604">
        <f t="shared" si="46"/>
        <v>0</v>
      </c>
      <c r="M604">
        <f t="shared" si="47"/>
        <v>36</v>
      </c>
      <c r="N604" t="str">
        <f t="shared" si="48"/>
        <v>Adult</v>
      </c>
      <c r="O604">
        <f t="shared" si="49"/>
        <v>15.55</v>
      </c>
    </row>
    <row r="605" spans="1:15" x14ac:dyDescent="0.3">
      <c r="A605">
        <v>604</v>
      </c>
      <c r="B605">
        <v>0</v>
      </c>
      <c r="C605" t="str">
        <f t="shared" si="45"/>
        <v>No</v>
      </c>
      <c r="D605" t="s">
        <v>956</v>
      </c>
      <c r="E605" t="s">
        <v>1571</v>
      </c>
      <c r="F605" t="str" cm="1">
        <f t="array" ref="F605">IF(OR(COUNTIF(D605,"*"&amp;$T$9:$T$15&amp;"*")),"Female","Male")</f>
        <v>Male</v>
      </c>
      <c r="G605">
        <v>30</v>
      </c>
      <c r="H605">
        <v>0</v>
      </c>
      <c r="I605">
        <v>0</v>
      </c>
      <c r="J605">
        <v>3</v>
      </c>
      <c r="K605">
        <v>7.8958000000000004</v>
      </c>
      <c r="L605">
        <f t="shared" si="46"/>
        <v>0</v>
      </c>
      <c r="M605">
        <f t="shared" si="47"/>
        <v>30</v>
      </c>
      <c r="N605" t="str">
        <f t="shared" si="48"/>
        <v>Adult</v>
      </c>
      <c r="O605">
        <f t="shared" si="49"/>
        <v>7.9</v>
      </c>
    </row>
    <row r="606" spans="1:15" x14ac:dyDescent="0.3">
      <c r="A606">
        <v>605</v>
      </c>
      <c r="B606">
        <v>1</v>
      </c>
      <c r="C606" t="str">
        <f t="shared" si="45"/>
        <v>Yes</v>
      </c>
      <c r="D606" t="s">
        <v>956</v>
      </c>
      <c r="E606" t="s">
        <v>1572</v>
      </c>
      <c r="F606" t="str" cm="1">
        <f t="array" ref="F606">IF(OR(COUNTIF(D606,"*"&amp;$T$9:$T$15&amp;"*")),"Female","Male")</f>
        <v>Male</v>
      </c>
      <c r="G606">
        <v>27</v>
      </c>
      <c r="H606">
        <v>0</v>
      </c>
      <c r="I606">
        <v>0</v>
      </c>
      <c r="J606">
        <v>1</v>
      </c>
      <c r="K606">
        <v>30.5</v>
      </c>
      <c r="L606">
        <f t="shared" si="46"/>
        <v>0</v>
      </c>
      <c r="M606">
        <f t="shared" si="47"/>
        <v>27</v>
      </c>
      <c r="N606" t="str">
        <f t="shared" si="48"/>
        <v>Adult</v>
      </c>
      <c r="O606">
        <f t="shared" si="49"/>
        <v>30.5</v>
      </c>
    </row>
    <row r="607" spans="1:15" x14ac:dyDescent="0.3">
      <c r="A607">
        <v>606</v>
      </c>
      <c r="B607">
        <v>1</v>
      </c>
      <c r="C607" t="str">
        <f t="shared" si="45"/>
        <v>Yes</v>
      </c>
      <c r="D607" t="s">
        <v>958</v>
      </c>
      <c r="E607" t="s">
        <v>1573</v>
      </c>
      <c r="F607" t="str" cm="1">
        <f t="array" ref="F607">IF(OR(COUNTIF(D607,"*"&amp;$T$9:$T$15&amp;"*")),"Female","Male")</f>
        <v>Female</v>
      </c>
      <c r="G607">
        <v>22</v>
      </c>
      <c r="H607">
        <v>1</v>
      </c>
      <c r="I607">
        <v>2</v>
      </c>
      <c r="J607">
        <v>2</v>
      </c>
      <c r="K607">
        <v>41.5792</v>
      </c>
      <c r="L607">
        <f t="shared" si="46"/>
        <v>1</v>
      </c>
      <c r="M607">
        <f t="shared" si="47"/>
        <v>22</v>
      </c>
      <c r="N607" t="str">
        <f t="shared" si="48"/>
        <v>Adult</v>
      </c>
      <c r="O607">
        <f t="shared" si="49"/>
        <v>41.58</v>
      </c>
    </row>
    <row r="608" spans="1:15" x14ac:dyDescent="0.3">
      <c r="A608">
        <v>607</v>
      </c>
      <c r="B608">
        <v>1</v>
      </c>
      <c r="C608" t="str">
        <f t="shared" si="45"/>
        <v>Yes</v>
      </c>
      <c r="D608" t="s">
        <v>960</v>
      </c>
      <c r="E608" t="s">
        <v>1574</v>
      </c>
      <c r="F608" t="str" cm="1">
        <f t="array" ref="F608">IF(OR(COUNTIF(D608,"*"&amp;$T$9:$T$15&amp;"*")),"Female","Male")</f>
        <v>Female</v>
      </c>
      <c r="G608">
        <v>40</v>
      </c>
      <c r="H608">
        <v>0</v>
      </c>
      <c r="I608">
        <v>0</v>
      </c>
      <c r="J608">
        <v>1</v>
      </c>
      <c r="K608">
        <v>153.46250000000001</v>
      </c>
      <c r="L608">
        <f t="shared" si="46"/>
        <v>1</v>
      </c>
      <c r="M608">
        <f t="shared" si="47"/>
        <v>40</v>
      </c>
      <c r="N608" t="str">
        <f t="shared" si="48"/>
        <v>Adult</v>
      </c>
      <c r="O608">
        <f t="shared" si="49"/>
        <v>153.46</v>
      </c>
    </row>
    <row r="609" spans="1:15" x14ac:dyDescent="0.3">
      <c r="A609">
        <v>608</v>
      </c>
      <c r="B609">
        <v>0</v>
      </c>
      <c r="C609" t="str">
        <f t="shared" si="45"/>
        <v>No</v>
      </c>
      <c r="D609" t="s">
        <v>958</v>
      </c>
      <c r="E609" t="s">
        <v>1575</v>
      </c>
      <c r="F609" t="str" cm="1">
        <f t="array" ref="F609">IF(OR(COUNTIF(D609,"*"&amp;$T$9:$T$15&amp;"*")),"Female","Male")</f>
        <v>Female</v>
      </c>
      <c r="G609">
        <v>39</v>
      </c>
      <c r="H609">
        <v>1</v>
      </c>
      <c r="I609">
        <v>5</v>
      </c>
      <c r="J609">
        <v>3</v>
      </c>
      <c r="K609">
        <v>31.274999999999999</v>
      </c>
      <c r="L609">
        <f t="shared" si="46"/>
        <v>1</v>
      </c>
      <c r="M609">
        <f t="shared" si="47"/>
        <v>39</v>
      </c>
      <c r="N609" t="str">
        <f t="shared" si="48"/>
        <v>Adult</v>
      </c>
      <c r="O609">
        <f t="shared" si="49"/>
        <v>31.28</v>
      </c>
    </row>
    <row r="610" spans="1:15" x14ac:dyDescent="0.3">
      <c r="A610">
        <v>609</v>
      </c>
      <c r="B610">
        <v>0</v>
      </c>
      <c r="C610" t="str">
        <f t="shared" si="45"/>
        <v>No</v>
      </c>
      <c r="D610" t="s">
        <v>956</v>
      </c>
      <c r="E610" t="s">
        <v>1576</v>
      </c>
      <c r="F610" t="str" cm="1">
        <f t="array" ref="F610">IF(OR(COUNTIF(D610,"*"&amp;$T$9:$T$15&amp;"*")),"Female","Male")</f>
        <v>Male</v>
      </c>
      <c r="G610">
        <v>21</v>
      </c>
      <c r="H610">
        <v>0</v>
      </c>
      <c r="I610">
        <v>0</v>
      </c>
      <c r="J610">
        <v>3</v>
      </c>
      <c r="K610">
        <v>7.05</v>
      </c>
      <c r="L610">
        <f t="shared" si="46"/>
        <v>0</v>
      </c>
      <c r="M610">
        <f t="shared" si="47"/>
        <v>21</v>
      </c>
      <c r="N610" t="str">
        <f t="shared" si="48"/>
        <v>Adult</v>
      </c>
      <c r="O610">
        <f t="shared" si="49"/>
        <v>7.05</v>
      </c>
    </row>
    <row r="611" spans="1:15" x14ac:dyDescent="0.3">
      <c r="A611">
        <v>610</v>
      </c>
      <c r="B611">
        <v>1</v>
      </c>
      <c r="C611" t="str">
        <f t="shared" si="45"/>
        <v>Yes</v>
      </c>
      <c r="D611" t="s">
        <v>960</v>
      </c>
      <c r="E611" t="s">
        <v>1577</v>
      </c>
      <c r="F611" t="str" cm="1">
        <f t="array" ref="F611">IF(OR(COUNTIF(D611,"*"&amp;$T$9:$T$15&amp;"*")),"Female","Male")</f>
        <v>Female</v>
      </c>
      <c r="G611">
        <v>18</v>
      </c>
      <c r="H611">
        <v>1</v>
      </c>
      <c r="I611">
        <v>0</v>
      </c>
      <c r="J611">
        <v>3</v>
      </c>
      <c r="K611">
        <v>15.5</v>
      </c>
      <c r="L611">
        <f t="shared" si="46"/>
        <v>1</v>
      </c>
      <c r="M611">
        <f t="shared" si="47"/>
        <v>18</v>
      </c>
      <c r="N611" t="str">
        <f t="shared" si="48"/>
        <v>Adult</v>
      </c>
      <c r="O611">
        <f t="shared" si="49"/>
        <v>15.5</v>
      </c>
    </row>
    <row r="612" spans="1:15" x14ac:dyDescent="0.3">
      <c r="A612">
        <v>611</v>
      </c>
      <c r="B612">
        <v>0</v>
      </c>
      <c r="C612" t="str">
        <f t="shared" si="45"/>
        <v>No</v>
      </c>
      <c r="D612" t="s">
        <v>956</v>
      </c>
      <c r="E612" t="s">
        <v>1578</v>
      </c>
      <c r="F612" t="str" cm="1">
        <f t="array" ref="F612">IF(OR(COUNTIF(D612,"*"&amp;$T$9:$T$15&amp;"*")),"Female","Male")</f>
        <v>Male</v>
      </c>
      <c r="G612">
        <v>22</v>
      </c>
      <c r="H612">
        <v>0</v>
      </c>
      <c r="I612">
        <v>0</v>
      </c>
      <c r="J612">
        <v>3</v>
      </c>
      <c r="K612">
        <v>7.75</v>
      </c>
      <c r="L612">
        <f t="shared" si="46"/>
        <v>0</v>
      </c>
      <c r="M612">
        <f t="shared" si="47"/>
        <v>22</v>
      </c>
      <c r="N612" t="str">
        <f t="shared" si="48"/>
        <v>Adult</v>
      </c>
      <c r="O612">
        <f t="shared" si="49"/>
        <v>7.75</v>
      </c>
    </row>
    <row r="613" spans="1:15" x14ac:dyDescent="0.3">
      <c r="A613">
        <v>612</v>
      </c>
      <c r="B613">
        <v>0</v>
      </c>
      <c r="C613" t="str">
        <f t="shared" si="45"/>
        <v>No</v>
      </c>
      <c r="D613" t="s">
        <v>956</v>
      </c>
      <c r="E613" t="s">
        <v>1579</v>
      </c>
      <c r="F613" t="str" cm="1">
        <f t="array" ref="F613">IF(OR(COUNTIF(D613,"*"&amp;$T$9:$T$15&amp;"*")),"Female","Male")</f>
        <v>Male</v>
      </c>
      <c r="G613">
        <v>35</v>
      </c>
      <c r="H613">
        <v>0</v>
      </c>
      <c r="I613">
        <v>0</v>
      </c>
      <c r="J613">
        <v>3</v>
      </c>
      <c r="K613">
        <v>8.0500000000000007</v>
      </c>
      <c r="L613">
        <f t="shared" si="46"/>
        <v>0</v>
      </c>
      <c r="M613">
        <f t="shared" si="47"/>
        <v>35</v>
      </c>
      <c r="N613" t="str">
        <f t="shared" si="48"/>
        <v>Adult</v>
      </c>
      <c r="O613">
        <f t="shared" si="49"/>
        <v>8.0500000000000007</v>
      </c>
    </row>
    <row r="614" spans="1:15" x14ac:dyDescent="0.3">
      <c r="A614">
        <v>613</v>
      </c>
      <c r="B614">
        <v>1</v>
      </c>
      <c r="C614" t="str">
        <f t="shared" si="45"/>
        <v>Yes</v>
      </c>
      <c r="D614" t="s">
        <v>960</v>
      </c>
      <c r="E614" t="s">
        <v>1580</v>
      </c>
      <c r="F614" t="str" cm="1">
        <f t="array" ref="F614">IF(OR(COUNTIF(D614,"*"&amp;$T$9:$T$15&amp;"*")),"Female","Male")</f>
        <v>Female</v>
      </c>
      <c r="G614">
        <v>24</v>
      </c>
      <c r="H614">
        <v>1</v>
      </c>
      <c r="I614">
        <v>2</v>
      </c>
      <c r="J614">
        <v>2</v>
      </c>
      <c r="K614">
        <v>65</v>
      </c>
      <c r="L614">
        <f t="shared" si="46"/>
        <v>1</v>
      </c>
      <c r="M614">
        <f t="shared" si="47"/>
        <v>24</v>
      </c>
      <c r="N614" t="str">
        <f t="shared" si="48"/>
        <v>Adult</v>
      </c>
      <c r="O614">
        <f t="shared" si="49"/>
        <v>65</v>
      </c>
    </row>
    <row r="615" spans="1:15" x14ac:dyDescent="0.3">
      <c r="A615">
        <v>614</v>
      </c>
      <c r="B615">
        <v>0</v>
      </c>
      <c r="C615" t="str">
        <f t="shared" si="45"/>
        <v>No</v>
      </c>
      <c r="D615" t="s">
        <v>956</v>
      </c>
      <c r="E615" t="s">
        <v>1581</v>
      </c>
      <c r="F615" t="str" cm="1">
        <f t="array" ref="F615">IF(OR(COUNTIF(D615,"*"&amp;$T$9:$T$15&amp;"*")),"Female","Male")</f>
        <v>Male</v>
      </c>
      <c r="G615">
        <v>34</v>
      </c>
      <c r="H615">
        <v>1</v>
      </c>
      <c r="I615">
        <v>1</v>
      </c>
      <c r="J615">
        <v>3</v>
      </c>
      <c r="K615">
        <v>14.4</v>
      </c>
      <c r="L615">
        <f t="shared" si="46"/>
        <v>0</v>
      </c>
      <c r="M615">
        <f t="shared" si="47"/>
        <v>34</v>
      </c>
      <c r="N615" t="str">
        <f t="shared" si="48"/>
        <v>Adult</v>
      </c>
      <c r="O615">
        <f t="shared" si="49"/>
        <v>14.4</v>
      </c>
    </row>
    <row r="616" spans="1:15" x14ac:dyDescent="0.3">
      <c r="A616">
        <v>615</v>
      </c>
      <c r="B616">
        <v>0</v>
      </c>
      <c r="C616" t="str">
        <f t="shared" si="45"/>
        <v>No</v>
      </c>
      <c r="D616" t="s">
        <v>958</v>
      </c>
      <c r="E616" t="s">
        <v>1582</v>
      </c>
      <c r="F616" t="str" cm="1">
        <f t="array" ref="F616">IF(OR(COUNTIF(D616,"*"&amp;$T$9:$T$15&amp;"*")),"Female","Male")</f>
        <v>Female</v>
      </c>
      <c r="G616">
        <v>26</v>
      </c>
      <c r="H616">
        <v>1</v>
      </c>
      <c r="I616">
        <v>0</v>
      </c>
      <c r="J616">
        <v>3</v>
      </c>
      <c r="K616">
        <v>16.100000000000001</v>
      </c>
      <c r="L616">
        <f t="shared" si="46"/>
        <v>1</v>
      </c>
      <c r="M616">
        <f t="shared" si="47"/>
        <v>26</v>
      </c>
      <c r="N616" t="str">
        <f t="shared" si="48"/>
        <v>Adult</v>
      </c>
      <c r="O616">
        <f t="shared" si="49"/>
        <v>16.100000000000001</v>
      </c>
    </row>
    <row r="617" spans="1:15" x14ac:dyDescent="0.3">
      <c r="A617">
        <v>616</v>
      </c>
      <c r="B617">
        <v>1</v>
      </c>
      <c r="C617" t="str">
        <f t="shared" si="45"/>
        <v>Yes</v>
      </c>
      <c r="D617" t="s">
        <v>960</v>
      </c>
      <c r="E617" t="s">
        <v>1583</v>
      </c>
      <c r="F617" t="str" cm="1">
        <f t="array" ref="F617">IF(OR(COUNTIF(D617,"*"&amp;$T$9:$T$15&amp;"*")),"Female","Male")</f>
        <v>Female</v>
      </c>
      <c r="G617">
        <v>4</v>
      </c>
      <c r="H617">
        <v>2</v>
      </c>
      <c r="I617">
        <v>1</v>
      </c>
      <c r="J617">
        <v>2</v>
      </c>
      <c r="K617">
        <v>39</v>
      </c>
      <c r="L617">
        <f t="shared" si="46"/>
        <v>1</v>
      </c>
      <c r="M617">
        <f t="shared" si="47"/>
        <v>4</v>
      </c>
      <c r="N617" t="str">
        <f t="shared" si="48"/>
        <v>Child</v>
      </c>
      <c r="O617">
        <f t="shared" si="49"/>
        <v>39</v>
      </c>
    </row>
    <row r="618" spans="1:15" x14ac:dyDescent="0.3">
      <c r="A618">
        <v>617</v>
      </c>
      <c r="B618">
        <v>0</v>
      </c>
      <c r="C618" t="str">
        <f t="shared" si="45"/>
        <v>No</v>
      </c>
      <c r="D618" t="s">
        <v>956</v>
      </c>
      <c r="E618" t="s">
        <v>1584</v>
      </c>
      <c r="F618" t="str" cm="1">
        <f t="array" ref="F618">IF(OR(COUNTIF(D618,"*"&amp;$T$9:$T$15&amp;"*")),"Female","Male")</f>
        <v>Male</v>
      </c>
      <c r="G618">
        <v>26</v>
      </c>
      <c r="H618">
        <v>0</v>
      </c>
      <c r="I618">
        <v>0</v>
      </c>
      <c r="J618">
        <v>2</v>
      </c>
      <c r="K618">
        <v>10.5</v>
      </c>
      <c r="L618">
        <f t="shared" si="46"/>
        <v>0</v>
      </c>
      <c r="M618">
        <f t="shared" si="47"/>
        <v>26</v>
      </c>
      <c r="N618" t="str">
        <f t="shared" si="48"/>
        <v>Adult</v>
      </c>
      <c r="O618">
        <f t="shared" si="49"/>
        <v>10.5</v>
      </c>
    </row>
    <row r="619" spans="1:15" x14ac:dyDescent="0.3">
      <c r="A619">
        <v>618</v>
      </c>
      <c r="B619">
        <v>0</v>
      </c>
      <c r="C619" t="str">
        <f t="shared" si="45"/>
        <v>No</v>
      </c>
      <c r="D619" t="s">
        <v>956</v>
      </c>
      <c r="E619" t="s">
        <v>1585</v>
      </c>
      <c r="F619" t="str" cm="1">
        <f t="array" ref="F619">IF(OR(COUNTIF(D619,"*"&amp;$T$9:$T$15&amp;"*")),"Female","Male")</f>
        <v>Male</v>
      </c>
      <c r="G619">
        <v>27</v>
      </c>
      <c r="H619">
        <v>1</v>
      </c>
      <c r="I619">
        <v>0</v>
      </c>
      <c r="J619">
        <v>3</v>
      </c>
      <c r="K619">
        <v>14.4542</v>
      </c>
      <c r="L619">
        <f t="shared" si="46"/>
        <v>0</v>
      </c>
      <c r="M619">
        <f t="shared" si="47"/>
        <v>27</v>
      </c>
      <c r="N619" t="str">
        <f t="shared" si="48"/>
        <v>Adult</v>
      </c>
      <c r="O619">
        <f t="shared" si="49"/>
        <v>14.45</v>
      </c>
    </row>
    <row r="620" spans="1:15" x14ac:dyDescent="0.3">
      <c r="A620">
        <v>619</v>
      </c>
      <c r="B620">
        <v>1</v>
      </c>
      <c r="C620" t="str">
        <f t="shared" si="45"/>
        <v>Yes</v>
      </c>
      <c r="D620" t="s">
        <v>956</v>
      </c>
      <c r="E620" t="s">
        <v>1586</v>
      </c>
      <c r="F620" t="str" cm="1">
        <f t="array" ref="F620">IF(OR(COUNTIF(D620,"*"&amp;$T$9:$T$15&amp;"*")),"Female","Male")</f>
        <v>Male</v>
      </c>
      <c r="G620">
        <v>42</v>
      </c>
      <c r="H620">
        <v>1</v>
      </c>
      <c r="I620">
        <v>0</v>
      </c>
      <c r="J620">
        <v>1</v>
      </c>
      <c r="K620">
        <v>52.554200000000002</v>
      </c>
      <c r="L620">
        <f t="shared" si="46"/>
        <v>0</v>
      </c>
      <c r="M620">
        <f t="shared" si="47"/>
        <v>42</v>
      </c>
      <c r="N620" t="str">
        <f t="shared" si="48"/>
        <v>Adult</v>
      </c>
      <c r="O620">
        <f t="shared" si="49"/>
        <v>52.55</v>
      </c>
    </row>
    <row r="621" spans="1:15" x14ac:dyDescent="0.3">
      <c r="A621">
        <v>620</v>
      </c>
      <c r="B621">
        <v>1</v>
      </c>
      <c r="C621" t="str">
        <f t="shared" si="45"/>
        <v>Yes</v>
      </c>
      <c r="D621" t="s">
        <v>956</v>
      </c>
      <c r="E621" t="s">
        <v>1587</v>
      </c>
      <c r="F621" t="str" cm="1">
        <f t="array" ref="F621">IF(OR(COUNTIF(D621,"*"&amp;$T$9:$T$15&amp;"*")),"Female","Male")</f>
        <v>Male</v>
      </c>
      <c r="G621">
        <v>20</v>
      </c>
      <c r="H621">
        <v>1</v>
      </c>
      <c r="I621">
        <v>1</v>
      </c>
      <c r="J621">
        <v>3</v>
      </c>
      <c r="K621">
        <v>15.7417</v>
      </c>
      <c r="L621">
        <f t="shared" si="46"/>
        <v>0</v>
      </c>
      <c r="M621">
        <f t="shared" si="47"/>
        <v>20</v>
      </c>
      <c r="N621" t="str">
        <f t="shared" si="48"/>
        <v>Adult</v>
      </c>
      <c r="O621">
        <f t="shared" si="49"/>
        <v>15.74</v>
      </c>
    </row>
    <row r="622" spans="1:15" x14ac:dyDescent="0.3">
      <c r="A622">
        <v>621</v>
      </c>
      <c r="B622">
        <v>0</v>
      </c>
      <c r="C622" t="str">
        <f t="shared" si="45"/>
        <v>No</v>
      </c>
      <c r="D622" t="s">
        <v>956</v>
      </c>
      <c r="E622" t="s">
        <v>1588</v>
      </c>
      <c r="F622" t="str" cm="1">
        <f t="array" ref="F622">IF(OR(COUNTIF(D622,"*"&amp;$T$9:$T$15&amp;"*")),"Female","Male")</f>
        <v>Male</v>
      </c>
      <c r="G622">
        <v>21</v>
      </c>
      <c r="H622">
        <v>0</v>
      </c>
      <c r="I622">
        <v>0</v>
      </c>
      <c r="J622">
        <v>3</v>
      </c>
      <c r="K622">
        <v>7.8541999999999996</v>
      </c>
      <c r="L622">
        <f t="shared" si="46"/>
        <v>0</v>
      </c>
      <c r="M622">
        <f t="shared" si="47"/>
        <v>21</v>
      </c>
      <c r="N622" t="str">
        <f t="shared" si="48"/>
        <v>Adult</v>
      </c>
      <c r="O622">
        <f t="shared" si="49"/>
        <v>7.85</v>
      </c>
    </row>
    <row r="623" spans="1:15" x14ac:dyDescent="0.3">
      <c r="A623">
        <v>622</v>
      </c>
      <c r="B623">
        <v>0</v>
      </c>
      <c r="C623" t="str">
        <f t="shared" si="45"/>
        <v>No</v>
      </c>
      <c r="D623" t="s">
        <v>956</v>
      </c>
      <c r="E623" t="s">
        <v>1589</v>
      </c>
      <c r="F623" t="str" cm="1">
        <f t="array" ref="F623">IF(OR(COUNTIF(D623,"*"&amp;$T$9:$T$15&amp;"*")),"Female","Male")</f>
        <v>Male</v>
      </c>
      <c r="G623">
        <v>21</v>
      </c>
      <c r="H623">
        <v>0</v>
      </c>
      <c r="I623">
        <v>0</v>
      </c>
      <c r="J623">
        <v>3</v>
      </c>
      <c r="K623">
        <v>16.100000000000001</v>
      </c>
      <c r="L623">
        <f t="shared" si="46"/>
        <v>0</v>
      </c>
      <c r="M623">
        <f t="shared" si="47"/>
        <v>21</v>
      </c>
      <c r="N623" t="str">
        <f t="shared" si="48"/>
        <v>Adult</v>
      </c>
      <c r="O623">
        <f t="shared" si="49"/>
        <v>16.100000000000001</v>
      </c>
    </row>
    <row r="624" spans="1:15" x14ac:dyDescent="0.3">
      <c r="A624">
        <v>623</v>
      </c>
      <c r="B624">
        <v>0</v>
      </c>
      <c r="C624" t="str">
        <f t="shared" si="45"/>
        <v>No</v>
      </c>
      <c r="D624" t="s">
        <v>956</v>
      </c>
      <c r="E624" t="s">
        <v>1590</v>
      </c>
      <c r="F624" t="str" cm="1">
        <f t="array" ref="F624">IF(OR(COUNTIF(D624,"*"&amp;$T$9:$T$15&amp;"*")),"Female","Male")</f>
        <v>Male</v>
      </c>
      <c r="G624">
        <v>61</v>
      </c>
      <c r="H624">
        <v>0</v>
      </c>
      <c r="I624">
        <v>0</v>
      </c>
      <c r="J624">
        <v>1</v>
      </c>
      <c r="K624">
        <v>32.320799999999998</v>
      </c>
      <c r="L624">
        <f t="shared" si="46"/>
        <v>0</v>
      </c>
      <c r="M624">
        <f t="shared" si="47"/>
        <v>61</v>
      </c>
      <c r="N624" t="str">
        <f t="shared" si="48"/>
        <v>Adult</v>
      </c>
      <c r="O624">
        <f t="shared" si="49"/>
        <v>32.32</v>
      </c>
    </row>
    <row r="625" spans="1:15" x14ac:dyDescent="0.3">
      <c r="A625">
        <v>624</v>
      </c>
      <c r="B625">
        <v>0</v>
      </c>
      <c r="C625" t="str">
        <f t="shared" si="45"/>
        <v>No</v>
      </c>
      <c r="D625" t="s">
        <v>1109</v>
      </c>
      <c r="E625" t="s">
        <v>1591</v>
      </c>
      <c r="F625" t="str" cm="1">
        <f t="array" ref="F625">IF(OR(COUNTIF(D625,"*"&amp;$T$9:$T$15&amp;"*")),"Female","Male")</f>
        <v>Male</v>
      </c>
      <c r="G625">
        <v>57</v>
      </c>
      <c r="H625">
        <v>0</v>
      </c>
      <c r="I625">
        <v>0</v>
      </c>
      <c r="J625">
        <v>2</v>
      </c>
      <c r="K625">
        <v>12.35</v>
      </c>
      <c r="L625">
        <f t="shared" si="46"/>
        <v>0</v>
      </c>
      <c r="M625">
        <f t="shared" si="47"/>
        <v>57</v>
      </c>
      <c r="N625" t="str">
        <f t="shared" si="48"/>
        <v>Adult</v>
      </c>
      <c r="O625">
        <f t="shared" si="49"/>
        <v>12.35</v>
      </c>
    </row>
    <row r="626" spans="1:15" x14ac:dyDescent="0.3">
      <c r="A626">
        <v>625</v>
      </c>
      <c r="B626">
        <v>1</v>
      </c>
      <c r="C626" t="str">
        <f t="shared" si="45"/>
        <v>Yes</v>
      </c>
      <c r="D626" t="s">
        <v>960</v>
      </c>
      <c r="E626" t="s">
        <v>1592</v>
      </c>
      <c r="F626" t="str" cm="1">
        <f t="array" ref="F626">IF(OR(COUNTIF(D626,"*"&amp;$T$9:$T$15&amp;"*")),"Female","Male")</f>
        <v>Female</v>
      </c>
      <c r="G626">
        <v>21</v>
      </c>
      <c r="H626">
        <v>0</v>
      </c>
      <c r="I626">
        <v>0</v>
      </c>
      <c r="J626">
        <v>1</v>
      </c>
      <c r="K626">
        <v>77.958299999999994</v>
      </c>
      <c r="L626">
        <f t="shared" si="46"/>
        <v>1</v>
      </c>
      <c r="M626">
        <f t="shared" si="47"/>
        <v>21</v>
      </c>
      <c r="N626" t="str">
        <f t="shared" si="48"/>
        <v>Adult</v>
      </c>
      <c r="O626">
        <f t="shared" si="49"/>
        <v>77.959999999999994</v>
      </c>
    </row>
    <row r="627" spans="1:15" x14ac:dyDescent="0.3">
      <c r="A627">
        <v>626</v>
      </c>
      <c r="B627">
        <v>0</v>
      </c>
      <c r="C627" t="str">
        <f t="shared" si="45"/>
        <v>No</v>
      </c>
      <c r="D627" t="s">
        <v>956</v>
      </c>
      <c r="E627" t="s">
        <v>1593</v>
      </c>
      <c r="F627" t="str" cm="1">
        <f t="array" ref="F627">IF(OR(COUNTIF(D627,"*"&amp;$T$9:$T$15&amp;"*")),"Female","Male")</f>
        <v>Male</v>
      </c>
      <c r="G627">
        <v>26</v>
      </c>
      <c r="H627">
        <v>0</v>
      </c>
      <c r="I627">
        <v>0</v>
      </c>
      <c r="J627">
        <v>3</v>
      </c>
      <c r="K627">
        <v>7.8958000000000004</v>
      </c>
      <c r="L627">
        <f t="shared" si="46"/>
        <v>0</v>
      </c>
      <c r="M627">
        <f t="shared" si="47"/>
        <v>26</v>
      </c>
      <c r="N627" t="str">
        <f t="shared" si="48"/>
        <v>Adult</v>
      </c>
      <c r="O627">
        <f t="shared" si="49"/>
        <v>7.9</v>
      </c>
    </row>
    <row r="628" spans="1:15" x14ac:dyDescent="0.3">
      <c r="A628">
        <v>627</v>
      </c>
      <c r="B628">
        <v>0</v>
      </c>
      <c r="C628" t="str">
        <f t="shared" si="45"/>
        <v>No</v>
      </c>
      <c r="D628" t="s">
        <v>956</v>
      </c>
      <c r="E628" t="s">
        <v>1594</v>
      </c>
      <c r="F628" t="str" cm="1">
        <f t="array" ref="F628">IF(OR(COUNTIF(D628,"*"&amp;$T$9:$T$15&amp;"*")),"Female","Male")</f>
        <v>Male</v>
      </c>
      <c r="G628">
        <v>18</v>
      </c>
      <c r="H628">
        <v>0</v>
      </c>
      <c r="I628">
        <v>0</v>
      </c>
      <c r="J628">
        <v>3</v>
      </c>
      <c r="K628">
        <v>7.7332999999999998</v>
      </c>
      <c r="L628">
        <f t="shared" si="46"/>
        <v>0</v>
      </c>
      <c r="M628">
        <f t="shared" si="47"/>
        <v>18</v>
      </c>
      <c r="N628" t="str">
        <f t="shared" si="48"/>
        <v>Adult</v>
      </c>
      <c r="O628">
        <f t="shared" si="49"/>
        <v>7.73</v>
      </c>
    </row>
    <row r="629" spans="1:15" x14ac:dyDescent="0.3">
      <c r="A629">
        <v>628</v>
      </c>
      <c r="B629">
        <v>1</v>
      </c>
      <c r="C629" t="str">
        <f t="shared" si="45"/>
        <v>Yes</v>
      </c>
      <c r="D629" t="s">
        <v>956</v>
      </c>
      <c r="E629" t="s">
        <v>1595</v>
      </c>
      <c r="F629" t="str" cm="1">
        <f t="array" ref="F629">IF(OR(COUNTIF(D629,"*"&amp;$T$9:$T$15&amp;"*")),"Female","Male")</f>
        <v>Male</v>
      </c>
      <c r="G629">
        <v>80</v>
      </c>
      <c r="H629">
        <v>0</v>
      </c>
      <c r="I629">
        <v>0</v>
      </c>
      <c r="J629">
        <v>1</v>
      </c>
      <c r="K629">
        <v>30</v>
      </c>
      <c r="L629">
        <f t="shared" si="46"/>
        <v>0</v>
      </c>
      <c r="M629">
        <f t="shared" si="47"/>
        <v>80</v>
      </c>
      <c r="N629" t="str">
        <f t="shared" si="48"/>
        <v>Adult</v>
      </c>
      <c r="O629">
        <f t="shared" si="49"/>
        <v>30</v>
      </c>
    </row>
    <row r="630" spans="1:15" x14ac:dyDescent="0.3">
      <c r="A630">
        <v>629</v>
      </c>
      <c r="B630">
        <v>0</v>
      </c>
      <c r="C630" t="str">
        <f t="shared" si="45"/>
        <v>No</v>
      </c>
      <c r="D630" t="s">
        <v>956</v>
      </c>
      <c r="E630" t="s">
        <v>1596</v>
      </c>
      <c r="F630" t="str" cm="1">
        <f t="array" ref="F630">IF(OR(COUNTIF(D630,"*"&amp;$T$9:$T$15&amp;"*")),"Female","Male")</f>
        <v>Male</v>
      </c>
      <c r="G630">
        <v>51</v>
      </c>
      <c r="H630">
        <v>0</v>
      </c>
      <c r="I630">
        <v>0</v>
      </c>
      <c r="J630">
        <v>3</v>
      </c>
      <c r="K630">
        <v>7.0541999999999998</v>
      </c>
      <c r="L630">
        <f t="shared" si="46"/>
        <v>0</v>
      </c>
      <c r="M630">
        <f t="shared" si="47"/>
        <v>51</v>
      </c>
      <c r="N630" t="str">
        <f t="shared" si="48"/>
        <v>Adult</v>
      </c>
      <c r="O630">
        <f t="shared" si="49"/>
        <v>7.05</v>
      </c>
    </row>
    <row r="631" spans="1:15" x14ac:dyDescent="0.3">
      <c r="A631">
        <v>630</v>
      </c>
      <c r="B631">
        <v>1</v>
      </c>
      <c r="C631" t="str">
        <f t="shared" si="45"/>
        <v>Yes</v>
      </c>
      <c r="D631" t="s">
        <v>1206</v>
      </c>
      <c r="E631" t="s">
        <v>1597</v>
      </c>
      <c r="F631" t="str" cm="1">
        <f t="array" ref="F631">IF(OR(COUNTIF(D631,"*"&amp;$T$9:$T$15&amp;"*")),"Female","Male")</f>
        <v>Male</v>
      </c>
      <c r="G631">
        <v>32</v>
      </c>
      <c r="H631">
        <v>0</v>
      </c>
      <c r="I631">
        <v>0</v>
      </c>
      <c r="J631">
        <v>1</v>
      </c>
      <c r="K631">
        <v>30.5</v>
      </c>
      <c r="L631">
        <f t="shared" si="46"/>
        <v>0</v>
      </c>
      <c r="M631">
        <f t="shared" si="47"/>
        <v>32</v>
      </c>
      <c r="N631" t="str">
        <f t="shared" si="48"/>
        <v>Adult</v>
      </c>
      <c r="O631">
        <f t="shared" si="49"/>
        <v>30.5</v>
      </c>
    </row>
    <row r="632" spans="1:15" x14ac:dyDescent="0.3">
      <c r="A632">
        <v>631</v>
      </c>
      <c r="B632">
        <v>0</v>
      </c>
      <c r="C632" t="str">
        <f t="shared" si="45"/>
        <v>No</v>
      </c>
      <c r="D632" t="s">
        <v>956</v>
      </c>
      <c r="E632" t="s">
        <v>1598</v>
      </c>
      <c r="F632" t="str" cm="1">
        <f t="array" ref="F632">IF(OR(COUNTIF(D632,"*"&amp;$T$9:$T$15&amp;"*")),"Female","Male")</f>
        <v>Male</v>
      </c>
      <c r="G632">
        <v>30</v>
      </c>
      <c r="H632">
        <v>0</v>
      </c>
      <c r="I632">
        <v>0</v>
      </c>
      <c r="J632">
        <v>1</v>
      </c>
      <c r="K632">
        <v>0</v>
      </c>
      <c r="L632">
        <f t="shared" si="46"/>
        <v>0</v>
      </c>
      <c r="M632">
        <f t="shared" si="47"/>
        <v>30</v>
      </c>
      <c r="N632" t="str">
        <f t="shared" si="48"/>
        <v>Adult</v>
      </c>
      <c r="O632">
        <f t="shared" si="49"/>
        <v>0</v>
      </c>
    </row>
    <row r="633" spans="1:15" x14ac:dyDescent="0.3">
      <c r="A633">
        <v>632</v>
      </c>
      <c r="B633">
        <v>0</v>
      </c>
      <c r="C633" t="str">
        <f t="shared" si="45"/>
        <v>No</v>
      </c>
      <c r="D633" t="s">
        <v>960</v>
      </c>
      <c r="E633" t="s">
        <v>1599</v>
      </c>
      <c r="F633" t="str" cm="1">
        <f t="array" ref="F633">IF(OR(COUNTIF(D633,"*"&amp;$T$9:$T$15&amp;"*")),"Female","Male")</f>
        <v>Female</v>
      </c>
      <c r="G633">
        <v>9</v>
      </c>
      <c r="H633">
        <v>3</v>
      </c>
      <c r="I633">
        <v>2</v>
      </c>
      <c r="J633">
        <v>3</v>
      </c>
      <c r="K633">
        <v>27.9</v>
      </c>
      <c r="L633">
        <f t="shared" si="46"/>
        <v>1</v>
      </c>
      <c r="M633">
        <f t="shared" si="47"/>
        <v>9</v>
      </c>
      <c r="N633" t="str">
        <f t="shared" si="48"/>
        <v>Child</v>
      </c>
      <c r="O633">
        <f t="shared" si="49"/>
        <v>27.9</v>
      </c>
    </row>
    <row r="634" spans="1:15" x14ac:dyDescent="0.3">
      <c r="A634">
        <v>633</v>
      </c>
      <c r="B634">
        <v>1</v>
      </c>
      <c r="C634" t="str">
        <f t="shared" si="45"/>
        <v>Yes</v>
      </c>
      <c r="D634" t="s">
        <v>960</v>
      </c>
      <c r="E634" t="s">
        <v>1600</v>
      </c>
      <c r="F634" t="str" cm="1">
        <f t="array" ref="F634">IF(OR(COUNTIF(D634,"*"&amp;$T$9:$T$15&amp;"*")),"Female","Male")</f>
        <v>Female</v>
      </c>
      <c r="G634">
        <v>28</v>
      </c>
      <c r="H634">
        <v>0</v>
      </c>
      <c r="I634">
        <v>0</v>
      </c>
      <c r="J634">
        <v>2</v>
      </c>
      <c r="K634">
        <v>13</v>
      </c>
      <c r="L634">
        <f t="shared" si="46"/>
        <v>1</v>
      </c>
      <c r="M634">
        <f t="shared" si="47"/>
        <v>28</v>
      </c>
      <c r="N634" t="str">
        <f t="shared" si="48"/>
        <v>Adult</v>
      </c>
      <c r="O634">
        <f t="shared" si="49"/>
        <v>13</v>
      </c>
    </row>
    <row r="635" spans="1:15" x14ac:dyDescent="0.3">
      <c r="A635">
        <v>634</v>
      </c>
      <c r="B635">
        <v>0</v>
      </c>
      <c r="C635" t="str">
        <f t="shared" si="45"/>
        <v>No</v>
      </c>
      <c r="D635" t="s">
        <v>956</v>
      </c>
      <c r="E635" t="s">
        <v>1601</v>
      </c>
      <c r="F635" t="str" cm="1">
        <f t="array" ref="F635">IF(OR(COUNTIF(D635,"*"&amp;$T$9:$T$15&amp;"*")),"Female","Male")</f>
        <v>Male</v>
      </c>
      <c r="G635">
        <v>32</v>
      </c>
      <c r="H635">
        <v>0</v>
      </c>
      <c r="I635">
        <v>0</v>
      </c>
      <c r="J635">
        <v>3</v>
      </c>
      <c r="K635">
        <v>7.9249999999999998</v>
      </c>
      <c r="L635">
        <f t="shared" si="46"/>
        <v>0</v>
      </c>
      <c r="M635">
        <f t="shared" si="47"/>
        <v>32</v>
      </c>
      <c r="N635" t="str">
        <f t="shared" si="48"/>
        <v>Adult</v>
      </c>
      <c r="O635">
        <f t="shared" si="49"/>
        <v>7.93</v>
      </c>
    </row>
    <row r="636" spans="1:15" x14ac:dyDescent="0.3">
      <c r="A636">
        <v>635</v>
      </c>
      <c r="B636">
        <v>0</v>
      </c>
      <c r="C636" t="str">
        <f t="shared" si="45"/>
        <v>No</v>
      </c>
      <c r="D636" t="s">
        <v>956</v>
      </c>
      <c r="E636" t="s">
        <v>1602</v>
      </c>
      <c r="F636" t="str" cm="1">
        <f t="array" ref="F636">IF(OR(COUNTIF(D636,"*"&amp;$T$9:$T$15&amp;"*")),"Female","Male")</f>
        <v>Male</v>
      </c>
      <c r="G636">
        <v>31</v>
      </c>
      <c r="H636">
        <v>1</v>
      </c>
      <c r="I636">
        <v>1</v>
      </c>
      <c r="J636">
        <v>2</v>
      </c>
      <c r="K636">
        <v>26.25</v>
      </c>
      <c r="L636">
        <f t="shared" si="46"/>
        <v>0</v>
      </c>
      <c r="M636">
        <f t="shared" si="47"/>
        <v>31</v>
      </c>
      <c r="N636" t="str">
        <f t="shared" si="48"/>
        <v>Adult</v>
      </c>
      <c r="O636">
        <f t="shared" si="49"/>
        <v>26.25</v>
      </c>
    </row>
    <row r="637" spans="1:15" x14ac:dyDescent="0.3">
      <c r="A637">
        <v>636</v>
      </c>
      <c r="B637">
        <v>0</v>
      </c>
      <c r="C637" t="str">
        <f t="shared" si="45"/>
        <v>No</v>
      </c>
      <c r="D637" t="s">
        <v>958</v>
      </c>
      <c r="E637" t="s">
        <v>1603</v>
      </c>
      <c r="F637" t="str" cm="1">
        <f t="array" ref="F637">IF(OR(COUNTIF(D637,"*"&amp;$T$9:$T$15&amp;"*")),"Female","Male")</f>
        <v>Female</v>
      </c>
      <c r="G637">
        <v>41</v>
      </c>
      <c r="H637">
        <v>0</v>
      </c>
      <c r="I637">
        <v>5</v>
      </c>
      <c r="J637">
        <v>3</v>
      </c>
      <c r="K637">
        <v>39.6875</v>
      </c>
      <c r="L637">
        <f t="shared" si="46"/>
        <v>1</v>
      </c>
      <c r="M637">
        <f t="shared" si="47"/>
        <v>41</v>
      </c>
      <c r="N637" t="str">
        <f t="shared" si="48"/>
        <v>Adult</v>
      </c>
      <c r="O637">
        <f t="shared" si="49"/>
        <v>39.69</v>
      </c>
    </row>
    <row r="638" spans="1:15" x14ac:dyDescent="0.3">
      <c r="A638">
        <v>637</v>
      </c>
      <c r="B638">
        <v>0</v>
      </c>
      <c r="C638" t="str">
        <f t="shared" si="45"/>
        <v>No</v>
      </c>
      <c r="D638" t="s">
        <v>956</v>
      </c>
      <c r="E638" t="s">
        <v>1604</v>
      </c>
      <c r="F638" t="str" cm="1">
        <f t="array" ref="F638">IF(OR(COUNTIF(D638,"*"&amp;$T$9:$T$15&amp;"*")),"Female","Male")</f>
        <v>Male</v>
      </c>
      <c r="G638">
        <v>37</v>
      </c>
      <c r="H638">
        <v>1</v>
      </c>
      <c r="I638">
        <v>0</v>
      </c>
      <c r="J638">
        <v>3</v>
      </c>
      <c r="K638">
        <v>16.100000000000001</v>
      </c>
      <c r="L638">
        <f t="shared" si="46"/>
        <v>0</v>
      </c>
      <c r="M638">
        <f t="shared" si="47"/>
        <v>37</v>
      </c>
      <c r="N638" t="str">
        <f t="shared" si="48"/>
        <v>Adult</v>
      </c>
      <c r="O638">
        <f t="shared" si="49"/>
        <v>16.100000000000001</v>
      </c>
    </row>
    <row r="639" spans="1:15" x14ac:dyDescent="0.3">
      <c r="A639">
        <v>638</v>
      </c>
      <c r="B639">
        <v>0</v>
      </c>
      <c r="C639" t="str">
        <f t="shared" si="45"/>
        <v>No</v>
      </c>
      <c r="D639" t="s">
        <v>956</v>
      </c>
      <c r="E639" t="s">
        <v>1605</v>
      </c>
      <c r="F639" t="str" cm="1">
        <f t="array" ref="F639">IF(OR(COUNTIF(D639,"*"&amp;$T$9:$T$15&amp;"*")),"Female","Male")</f>
        <v>Male</v>
      </c>
      <c r="G639">
        <v>20</v>
      </c>
      <c r="H639">
        <v>0</v>
      </c>
      <c r="I639">
        <v>0</v>
      </c>
      <c r="J639">
        <v>3</v>
      </c>
      <c r="K639">
        <v>7.8541999999999996</v>
      </c>
      <c r="L639">
        <f t="shared" si="46"/>
        <v>0</v>
      </c>
      <c r="M639">
        <f t="shared" si="47"/>
        <v>20</v>
      </c>
      <c r="N639" t="str">
        <f t="shared" si="48"/>
        <v>Adult</v>
      </c>
      <c r="O639">
        <f t="shared" si="49"/>
        <v>7.85</v>
      </c>
    </row>
    <row r="640" spans="1:15" x14ac:dyDescent="0.3">
      <c r="A640">
        <v>639</v>
      </c>
      <c r="B640">
        <v>1</v>
      </c>
      <c r="C640" t="str">
        <f t="shared" si="45"/>
        <v>Yes</v>
      </c>
      <c r="D640" t="s">
        <v>1606</v>
      </c>
      <c r="E640" t="s">
        <v>1607</v>
      </c>
      <c r="F640" t="str" cm="1">
        <f t="array" ref="F640">IF(OR(COUNTIF(D640,"*"&amp;$T$9:$T$15&amp;"*")),"Female","Male")</f>
        <v>Female</v>
      </c>
      <c r="G640">
        <v>24</v>
      </c>
      <c r="H640">
        <v>0</v>
      </c>
      <c r="I640">
        <v>0</v>
      </c>
      <c r="J640">
        <v>1</v>
      </c>
      <c r="K640">
        <v>69.3</v>
      </c>
      <c r="L640">
        <f t="shared" si="46"/>
        <v>1</v>
      </c>
      <c r="M640">
        <f t="shared" si="47"/>
        <v>24</v>
      </c>
      <c r="N640" t="str">
        <f t="shared" si="48"/>
        <v>Adult</v>
      </c>
      <c r="O640">
        <f t="shared" si="49"/>
        <v>69.3</v>
      </c>
    </row>
    <row r="641" spans="1:15" x14ac:dyDescent="0.3">
      <c r="A641">
        <v>640</v>
      </c>
      <c r="B641">
        <v>0</v>
      </c>
      <c r="C641" t="str">
        <f t="shared" si="45"/>
        <v>No</v>
      </c>
      <c r="D641" t="s">
        <v>960</v>
      </c>
      <c r="E641" t="s">
        <v>1608</v>
      </c>
      <c r="F641" t="str" cm="1">
        <f t="array" ref="F641">IF(OR(COUNTIF(D641,"*"&amp;$T$9:$T$15&amp;"*")),"Female","Male")</f>
        <v>Female</v>
      </c>
      <c r="G641">
        <v>2</v>
      </c>
      <c r="H641">
        <v>3</v>
      </c>
      <c r="I641">
        <v>2</v>
      </c>
      <c r="J641">
        <v>3</v>
      </c>
      <c r="K641">
        <v>27.9</v>
      </c>
      <c r="L641">
        <f t="shared" si="46"/>
        <v>1</v>
      </c>
      <c r="M641">
        <f t="shared" si="47"/>
        <v>2</v>
      </c>
      <c r="N641" t="str">
        <f t="shared" si="48"/>
        <v>Child</v>
      </c>
      <c r="O641">
        <f t="shared" si="49"/>
        <v>27.9</v>
      </c>
    </row>
    <row r="642" spans="1:15" x14ac:dyDescent="0.3">
      <c r="A642">
        <v>641</v>
      </c>
      <c r="B642">
        <v>1</v>
      </c>
      <c r="C642" t="str">
        <f t="shared" si="45"/>
        <v>Yes</v>
      </c>
      <c r="D642" t="s">
        <v>956</v>
      </c>
      <c r="E642" t="s">
        <v>1609</v>
      </c>
      <c r="F642" t="str" cm="1">
        <f t="array" ref="F642">IF(OR(COUNTIF(D642,"*"&amp;$T$9:$T$15&amp;"*")),"Female","Male")</f>
        <v>Male</v>
      </c>
      <c r="G642">
        <v>32</v>
      </c>
      <c r="H642">
        <v>0</v>
      </c>
      <c r="I642">
        <v>0</v>
      </c>
      <c r="J642">
        <v>3</v>
      </c>
      <c r="K642">
        <v>56.495800000000003</v>
      </c>
      <c r="L642">
        <f t="shared" si="46"/>
        <v>0</v>
      </c>
      <c r="M642">
        <f t="shared" si="47"/>
        <v>32</v>
      </c>
      <c r="N642" t="str">
        <f t="shared" si="48"/>
        <v>Adult</v>
      </c>
      <c r="O642">
        <f t="shared" si="49"/>
        <v>56.5</v>
      </c>
    </row>
    <row r="643" spans="1:15" x14ac:dyDescent="0.3">
      <c r="A643">
        <v>642</v>
      </c>
      <c r="B643">
        <v>1</v>
      </c>
      <c r="C643" t="str">
        <f t="shared" ref="C643:C706" si="50">IF(B643=0,"No","Yes")</f>
        <v>Yes</v>
      </c>
      <c r="D643" t="s">
        <v>960</v>
      </c>
      <c r="E643" t="s">
        <v>1610</v>
      </c>
      <c r="F643" t="str" cm="1">
        <f t="array" ref="F643">IF(OR(COUNTIF(D643,"*"&amp;$T$9:$T$15&amp;"*")),"Female","Male")</f>
        <v>Female</v>
      </c>
      <c r="G643">
        <v>0.75</v>
      </c>
      <c r="H643">
        <v>2</v>
      </c>
      <c r="I643">
        <v>1</v>
      </c>
      <c r="J643">
        <v>3</v>
      </c>
      <c r="K643">
        <v>19.258299999999998</v>
      </c>
      <c r="L643">
        <f t="shared" ref="L643:L706" si="51">IF(F643 = "Male", 0, 1)</f>
        <v>1</v>
      </c>
      <c r="M643">
        <f t="shared" ref="M643:M706" si="52">ROUND(G643, 0)</f>
        <v>1</v>
      </c>
      <c r="N643" t="str">
        <f t="shared" ref="N643:N706" si="53">IF(G643&lt;=16,"Child","Adult")</f>
        <v>Child</v>
      </c>
      <c r="O643">
        <f t="shared" ref="O643:O706" si="54">ROUND(K643, 2)</f>
        <v>19.260000000000002</v>
      </c>
    </row>
    <row r="644" spans="1:15" x14ac:dyDescent="0.3">
      <c r="A644">
        <v>643</v>
      </c>
      <c r="B644">
        <v>1</v>
      </c>
      <c r="C644" t="str">
        <f t="shared" si="50"/>
        <v>Yes</v>
      </c>
      <c r="D644" t="s">
        <v>956</v>
      </c>
      <c r="E644" t="s">
        <v>1611</v>
      </c>
      <c r="F644" t="str" cm="1">
        <f t="array" ref="F644">IF(OR(COUNTIF(D644,"*"&amp;$T$9:$T$15&amp;"*")),"Female","Male")</f>
        <v>Male</v>
      </c>
      <c r="G644">
        <v>48</v>
      </c>
      <c r="H644">
        <v>1</v>
      </c>
      <c r="I644">
        <v>0</v>
      </c>
      <c r="J644">
        <v>1</v>
      </c>
      <c r="K644">
        <v>76.729200000000006</v>
      </c>
      <c r="L644">
        <f t="shared" si="51"/>
        <v>0</v>
      </c>
      <c r="M644">
        <f t="shared" si="52"/>
        <v>48</v>
      </c>
      <c r="N644" t="str">
        <f t="shared" si="53"/>
        <v>Adult</v>
      </c>
      <c r="O644">
        <f t="shared" si="54"/>
        <v>76.73</v>
      </c>
    </row>
    <row r="645" spans="1:15" x14ac:dyDescent="0.3">
      <c r="A645">
        <v>644</v>
      </c>
      <c r="B645">
        <v>0</v>
      </c>
      <c r="C645" t="str">
        <f t="shared" si="50"/>
        <v>No</v>
      </c>
      <c r="D645" t="s">
        <v>956</v>
      </c>
      <c r="E645" t="s">
        <v>1612</v>
      </c>
      <c r="F645" t="str" cm="1">
        <f t="array" ref="F645">IF(OR(COUNTIF(D645,"*"&amp;$T$9:$T$15&amp;"*")),"Female","Male")</f>
        <v>Male</v>
      </c>
      <c r="G645">
        <v>19</v>
      </c>
      <c r="H645">
        <v>0</v>
      </c>
      <c r="I645">
        <v>0</v>
      </c>
      <c r="J645">
        <v>3</v>
      </c>
      <c r="K645">
        <v>7.8958000000000004</v>
      </c>
      <c r="L645">
        <f t="shared" si="51"/>
        <v>0</v>
      </c>
      <c r="M645">
        <f t="shared" si="52"/>
        <v>19</v>
      </c>
      <c r="N645" t="str">
        <f t="shared" si="53"/>
        <v>Adult</v>
      </c>
      <c r="O645">
        <f t="shared" si="54"/>
        <v>7.9</v>
      </c>
    </row>
    <row r="646" spans="1:15" x14ac:dyDescent="0.3">
      <c r="A646">
        <v>645</v>
      </c>
      <c r="B646">
        <v>1</v>
      </c>
      <c r="C646" t="str">
        <f t="shared" si="50"/>
        <v>Yes</v>
      </c>
      <c r="D646" t="s">
        <v>1613</v>
      </c>
      <c r="E646" t="s">
        <v>1614</v>
      </c>
      <c r="F646" t="str" cm="1">
        <f t="array" ref="F646">IF(OR(COUNTIF(D646,"*"&amp;$T$9:$T$15&amp;"*")),"Female","Male")</f>
        <v>Male</v>
      </c>
      <c r="G646">
        <v>56</v>
      </c>
      <c r="H646">
        <v>0</v>
      </c>
      <c r="I646">
        <v>0</v>
      </c>
      <c r="J646">
        <v>1</v>
      </c>
      <c r="K646">
        <v>35.5</v>
      </c>
      <c r="L646">
        <f t="shared" si="51"/>
        <v>0</v>
      </c>
      <c r="M646">
        <f t="shared" si="52"/>
        <v>56</v>
      </c>
      <c r="N646" t="str">
        <f t="shared" si="53"/>
        <v>Adult</v>
      </c>
      <c r="O646">
        <f t="shared" si="54"/>
        <v>35.5</v>
      </c>
    </row>
    <row r="647" spans="1:15" x14ac:dyDescent="0.3">
      <c r="A647">
        <v>646</v>
      </c>
      <c r="B647">
        <v>0</v>
      </c>
      <c r="C647" t="str">
        <f t="shared" si="50"/>
        <v>No</v>
      </c>
      <c r="D647" t="s">
        <v>956</v>
      </c>
      <c r="E647" t="s">
        <v>1615</v>
      </c>
      <c r="F647" t="str" cm="1">
        <f t="array" ref="F647">IF(OR(COUNTIF(D647,"*"&amp;$T$9:$T$15&amp;"*")),"Female","Male")</f>
        <v>Male</v>
      </c>
      <c r="G647">
        <v>21</v>
      </c>
      <c r="H647">
        <v>0</v>
      </c>
      <c r="I647">
        <v>0</v>
      </c>
      <c r="J647">
        <v>3</v>
      </c>
      <c r="K647">
        <v>7.55</v>
      </c>
      <c r="L647">
        <f t="shared" si="51"/>
        <v>0</v>
      </c>
      <c r="M647">
        <f t="shared" si="52"/>
        <v>21</v>
      </c>
      <c r="N647" t="str">
        <f t="shared" si="53"/>
        <v>Adult</v>
      </c>
      <c r="O647">
        <f t="shared" si="54"/>
        <v>7.55</v>
      </c>
    </row>
    <row r="648" spans="1:15" x14ac:dyDescent="0.3">
      <c r="A648">
        <v>647</v>
      </c>
      <c r="B648">
        <v>1</v>
      </c>
      <c r="C648" t="str">
        <f t="shared" si="50"/>
        <v>Yes</v>
      </c>
      <c r="D648" t="s">
        <v>960</v>
      </c>
      <c r="E648" t="s">
        <v>1616</v>
      </c>
      <c r="F648" t="str" cm="1">
        <f t="array" ref="F648">IF(OR(COUNTIF(D648,"*"&amp;$T$9:$T$15&amp;"*")),"Female","Male")</f>
        <v>Female</v>
      </c>
      <c r="G648">
        <v>23</v>
      </c>
      <c r="H648">
        <v>0</v>
      </c>
      <c r="I648">
        <v>0</v>
      </c>
      <c r="J648">
        <v>3</v>
      </c>
      <c r="K648">
        <v>7.55</v>
      </c>
      <c r="L648">
        <f t="shared" si="51"/>
        <v>1</v>
      </c>
      <c r="M648">
        <f t="shared" si="52"/>
        <v>23</v>
      </c>
      <c r="N648" t="str">
        <f t="shared" si="53"/>
        <v>Adult</v>
      </c>
      <c r="O648">
        <f t="shared" si="54"/>
        <v>7.55</v>
      </c>
    </row>
    <row r="649" spans="1:15" x14ac:dyDescent="0.3">
      <c r="A649">
        <v>648</v>
      </c>
      <c r="B649">
        <v>0</v>
      </c>
      <c r="C649" t="str">
        <f t="shared" si="50"/>
        <v>No</v>
      </c>
      <c r="D649" t="s">
        <v>956</v>
      </c>
      <c r="E649" t="s">
        <v>1617</v>
      </c>
      <c r="F649" t="str" cm="1">
        <f t="array" ref="F649">IF(OR(COUNTIF(D649,"*"&amp;$T$9:$T$15&amp;"*")),"Female","Male")</f>
        <v>Male</v>
      </c>
      <c r="G649">
        <v>23</v>
      </c>
      <c r="H649">
        <v>0</v>
      </c>
      <c r="I649">
        <v>0</v>
      </c>
      <c r="J649">
        <v>3</v>
      </c>
      <c r="K649">
        <v>7.8958000000000004</v>
      </c>
      <c r="L649">
        <f t="shared" si="51"/>
        <v>0</v>
      </c>
      <c r="M649">
        <f t="shared" si="52"/>
        <v>23</v>
      </c>
      <c r="N649" t="str">
        <f t="shared" si="53"/>
        <v>Adult</v>
      </c>
      <c r="O649">
        <f t="shared" si="54"/>
        <v>7.9</v>
      </c>
    </row>
    <row r="650" spans="1:15" x14ac:dyDescent="0.3">
      <c r="A650">
        <v>649</v>
      </c>
      <c r="B650">
        <v>1</v>
      </c>
      <c r="C650" t="str">
        <f t="shared" si="50"/>
        <v>Yes</v>
      </c>
      <c r="D650" t="s">
        <v>960</v>
      </c>
      <c r="E650" t="s">
        <v>1618</v>
      </c>
      <c r="F650" t="str" cm="1">
        <f t="array" ref="F650">IF(OR(COUNTIF(D650,"*"&amp;$T$9:$T$15&amp;"*")),"Female","Male")</f>
        <v>Female</v>
      </c>
      <c r="G650">
        <v>18</v>
      </c>
      <c r="H650">
        <v>0</v>
      </c>
      <c r="I650">
        <v>1</v>
      </c>
      <c r="J650">
        <v>2</v>
      </c>
      <c r="K650">
        <v>23</v>
      </c>
      <c r="L650">
        <f t="shared" si="51"/>
        <v>1</v>
      </c>
      <c r="M650">
        <f t="shared" si="52"/>
        <v>18</v>
      </c>
      <c r="N650" t="str">
        <f t="shared" si="53"/>
        <v>Adult</v>
      </c>
      <c r="O650">
        <f t="shared" si="54"/>
        <v>23</v>
      </c>
    </row>
    <row r="651" spans="1:15" x14ac:dyDescent="0.3">
      <c r="A651">
        <v>650</v>
      </c>
      <c r="B651">
        <v>0</v>
      </c>
      <c r="C651" t="str">
        <f t="shared" si="50"/>
        <v>No</v>
      </c>
      <c r="D651" t="s">
        <v>956</v>
      </c>
      <c r="E651" t="s">
        <v>1619</v>
      </c>
      <c r="F651" t="str" cm="1">
        <f t="array" ref="F651">IF(OR(COUNTIF(D651,"*"&amp;$T$9:$T$15&amp;"*")),"Female","Male")</f>
        <v>Male</v>
      </c>
      <c r="G651">
        <v>21</v>
      </c>
      <c r="H651">
        <v>0</v>
      </c>
      <c r="I651">
        <v>0</v>
      </c>
      <c r="J651">
        <v>3</v>
      </c>
      <c r="K651">
        <v>8.4332999999999991</v>
      </c>
      <c r="L651">
        <f t="shared" si="51"/>
        <v>0</v>
      </c>
      <c r="M651">
        <f t="shared" si="52"/>
        <v>21</v>
      </c>
      <c r="N651" t="str">
        <f t="shared" si="53"/>
        <v>Adult</v>
      </c>
      <c r="O651">
        <f t="shared" si="54"/>
        <v>8.43</v>
      </c>
    </row>
    <row r="652" spans="1:15" x14ac:dyDescent="0.3">
      <c r="A652">
        <v>651</v>
      </c>
      <c r="B652">
        <v>1</v>
      </c>
      <c r="C652" t="str">
        <f t="shared" si="50"/>
        <v>Yes</v>
      </c>
      <c r="D652" t="s">
        <v>960</v>
      </c>
      <c r="E652" t="s">
        <v>1620</v>
      </c>
      <c r="F652" t="str" cm="1">
        <f t="array" ref="F652">IF(OR(COUNTIF(D652,"*"&amp;$T$9:$T$15&amp;"*")),"Female","Male")</f>
        <v>Female</v>
      </c>
      <c r="G652">
        <v>16</v>
      </c>
      <c r="H652">
        <v>0</v>
      </c>
      <c r="I652">
        <v>0</v>
      </c>
      <c r="J652">
        <v>3</v>
      </c>
      <c r="K652">
        <v>7.8292000000000002</v>
      </c>
      <c r="L652">
        <f t="shared" si="51"/>
        <v>1</v>
      </c>
      <c r="M652">
        <f t="shared" si="52"/>
        <v>16</v>
      </c>
      <c r="N652" t="str">
        <f t="shared" si="53"/>
        <v>Child</v>
      </c>
      <c r="O652">
        <f t="shared" si="54"/>
        <v>7.83</v>
      </c>
    </row>
    <row r="653" spans="1:15" x14ac:dyDescent="0.3">
      <c r="A653">
        <v>652</v>
      </c>
      <c r="B653">
        <v>0</v>
      </c>
      <c r="C653" t="str">
        <f t="shared" si="50"/>
        <v>No</v>
      </c>
      <c r="D653" t="s">
        <v>960</v>
      </c>
      <c r="E653" t="s">
        <v>1621</v>
      </c>
      <c r="F653" t="str" cm="1">
        <f t="array" ref="F653">IF(OR(COUNTIF(D653,"*"&amp;$T$9:$T$15&amp;"*")),"Female","Male")</f>
        <v>Female</v>
      </c>
      <c r="G653">
        <v>18</v>
      </c>
      <c r="H653">
        <v>0</v>
      </c>
      <c r="I653">
        <v>0</v>
      </c>
      <c r="J653">
        <v>3</v>
      </c>
      <c r="K653">
        <v>6.75</v>
      </c>
      <c r="L653">
        <f t="shared" si="51"/>
        <v>1</v>
      </c>
      <c r="M653">
        <f t="shared" si="52"/>
        <v>18</v>
      </c>
      <c r="N653" t="str">
        <f t="shared" si="53"/>
        <v>Adult</v>
      </c>
      <c r="O653">
        <f t="shared" si="54"/>
        <v>6.75</v>
      </c>
    </row>
    <row r="654" spans="1:15" x14ac:dyDescent="0.3">
      <c r="A654">
        <v>653</v>
      </c>
      <c r="B654">
        <v>0</v>
      </c>
      <c r="C654" t="str">
        <f t="shared" si="50"/>
        <v>No</v>
      </c>
      <c r="D654" t="s">
        <v>956</v>
      </c>
      <c r="E654" t="s">
        <v>1622</v>
      </c>
      <c r="F654" t="str" cm="1">
        <f t="array" ref="F654">IF(OR(COUNTIF(D654,"*"&amp;$T$9:$T$15&amp;"*")),"Female","Male")</f>
        <v>Male</v>
      </c>
      <c r="G654">
        <v>24</v>
      </c>
      <c r="H654">
        <v>2</v>
      </c>
      <c r="I654">
        <v>0</v>
      </c>
      <c r="J654">
        <v>2</v>
      </c>
      <c r="K654">
        <v>73.5</v>
      </c>
      <c r="L654">
        <f t="shared" si="51"/>
        <v>0</v>
      </c>
      <c r="M654">
        <f t="shared" si="52"/>
        <v>24</v>
      </c>
      <c r="N654" t="str">
        <f t="shared" si="53"/>
        <v>Adult</v>
      </c>
      <c r="O654">
        <f t="shared" si="54"/>
        <v>73.5</v>
      </c>
    </row>
    <row r="655" spans="1:15" x14ac:dyDescent="0.3">
      <c r="A655">
        <v>654</v>
      </c>
      <c r="B655">
        <v>0</v>
      </c>
      <c r="C655" t="str">
        <f t="shared" si="50"/>
        <v>No</v>
      </c>
      <c r="D655" t="s">
        <v>956</v>
      </c>
      <c r="E655" t="s">
        <v>1623</v>
      </c>
      <c r="F655" t="str" cm="1">
        <f t="array" ref="F655">IF(OR(COUNTIF(D655,"*"&amp;$T$9:$T$15&amp;"*")),"Female","Male")</f>
        <v>Male</v>
      </c>
      <c r="G655">
        <v>27</v>
      </c>
      <c r="H655">
        <v>0</v>
      </c>
      <c r="I655">
        <v>0</v>
      </c>
      <c r="J655">
        <v>3</v>
      </c>
      <c r="K655">
        <v>7.8958000000000004</v>
      </c>
      <c r="L655">
        <f t="shared" si="51"/>
        <v>0</v>
      </c>
      <c r="M655">
        <f t="shared" si="52"/>
        <v>27</v>
      </c>
      <c r="N655" t="str">
        <f t="shared" si="53"/>
        <v>Adult</v>
      </c>
      <c r="O655">
        <f t="shared" si="54"/>
        <v>7.9</v>
      </c>
    </row>
    <row r="656" spans="1:15" x14ac:dyDescent="0.3">
      <c r="A656">
        <v>655</v>
      </c>
      <c r="B656">
        <v>0</v>
      </c>
      <c r="C656" t="str">
        <f t="shared" si="50"/>
        <v>No</v>
      </c>
      <c r="D656" t="s">
        <v>958</v>
      </c>
      <c r="E656" t="s">
        <v>1624</v>
      </c>
      <c r="F656" t="str" cm="1">
        <f t="array" ref="F656">IF(OR(COUNTIF(D656,"*"&amp;$T$9:$T$15&amp;"*")),"Female","Male")</f>
        <v>Female</v>
      </c>
      <c r="G656">
        <v>32</v>
      </c>
      <c r="H656">
        <v>1</v>
      </c>
      <c r="I656">
        <v>1</v>
      </c>
      <c r="J656">
        <v>3</v>
      </c>
      <c r="K656">
        <v>15.5</v>
      </c>
      <c r="L656">
        <f t="shared" si="51"/>
        <v>1</v>
      </c>
      <c r="M656">
        <f t="shared" si="52"/>
        <v>32</v>
      </c>
      <c r="N656" t="str">
        <f t="shared" si="53"/>
        <v>Adult</v>
      </c>
      <c r="O656">
        <f t="shared" si="54"/>
        <v>15.5</v>
      </c>
    </row>
    <row r="657" spans="1:15" x14ac:dyDescent="0.3">
      <c r="A657">
        <v>656</v>
      </c>
      <c r="B657">
        <v>0</v>
      </c>
      <c r="C657" t="str">
        <f t="shared" si="50"/>
        <v>No</v>
      </c>
      <c r="D657" t="s">
        <v>956</v>
      </c>
      <c r="E657" t="s">
        <v>1625</v>
      </c>
      <c r="F657" t="str" cm="1">
        <f t="array" ref="F657">IF(OR(COUNTIF(D657,"*"&amp;$T$9:$T$15&amp;"*")),"Female","Male")</f>
        <v>Male</v>
      </c>
      <c r="G657">
        <v>23</v>
      </c>
      <c r="H657">
        <v>0</v>
      </c>
      <c r="I657">
        <v>0</v>
      </c>
      <c r="J657">
        <v>2</v>
      </c>
      <c r="K657">
        <v>13</v>
      </c>
      <c r="L657">
        <f t="shared" si="51"/>
        <v>0</v>
      </c>
      <c r="M657">
        <f t="shared" si="52"/>
        <v>23</v>
      </c>
      <c r="N657" t="str">
        <f t="shared" si="53"/>
        <v>Adult</v>
      </c>
      <c r="O657">
        <f t="shared" si="54"/>
        <v>13</v>
      </c>
    </row>
    <row r="658" spans="1:15" x14ac:dyDescent="0.3">
      <c r="A658">
        <v>657</v>
      </c>
      <c r="B658">
        <v>0</v>
      </c>
      <c r="C658" t="str">
        <f t="shared" si="50"/>
        <v>No</v>
      </c>
      <c r="D658" t="s">
        <v>956</v>
      </c>
      <c r="E658" t="s">
        <v>1626</v>
      </c>
      <c r="F658" t="str" cm="1">
        <f t="array" ref="F658">IF(OR(COUNTIF(D658,"*"&amp;$T$9:$T$15&amp;"*")),"Female","Male")</f>
        <v>Male</v>
      </c>
      <c r="G658">
        <v>58</v>
      </c>
      <c r="H658">
        <v>0</v>
      </c>
      <c r="I658">
        <v>2</v>
      </c>
      <c r="J658">
        <v>1</v>
      </c>
      <c r="K658">
        <v>113.27500000000001</v>
      </c>
      <c r="L658">
        <f t="shared" si="51"/>
        <v>0</v>
      </c>
      <c r="M658">
        <f t="shared" si="52"/>
        <v>58</v>
      </c>
      <c r="N658" t="str">
        <f t="shared" si="53"/>
        <v>Adult</v>
      </c>
      <c r="O658">
        <f t="shared" si="54"/>
        <v>113.28</v>
      </c>
    </row>
    <row r="659" spans="1:15" x14ac:dyDescent="0.3">
      <c r="A659">
        <v>658</v>
      </c>
      <c r="B659">
        <v>1</v>
      </c>
      <c r="C659" t="str">
        <f t="shared" si="50"/>
        <v>Yes</v>
      </c>
      <c r="D659" t="s">
        <v>1206</v>
      </c>
      <c r="E659" t="s">
        <v>1627</v>
      </c>
      <c r="F659" t="str" cm="1">
        <f t="array" ref="F659">IF(OR(COUNTIF(D659,"*"&amp;$T$9:$T$15&amp;"*")),"Female","Male")</f>
        <v>Male</v>
      </c>
      <c r="G659">
        <v>50</v>
      </c>
      <c r="H659">
        <v>2</v>
      </c>
      <c r="I659">
        <v>0</v>
      </c>
      <c r="J659">
        <v>1</v>
      </c>
      <c r="K659">
        <v>133.65</v>
      </c>
      <c r="L659">
        <f t="shared" si="51"/>
        <v>0</v>
      </c>
      <c r="M659">
        <f t="shared" si="52"/>
        <v>50</v>
      </c>
      <c r="N659" t="str">
        <f t="shared" si="53"/>
        <v>Adult</v>
      </c>
      <c r="O659">
        <f t="shared" si="54"/>
        <v>133.65</v>
      </c>
    </row>
    <row r="660" spans="1:15" x14ac:dyDescent="0.3">
      <c r="A660">
        <v>659</v>
      </c>
      <c r="B660">
        <v>0</v>
      </c>
      <c r="C660" t="str">
        <f t="shared" si="50"/>
        <v>No</v>
      </c>
      <c r="D660" t="s">
        <v>956</v>
      </c>
      <c r="E660" t="s">
        <v>1628</v>
      </c>
      <c r="F660" t="str" cm="1">
        <f t="array" ref="F660">IF(OR(COUNTIF(D660,"*"&amp;$T$9:$T$15&amp;"*")),"Female","Male")</f>
        <v>Male</v>
      </c>
      <c r="G660">
        <v>40</v>
      </c>
      <c r="H660">
        <v>0</v>
      </c>
      <c r="I660">
        <v>0</v>
      </c>
      <c r="J660">
        <v>3</v>
      </c>
      <c r="K660">
        <v>7.2249999999999996</v>
      </c>
      <c r="L660">
        <f t="shared" si="51"/>
        <v>0</v>
      </c>
      <c r="M660">
        <f t="shared" si="52"/>
        <v>40</v>
      </c>
      <c r="N660" t="str">
        <f t="shared" si="53"/>
        <v>Adult</v>
      </c>
      <c r="O660">
        <f t="shared" si="54"/>
        <v>7.23</v>
      </c>
    </row>
    <row r="661" spans="1:15" x14ac:dyDescent="0.3">
      <c r="A661">
        <v>660</v>
      </c>
      <c r="B661">
        <v>0</v>
      </c>
      <c r="C661" t="str">
        <f t="shared" si="50"/>
        <v>No</v>
      </c>
      <c r="D661" t="s">
        <v>956</v>
      </c>
      <c r="E661" t="s">
        <v>1629</v>
      </c>
      <c r="F661" t="str" cm="1">
        <f t="array" ref="F661">IF(OR(COUNTIF(D661,"*"&amp;$T$9:$T$15&amp;"*")),"Female","Male")</f>
        <v>Male</v>
      </c>
      <c r="G661">
        <v>47</v>
      </c>
      <c r="H661">
        <v>0</v>
      </c>
      <c r="I661">
        <v>0</v>
      </c>
      <c r="J661">
        <v>1</v>
      </c>
      <c r="K661">
        <v>25.587499999999999</v>
      </c>
      <c r="L661">
        <f t="shared" si="51"/>
        <v>0</v>
      </c>
      <c r="M661">
        <f t="shared" si="52"/>
        <v>47</v>
      </c>
      <c r="N661" t="str">
        <f t="shared" si="53"/>
        <v>Adult</v>
      </c>
      <c r="O661">
        <f t="shared" si="54"/>
        <v>25.59</v>
      </c>
    </row>
    <row r="662" spans="1:15" x14ac:dyDescent="0.3">
      <c r="A662">
        <v>661</v>
      </c>
      <c r="B662">
        <v>0</v>
      </c>
      <c r="C662" t="str">
        <f t="shared" si="50"/>
        <v>No</v>
      </c>
      <c r="D662" t="s">
        <v>956</v>
      </c>
      <c r="E662" t="s">
        <v>1630</v>
      </c>
      <c r="F662" t="str" cm="1">
        <f t="array" ref="F662">IF(OR(COUNTIF(D662,"*"&amp;$T$9:$T$15&amp;"*")),"Female","Male")</f>
        <v>Male</v>
      </c>
      <c r="G662">
        <v>36</v>
      </c>
      <c r="H662">
        <v>0</v>
      </c>
      <c r="I662">
        <v>0</v>
      </c>
      <c r="J662">
        <v>3</v>
      </c>
      <c r="K662">
        <v>7.4958</v>
      </c>
      <c r="L662">
        <f t="shared" si="51"/>
        <v>0</v>
      </c>
      <c r="M662">
        <f t="shared" si="52"/>
        <v>36</v>
      </c>
      <c r="N662" t="str">
        <f t="shared" si="53"/>
        <v>Adult</v>
      </c>
      <c r="O662">
        <f t="shared" si="54"/>
        <v>7.5</v>
      </c>
    </row>
    <row r="663" spans="1:15" x14ac:dyDescent="0.3">
      <c r="A663">
        <v>662</v>
      </c>
      <c r="B663">
        <v>1</v>
      </c>
      <c r="C663" t="str">
        <f t="shared" si="50"/>
        <v>Yes</v>
      </c>
      <c r="D663" t="s">
        <v>956</v>
      </c>
      <c r="E663" t="s">
        <v>1631</v>
      </c>
      <c r="F663" t="str" cm="1">
        <f t="array" ref="F663">IF(OR(COUNTIF(D663,"*"&amp;$T$9:$T$15&amp;"*")),"Female","Male")</f>
        <v>Male</v>
      </c>
      <c r="G663">
        <v>20</v>
      </c>
      <c r="H663">
        <v>1</v>
      </c>
      <c r="I663">
        <v>0</v>
      </c>
      <c r="J663">
        <v>3</v>
      </c>
      <c r="K663">
        <v>7.9249999999999998</v>
      </c>
      <c r="L663">
        <f t="shared" si="51"/>
        <v>0</v>
      </c>
      <c r="M663">
        <f t="shared" si="52"/>
        <v>20</v>
      </c>
      <c r="N663" t="str">
        <f t="shared" si="53"/>
        <v>Adult</v>
      </c>
      <c r="O663">
        <f t="shared" si="54"/>
        <v>7.93</v>
      </c>
    </row>
    <row r="664" spans="1:15" x14ac:dyDescent="0.3">
      <c r="A664">
        <v>663</v>
      </c>
      <c r="B664">
        <v>0</v>
      </c>
      <c r="C664" t="str">
        <f t="shared" si="50"/>
        <v>No</v>
      </c>
      <c r="D664" t="s">
        <v>956</v>
      </c>
      <c r="E664" t="s">
        <v>1632</v>
      </c>
      <c r="F664" t="str" cm="1">
        <f t="array" ref="F664">IF(OR(COUNTIF(D664,"*"&amp;$T$9:$T$15&amp;"*")),"Female","Male")</f>
        <v>Male</v>
      </c>
      <c r="G664">
        <v>32</v>
      </c>
      <c r="H664">
        <v>2</v>
      </c>
      <c r="I664">
        <v>0</v>
      </c>
      <c r="J664">
        <v>2</v>
      </c>
      <c r="K664">
        <v>73.5</v>
      </c>
      <c r="L664">
        <f t="shared" si="51"/>
        <v>0</v>
      </c>
      <c r="M664">
        <f t="shared" si="52"/>
        <v>32</v>
      </c>
      <c r="N664" t="str">
        <f t="shared" si="53"/>
        <v>Adult</v>
      </c>
      <c r="O664">
        <f t="shared" si="54"/>
        <v>73.5</v>
      </c>
    </row>
    <row r="665" spans="1:15" x14ac:dyDescent="0.3">
      <c r="A665">
        <v>664</v>
      </c>
      <c r="B665">
        <v>0</v>
      </c>
      <c r="C665" t="str">
        <f t="shared" si="50"/>
        <v>No</v>
      </c>
      <c r="D665" t="s">
        <v>956</v>
      </c>
      <c r="E665" t="s">
        <v>1633</v>
      </c>
      <c r="F665" t="str" cm="1">
        <f t="array" ref="F665">IF(OR(COUNTIF(D665,"*"&amp;$T$9:$T$15&amp;"*")),"Female","Male")</f>
        <v>Male</v>
      </c>
      <c r="G665">
        <v>25</v>
      </c>
      <c r="H665">
        <v>0</v>
      </c>
      <c r="I665">
        <v>0</v>
      </c>
      <c r="J665">
        <v>2</v>
      </c>
      <c r="K665">
        <v>13</v>
      </c>
      <c r="L665">
        <f t="shared" si="51"/>
        <v>0</v>
      </c>
      <c r="M665">
        <f t="shared" si="52"/>
        <v>25</v>
      </c>
      <c r="N665" t="str">
        <f t="shared" si="53"/>
        <v>Adult</v>
      </c>
      <c r="O665">
        <f t="shared" si="54"/>
        <v>13</v>
      </c>
    </row>
    <row r="666" spans="1:15" x14ac:dyDescent="0.3">
      <c r="A666">
        <v>665</v>
      </c>
      <c r="B666">
        <v>0</v>
      </c>
      <c r="C666" t="str">
        <f t="shared" si="50"/>
        <v>No</v>
      </c>
      <c r="D666" t="s">
        <v>956</v>
      </c>
      <c r="E666" t="s">
        <v>1634</v>
      </c>
      <c r="F666" t="str" cm="1">
        <f t="array" ref="F666">IF(OR(COUNTIF(D666,"*"&amp;$T$9:$T$15&amp;"*")),"Female","Male")</f>
        <v>Male</v>
      </c>
      <c r="G666">
        <v>49</v>
      </c>
      <c r="H666">
        <v>0</v>
      </c>
      <c r="I666">
        <v>0</v>
      </c>
      <c r="J666">
        <v>3</v>
      </c>
      <c r="K666">
        <v>7.7750000000000004</v>
      </c>
      <c r="L666">
        <f t="shared" si="51"/>
        <v>0</v>
      </c>
      <c r="M666">
        <f t="shared" si="52"/>
        <v>49</v>
      </c>
      <c r="N666" t="str">
        <f t="shared" si="53"/>
        <v>Adult</v>
      </c>
      <c r="O666">
        <f t="shared" si="54"/>
        <v>7.78</v>
      </c>
    </row>
    <row r="667" spans="1:15" x14ac:dyDescent="0.3">
      <c r="A667">
        <v>666</v>
      </c>
      <c r="B667">
        <v>0</v>
      </c>
      <c r="C667" t="str">
        <f t="shared" si="50"/>
        <v>No</v>
      </c>
      <c r="D667" t="s">
        <v>956</v>
      </c>
      <c r="E667" t="s">
        <v>1635</v>
      </c>
      <c r="F667" t="str" cm="1">
        <f t="array" ref="F667">IF(OR(COUNTIF(D667,"*"&amp;$T$9:$T$15&amp;"*")),"Female","Male")</f>
        <v>Male</v>
      </c>
      <c r="G667">
        <v>43</v>
      </c>
      <c r="H667">
        <v>0</v>
      </c>
      <c r="I667">
        <v>0</v>
      </c>
      <c r="J667">
        <v>3</v>
      </c>
      <c r="K667">
        <v>8.0500000000000007</v>
      </c>
      <c r="L667">
        <f t="shared" si="51"/>
        <v>0</v>
      </c>
      <c r="M667">
        <f t="shared" si="52"/>
        <v>43</v>
      </c>
      <c r="N667" t="str">
        <f t="shared" si="53"/>
        <v>Adult</v>
      </c>
      <c r="O667">
        <f t="shared" si="54"/>
        <v>8.0500000000000007</v>
      </c>
    </row>
    <row r="668" spans="1:15" x14ac:dyDescent="0.3">
      <c r="A668">
        <v>667</v>
      </c>
      <c r="B668">
        <v>1</v>
      </c>
      <c r="C668" t="str">
        <f t="shared" si="50"/>
        <v>Yes</v>
      </c>
      <c r="D668" t="s">
        <v>958</v>
      </c>
      <c r="E668" t="s">
        <v>1636</v>
      </c>
      <c r="F668" t="str" cm="1">
        <f t="array" ref="F668">IF(OR(COUNTIF(D668,"*"&amp;$T$9:$T$15&amp;"*")),"Female","Male")</f>
        <v>Female</v>
      </c>
      <c r="G668">
        <v>48</v>
      </c>
      <c r="H668">
        <v>1</v>
      </c>
      <c r="I668">
        <v>0</v>
      </c>
      <c r="J668">
        <v>1</v>
      </c>
      <c r="K668">
        <v>52</v>
      </c>
      <c r="L668">
        <f t="shared" si="51"/>
        <v>1</v>
      </c>
      <c r="M668">
        <f t="shared" si="52"/>
        <v>48</v>
      </c>
      <c r="N668" t="str">
        <f t="shared" si="53"/>
        <v>Adult</v>
      </c>
      <c r="O668">
        <f t="shared" si="54"/>
        <v>52</v>
      </c>
    </row>
    <row r="669" spans="1:15" x14ac:dyDescent="0.3">
      <c r="A669">
        <v>668</v>
      </c>
      <c r="B669">
        <v>1</v>
      </c>
      <c r="C669" t="str">
        <f t="shared" si="50"/>
        <v>Yes</v>
      </c>
      <c r="D669" t="s">
        <v>958</v>
      </c>
      <c r="E669" t="s">
        <v>1637</v>
      </c>
      <c r="F669" t="str" cm="1">
        <f t="array" ref="F669">IF(OR(COUNTIF(D669,"*"&amp;$T$9:$T$15&amp;"*")),"Female","Male")</f>
        <v>Female</v>
      </c>
      <c r="G669">
        <v>40</v>
      </c>
      <c r="H669">
        <v>1</v>
      </c>
      <c r="I669">
        <v>1</v>
      </c>
      <c r="J669">
        <v>2</v>
      </c>
      <c r="K669">
        <v>39</v>
      </c>
      <c r="L669">
        <f t="shared" si="51"/>
        <v>1</v>
      </c>
      <c r="M669">
        <f t="shared" si="52"/>
        <v>40</v>
      </c>
      <c r="N669" t="str">
        <f t="shared" si="53"/>
        <v>Adult</v>
      </c>
      <c r="O669">
        <f t="shared" si="54"/>
        <v>39</v>
      </c>
    </row>
    <row r="670" spans="1:15" x14ac:dyDescent="0.3">
      <c r="A670">
        <v>669</v>
      </c>
      <c r="B670">
        <v>0</v>
      </c>
      <c r="C670" t="str">
        <f t="shared" si="50"/>
        <v>No</v>
      </c>
      <c r="D670" t="s">
        <v>956</v>
      </c>
      <c r="E670" t="s">
        <v>1638</v>
      </c>
      <c r="F670" t="str" cm="1">
        <f t="array" ref="F670">IF(OR(COUNTIF(D670,"*"&amp;$T$9:$T$15&amp;"*")),"Female","Male")</f>
        <v>Male</v>
      </c>
      <c r="G670">
        <v>31</v>
      </c>
      <c r="H670">
        <v>1</v>
      </c>
      <c r="I670">
        <v>0</v>
      </c>
      <c r="J670">
        <v>1</v>
      </c>
      <c r="K670">
        <v>52</v>
      </c>
      <c r="L670">
        <f t="shared" si="51"/>
        <v>0</v>
      </c>
      <c r="M670">
        <f t="shared" si="52"/>
        <v>31</v>
      </c>
      <c r="N670" t="str">
        <f t="shared" si="53"/>
        <v>Adult</v>
      </c>
      <c r="O670">
        <f t="shared" si="54"/>
        <v>52</v>
      </c>
    </row>
    <row r="671" spans="1:15" x14ac:dyDescent="0.3">
      <c r="A671">
        <v>670</v>
      </c>
      <c r="B671">
        <v>0</v>
      </c>
      <c r="C671" t="str">
        <f t="shared" si="50"/>
        <v>No</v>
      </c>
      <c r="D671" t="s">
        <v>956</v>
      </c>
      <c r="E671" t="s">
        <v>1639</v>
      </c>
      <c r="F671" t="str" cm="1">
        <f t="array" ref="F671">IF(OR(COUNTIF(D671,"*"&amp;$T$9:$T$15&amp;"*")),"Female","Male")</f>
        <v>Male</v>
      </c>
      <c r="G671">
        <v>70</v>
      </c>
      <c r="H671">
        <v>0</v>
      </c>
      <c r="I671">
        <v>0</v>
      </c>
      <c r="J671">
        <v>2</v>
      </c>
      <c r="K671">
        <v>10.5</v>
      </c>
      <c r="L671">
        <f t="shared" si="51"/>
        <v>0</v>
      </c>
      <c r="M671">
        <f t="shared" si="52"/>
        <v>70</v>
      </c>
      <c r="N671" t="str">
        <f t="shared" si="53"/>
        <v>Adult</v>
      </c>
      <c r="O671">
        <f t="shared" si="54"/>
        <v>10.5</v>
      </c>
    </row>
    <row r="672" spans="1:15" x14ac:dyDescent="0.3">
      <c r="A672">
        <v>671</v>
      </c>
      <c r="B672">
        <v>1</v>
      </c>
      <c r="C672" t="str">
        <f t="shared" si="50"/>
        <v>Yes</v>
      </c>
      <c r="D672" t="s">
        <v>956</v>
      </c>
      <c r="E672" t="s">
        <v>1640</v>
      </c>
      <c r="F672" t="str" cm="1">
        <f t="array" ref="F672">IF(OR(COUNTIF(D672,"*"&amp;$T$9:$T$15&amp;"*")),"Female","Male")</f>
        <v>Male</v>
      </c>
      <c r="G672">
        <v>31</v>
      </c>
      <c r="H672">
        <v>0</v>
      </c>
      <c r="I672">
        <v>0</v>
      </c>
      <c r="J672">
        <v>2</v>
      </c>
      <c r="K672">
        <v>13</v>
      </c>
      <c r="L672">
        <f t="shared" si="51"/>
        <v>0</v>
      </c>
      <c r="M672">
        <f t="shared" si="52"/>
        <v>31</v>
      </c>
      <c r="N672" t="str">
        <f t="shared" si="53"/>
        <v>Adult</v>
      </c>
      <c r="O672">
        <f t="shared" si="54"/>
        <v>13</v>
      </c>
    </row>
    <row r="673" spans="1:15" x14ac:dyDescent="0.3">
      <c r="A673">
        <v>672</v>
      </c>
      <c r="B673">
        <v>0</v>
      </c>
      <c r="C673" t="str">
        <f t="shared" si="50"/>
        <v>No</v>
      </c>
      <c r="D673" t="s">
        <v>956</v>
      </c>
      <c r="E673" t="s">
        <v>1641</v>
      </c>
      <c r="F673" t="str" cm="1">
        <f t="array" ref="F673">IF(OR(COUNTIF(D673,"*"&amp;$T$9:$T$15&amp;"*")),"Female","Male")</f>
        <v>Male</v>
      </c>
      <c r="G673">
        <v>19</v>
      </c>
      <c r="H673">
        <v>0</v>
      </c>
      <c r="I673">
        <v>0</v>
      </c>
      <c r="J673">
        <v>2</v>
      </c>
      <c r="K673">
        <v>0</v>
      </c>
      <c r="L673">
        <f t="shared" si="51"/>
        <v>0</v>
      </c>
      <c r="M673">
        <f t="shared" si="52"/>
        <v>19</v>
      </c>
      <c r="N673" t="str">
        <f t="shared" si="53"/>
        <v>Adult</v>
      </c>
      <c r="O673">
        <f t="shared" si="54"/>
        <v>0</v>
      </c>
    </row>
    <row r="674" spans="1:15" x14ac:dyDescent="0.3">
      <c r="A674">
        <v>673</v>
      </c>
      <c r="B674">
        <v>0</v>
      </c>
      <c r="C674" t="str">
        <f t="shared" si="50"/>
        <v>No</v>
      </c>
      <c r="D674" t="s">
        <v>956</v>
      </c>
      <c r="E674" t="s">
        <v>1642</v>
      </c>
      <c r="F674" t="str" cm="1">
        <f t="array" ref="F674">IF(OR(COUNTIF(D674,"*"&amp;$T$9:$T$15&amp;"*")),"Female","Male")</f>
        <v>Male</v>
      </c>
      <c r="G674">
        <v>18</v>
      </c>
      <c r="H674">
        <v>0</v>
      </c>
      <c r="I674">
        <v>0</v>
      </c>
      <c r="J674">
        <v>3</v>
      </c>
      <c r="K674">
        <v>7.7750000000000004</v>
      </c>
      <c r="L674">
        <f t="shared" si="51"/>
        <v>0</v>
      </c>
      <c r="M674">
        <f t="shared" si="52"/>
        <v>18</v>
      </c>
      <c r="N674" t="str">
        <f t="shared" si="53"/>
        <v>Adult</v>
      </c>
      <c r="O674">
        <f t="shared" si="54"/>
        <v>7.78</v>
      </c>
    </row>
    <row r="675" spans="1:15" x14ac:dyDescent="0.3">
      <c r="A675">
        <v>674</v>
      </c>
      <c r="B675">
        <v>0</v>
      </c>
      <c r="C675" t="str">
        <f t="shared" si="50"/>
        <v>No</v>
      </c>
      <c r="D675" t="s">
        <v>956</v>
      </c>
      <c r="E675" t="s">
        <v>1643</v>
      </c>
      <c r="F675" t="str" cm="1">
        <f t="array" ref="F675">IF(OR(COUNTIF(D675,"*"&amp;$T$9:$T$15&amp;"*")),"Female","Male")</f>
        <v>Male</v>
      </c>
      <c r="G675">
        <v>24.5</v>
      </c>
      <c r="H675">
        <v>0</v>
      </c>
      <c r="I675">
        <v>0</v>
      </c>
      <c r="J675">
        <v>3</v>
      </c>
      <c r="K675">
        <v>8.0500000000000007</v>
      </c>
      <c r="L675">
        <f t="shared" si="51"/>
        <v>0</v>
      </c>
      <c r="M675">
        <f t="shared" si="52"/>
        <v>25</v>
      </c>
      <c r="N675" t="str">
        <f t="shared" si="53"/>
        <v>Adult</v>
      </c>
      <c r="O675">
        <f t="shared" si="54"/>
        <v>8.0500000000000007</v>
      </c>
    </row>
    <row r="676" spans="1:15" x14ac:dyDescent="0.3">
      <c r="A676">
        <v>675</v>
      </c>
      <c r="B676">
        <v>1</v>
      </c>
      <c r="C676" t="str">
        <f t="shared" si="50"/>
        <v>Yes</v>
      </c>
      <c r="D676" t="s">
        <v>960</v>
      </c>
      <c r="E676" t="s">
        <v>1644</v>
      </c>
      <c r="F676" t="str" cm="1">
        <f t="array" ref="F676">IF(OR(COUNTIF(D676,"*"&amp;$T$9:$T$15&amp;"*")),"Female","Male")</f>
        <v>Female</v>
      </c>
      <c r="G676">
        <v>18</v>
      </c>
      <c r="H676">
        <v>0</v>
      </c>
      <c r="I676">
        <v>0</v>
      </c>
      <c r="J676">
        <v>3</v>
      </c>
      <c r="K676">
        <v>9.8416999999999994</v>
      </c>
      <c r="L676">
        <f t="shared" si="51"/>
        <v>1</v>
      </c>
      <c r="M676">
        <f t="shared" si="52"/>
        <v>18</v>
      </c>
      <c r="N676" t="str">
        <f t="shared" si="53"/>
        <v>Adult</v>
      </c>
      <c r="O676">
        <f t="shared" si="54"/>
        <v>9.84</v>
      </c>
    </row>
    <row r="677" spans="1:15" x14ac:dyDescent="0.3">
      <c r="A677">
        <v>676</v>
      </c>
      <c r="B677">
        <v>0</v>
      </c>
      <c r="C677" t="str">
        <f t="shared" si="50"/>
        <v>No</v>
      </c>
      <c r="D677" t="s">
        <v>958</v>
      </c>
      <c r="E677" t="s">
        <v>1645</v>
      </c>
      <c r="F677" t="str" cm="1">
        <f t="array" ref="F677">IF(OR(COUNTIF(D677,"*"&amp;$T$9:$T$15&amp;"*")),"Female","Male")</f>
        <v>Female</v>
      </c>
      <c r="G677">
        <v>43</v>
      </c>
      <c r="H677">
        <v>1</v>
      </c>
      <c r="I677">
        <v>6</v>
      </c>
      <c r="J677">
        <v>3</v>
      </c>
      <c r="K677">
        <v>46.9</v>
      </c>
      <c r="L677">
        <f t="shared" si="51"/>
        <v>1</v>
      </c>
      <c r="M677">
        <f t="shared" si="52"/>
        <v>43</v>
      </c>
      <c r="N677" t="str">
        <f t="shared" si="53"/>
        <v>Adult</v>
      </c>
      <c r="O677">
        <f t="shared" si="54"/>
        <v>46.9</v>
      </c>
    </row>
    <row r="678" spans="1:15" x14ac:dyDescent="0.3">
      <c r="A678">
        <v>677</v>
      </c>
      <c r="B678">
        <v>1</v>
      </c>
      <c r="C678" t="str">
        <f t="shared" si="50"/>
        <v>Yes</v>
      </c>
      <c r="D678" t="s">
        <v>956</v>
      </c>
      <c r="E678" t="s">
        <v>1646</v>
      </c>
      <c r="F678" t="str" cm="1">
        <f t="array" ref="F678">IF(OR(COUNTIF(D678,"*"&amp;$T$9:$T$15&amp;"*")),"Female","Male")</f>
        <v>Male</v>
      </c>
      <c r="G678">
        <v>36</v>
      </c>
      <c r="H678">
        <v>0</v>
      </c>
      <c r="I678">
        <v>1</v>
      </c>
      <c r="J678">
        <v>1</v>
      </c>
      <c r="K678">
        <v>512.32920000000001</v>
      </c>
      <c r="L678">
        <f t="shared" si="51"/>
        <v>0</v>
      </c>
      <c r="M678">
        <f t="shared" si="52"/>
        <v>36</v>
      </c>
      <c r="N678" t="str">
        <f t="shared" si="53"/>
        <v>Adult</v>
      </c>
      <c r="O678">
        <f t="shared" si="54"/>
        <v>512.33000000000004</v>
      </c>
    </row>
    <row r="679" spans="1:15" x14ac:dyDescent="0.3">
      <c r="A679">
        <v>678</v>
      </c>
      <c r="B679">
        <v>0</v>
      </c>
      <c r="C679" t="str">
        <f t="shared" si="50"/>
        <v>No</v>
      </c>
      <c r="D679" t="s">
        <v>960</v>
      </c>
      <c r="E679" t="s">
        <v>1647</v>
      </c>
      <c r="F679" t="str" cm="1">
        <f t="array" ref="F679">IF(OR(COUNTIF(D679,"*"&amp;$T$9:$T$15&amp;"*")),"Female","Male")</f>
        <v>Female</v>
      </c>
      <c r="G679">
        <v>28</v>
      </c>
      <c r="H679">
        <v>0</v>
      </c>
      <c r="I679">
        <v>0</v>
      </c>
      <c r="J679">
        <v>3</v>
      </c>
      <c r="K679">
        <v>8.1374999999999993</v>
      </c>
      <c r="L679">
        <f t="shared" si="51"/>
        <v>1</v>
      </c>
      <c r="M679">
        <f t="shared" si="52"/>
        <v>28</v>
      </c>
      <c r="N679" t="str">
        <f t="shared" si="53"/>
        <v>Adult</v>
      </c>
      <c r="O679">
        <f t="shared" si="54"/>
        <v>8.14</v>
      </c>
    </row>
    <row r="680" spans="1:15" x14ac:dyDescent="0.3">
      <c r="A680">
        <v>679</v>
      </c>
      <c r="B680">
        <v>1</v>
      </c>
      <c r="C680" t="str">
        <f t="shared" si="50"/>
        <v>Yes</v>
      </c>
      <c r="D680" t="s">
        <v>956</v>
      </c>
      <c r="E680" t="s">
        <v>1648</v>
      </c>
      <c r="F680" t="str" cm="1">
        <f t="array" ref="F680">IF(OR(COUNTIF(D680,"*"&amp;$T$9:$T$15&amp;"*")),"Female","Male")</f>
        <v>Male</v>
      </c>
      <c r="G680">
        <v>27</v>
      </c>
      <c r="H680">
        <v>0</v>
      </c>
      <c r="I680">
        <v>0</v>
      </c>
      <c r="J680">
        <v>1</v>
      </c>
      <c r="K680">
        <v>76.729200000000006</v>
      </c>
      <c r="L680">
        <f t="shared" si="51"/>
        <v>0</v>
      </c>
      <c r="M680">
        <f t="shared" si="52"/>
        <v>27</v>
      </c>
      <c r="N680" t="str">
        <f t="shared" si="53"/>
        <v>Adult</v>
      </c>
      <c r="O680">
        <f t="shared" si="54"/>
        <v>76.73</v>
      </c>
    </row>
    <row r="681" spans="1:15" x14ac:dyDescent="0.3">
      <c r="A681">
        <v>680</v>
      </c>
      <c r="B681">
        <v>0</v>
      </c>
      <c r="C681" t="str">
        <f t="shared" si="50"/>
        <v>No</v>
      </c>
      <c r="D681" t="s">
        <v>956</v>
      </c>
      <c r="E681" t="s">
        <v>1649</v>
      </c>
      <c r="F681" t="str" cm="1">
        <f t="array" ref="F681">IF(OR(COUNTIF(D681,"*"&amp;$T$9:$T$15&amp;"*")),"Female","Male")</f>
        <v>Male</v>
      </c>
      <c r="G681">
        <v>20</v>
      </c>
      <c r="H681">
        <v>0</v>
      </c>
      <c r="I681">
        <v>0</v>
      </c>
      <c r="J681">
        <v>3</v>
      </c>
      <c r="K681">
        <v>9.2249999999999996</v>
      </c>
      <c r="L681">
        <f t="shared" si="51"/>
        <v>0</v>
      </c>
      <c r="M681">
        <f t="shared" si="52"/>
        <v>20</v>
      </c>
      <c r="N681" t="str">
        <f t="shared" si="53"/>
        <v>Adult</v>
      </c>
      <c r="O681">
        <f t="shared" si="54"/>
        <v>9.23</v>
      </c>
    </row>
    <row r="682" spans="1:15" x14ac:dyDescent="0.3">
      <c r="A682">
        <v>681</v>
      </c>
      <c r="B682">
        <v>0</v>
      </c>
      <c r="C682" t="str">
        <f t="shared" si="50"/>
        <v>No</v>
      </c>
      <c r="D682" t="s">
        <v>956</v>
      </c>
      <c r="E682" t="s">
        <v>1650</v>
      </c>
      <c r="F682" t="str" cm="1">
        <f t="array" ref="F682">IF(OR(COUNTIF(D682,"*"&amp;$T$9:$T$15&amp;"*")),"Female","Male")</f>
        <v>Male</v>
      </c>
      <c r="G682">
        <v>14</v>
      </c>
      <c r="H682">
        <v>5</v>
      </c>
      <c r="I682">
        <v>2</v>
      </c>
      <c r="J682">
        <v>3</v>
      </c>
      <c r="K682">
        <v>46.9</v>
      </c>
      <c r="L682">
        <f t="shared" si="51"/>
        <v>0</v>
      </c>
      <c r="M682">
        <f t="shared" si="52"/>
        <v>14</v>
      </c>
      <c r="N682" t="str">
        <f t="shared" si="53"/>
        <v>Child</v>
      </c>
      <c r="O682">
        <f t="shared" si="54"/>
        <v>46.9</v>
      </c>
    </row>
    <row r="683" spans="1:15" x14ac:dyDescent="0.3">
      <c r="A683">
        <v>682</v>
      </c>
      <c r="B683">
        <v>0</v>
      </c>
      <c r="C683" t="str">
        <f t="shared" si="50"/>
        <v>No</v>
      </c>
      <c r="D683" t="s">
        <v>956</v>
      </c>
      <c r="E683" t="s">
        <v>1651</v>
      </c>
      <c r="F683" t="str" cm="1">
        <f t="array" ref="F683">IF(OR(COUNTIF(D683,"*"&amp;$T$9:$T$15&amp;"*")),"Female","Male")</f>
        <v>Male</v>
      </c>
      <c r="G683">
        <v>60</v>
      </c>
      <c r="H683">
        <v>1</v>
      </c>
      <c r="I683">
        <v>1</v>
      </c>
      <c r="J683">
        <v>2</v>
      </c>
      <c r="K683">
        <v>39</v>
      </c>
      <c r="L683">
        <f t="shared" si="51"/>
        <v>0</v>
      </c>
      <c r="M683">
        <f t="shared" si="52"/>
        <v>60</v>
      </c>
      <c r="N683" t="str">
        <f t="shared" si="53"/>
        <v>Adult</v>
      </c>
      <c r="O683">
        <f t="shared" si="54"/>
        <v>39</v>
      </c>
    </row>
    <row r="684" spans="1:15" x14ac:dyDescent="0.3">
      <c r="A684">
        <v>683</v>
      </c>
      <c r="B684">
        <v>0</v>
      </c>
      <c r="C684" t="str">
        <f t="shared" si="50"/>
        <v>No</v>
      </c>
      <c r="D684" t="s">
        <v>956</v>
      </c>
      <c r="E684" t="s">
        <v>1652</v>
      </c>
      <c r="F684" t="str" cm="1">
        <f t="array" ref="F684">IF(OR(COUNTIF(D684,"*"&amp;$T$9:$T$15&amp;"*")),"Female","Male")</f>
        <v>Male</v>
      </c>
      <c r="G684">
        <v>25</v>
      </c>
      <c r="H684">
        <v>1</v>
      </c>
      <c r="I684">
        <v>2</v>
      </c>
      <c r="J684">
        <v>2</v>
      </c>
      <c r="K684">
        <v>41.5792</v>
      </c>
      <c r="L684">
        <f t="shared" si="51"/>
        <v>0</v>
      </c>
      <c r="M684">
        <f t="shared" si="52"/>
        <v>25</v>
      </c>
      <c r="N684" t="str">
        <f t="shared" si="53"/>
        <v>Adult</v>
      </c>
      <c r="O684">
        <f t="shared" si="54"/>
        <v>41.58</v>
      </c>
    </row>
    <row r="685" spans="1:15" x14ac:dyDescent="0.3">
      <c r="A685">
        <v>684</v>
      </c>
      <c r="B685">
        <v>0</v>
      </c>
      <c r="C685" t="str">
        <f t="shared" si="50"/>
        <v>No</v>
      </c>
      <c r="D685" t="s">
        <v>956</v>
      </c>
      <c r="E685" t="s">
        <v>1653</v>
      </c>
      <c r="F685" t="str" cm="1">
        <f t="array" ref="F685">IF(OR(COUNTIF(D685,"*"&amp;$T$9:$T$15&amp;"*")),"Female","Male")</f>
        <v>Male</v>
      </c>
      <c r="G685">
        <v>14</v>
      </c>
      <c r="H685">
        <v>4</v>
      </c>
      <c r="I685">
        <v>1</v>
      </c>
      <c r="J685">
        <v>3</v>
      </c>
      <c r="K685">
        <v>39.6875</v>
      </c>
      <c r="L685">
        <f t="shared" si="51"/>
        <v>0</v>
      </c>
      <c r="M685">
        <f t="shared" si="52"/>
        <v>14</v>
      </c>
      <c r="N685" t="str">
        <f t="shared" si="53"/>
        <v>Child</v>
      </c>
      <c r="O685">
        <f t="shared" si="54"/>
        <v>39.69</v>
      </c>
    </row>
    <row r="686" spans="1:15" x14ac:dyDescent="0.3">
      <c r="A686">
        <v>685</v>
      </c>
      <c r="B686">
        <v>0</v>
      </c>
      <c r="C686" t="str">
        <f t="shared" si="50"/>
        <v>No</v>
      </c>
      <c r="D686" t="s">
        <v>956</v>
      </c>
      <c r="E686" t="s">
        <v>1654</v>
      </c>
      <c r="F686" t="str" cm="1">
        <f t="array" ref="F686">IF(OR(COUNTIF(D686,"*"&amp;$T$9:$T$15&amp;"*")),"Female","Male")</f>
        <v>Male</v>
      </c>
      <c r="G686">
        <v>19</v>
      </c>
      <c r="H686">
        <v>0</v>
      </c>
      <c r="I686">
        <v>0</v>
      </c>
      <c r="J686">
        <v>3</v>
      </c>
      <c r="K686">
        <v>10.1708</v>
      </c>
      <c r="L686">
        <f t="shared" si="51"/>
        <v>0</v>
      </c>
      <c r="M686">
        <f t="shared" si="52"/>
        <v>19</v>
      </c>
      <c r="N686" t="str">
        <f t="shared" si="53"/>
        <v>Adult</v>
      </c>
      <c r="O686">
        <f t="shared" si="54"/>
        <v>10.17</v>
      </c>
    </row>
    <row r="687" spans="1:15" x14ac:dyDescent="0.3">
      <c r="A687">
        <v>686</v>
      </c>
      <c r="B687">
        <v>0</v>
      </c>
      <c r="C687" t="str">
        <f t="shared" si="50"/>
        <v>No</v>
      </c>
      <c r="D687" t="s">
        <v>956</v>
      </c>
      <c r="E687" t="s">
        <v>1655</v>
      </c>
      <c r="F687" t="str" cm="1">
        <f t="array" ref="F687">IF(OR(COUNTIF(D687,"*"&amp;$T$9:$T$15&amp;"*")),"Female","Male")</f>
        <v>Male</v>
      </c>
      <c r="G687">
        <v>18</v>
      </c>
      <c r="H687">
        <v>0</v>
      </c>
      <c r="I687">
        <v>0</v>
      </c>
      <c r="J687">
        <v>3</v>
      </c>
      <c r="K687">
        <v>7.7957999999999998</v>
      </c>
      <c r="L687">
        <f t="shared" si="51"/>
        <v>0</v>
      </c>
      <c r="M687">
        <f t="shared" si="52"/>
        <v>18</v>
      </c>
      <c r="N687" t="str">
        <f t="shared" si="53"/>
        <v>Adult</v>
      </c>
      <c r="O687">
        <f t="shared" si="54"/>
        <v>7.8</v>
      </c>
    </row>
    <row r="688" spans="1:15" x14ac:dyDescent="0.3">
      <c r="A688">
        <v>687</v>
      </c>
      <c r="B688">
        <v>1</v>
      </c>
      <c r="C688" t="str">
        <f t="shared" si="50"/>
        <v>Yes</v>
      </c>
      <c r="D688" t="s">
        <v>960</v>
      </c>
      <c r="E688" t="s">
        <v>1656</v>
      </c>
      <c r="F688" t="str" cm="1">
        <f t="array" ref="F688">IF(OR(COUNTIF(D688,"*"&amp;$T$9:$T$15&amp;"*")),"Female","Male")</f>
        <v>Female</v>
      </c>
      <c r="G688">
        <v>15</v>
      </c>
      <c r="H688">
        <v>0</v>
      </c>
      <c r="I688">
        <v>1</v>
      </c>
      <c r="J688">
        <v>1</v>
      </c>
      <c r="K688">
        <v>211.33750000000001</v>
      </c>
      <c r="L688">
        <f t="shared" si="51"/>
        <v>1</v>
      </c>
      <c r="M688">
        <f t="shared" si="52"/>
        <v>15</v>
      </c>
      <c r="N688" t="str">
        <f t="shared" si="53"/>
        <v>Child</v>
      </c>
      <c r="O688">
        <f t="shared" si="54"/>
        <v>211.34</v>
      </c>
    </row>
    <row r="689" spans="1:15" x14ac:dyDescent="0.3">
      <c r="A689">
        <v>688</v>
      </c>
      <c r="B689">
        <v>1</v>
      </c>
      <c r="C689" t="str">
        <f t="shared" si="50"/>
        <v>Yes</v>
      </c>
      <c r="D689" t="s">
        <v>956</v>
      </c>
      <c r="E689" t="s">
        <v>1657</v>
      </c>
      <c r="F689" t="str" cm="1">
        <f t="array" ref="F689">IF(OR(COUNTIF(D689,"*"&amp;$T$9:$T$15&amp;"*")),"Female","Male")</f>
        <v>Male</v>
      </c>
      <c r="G689">
        <v>31</v>
      </c>
      <c r="H689">
        <v>1</v>
      </c>
      <c r="I689">
        <v>0</v>
      </c>
      <c r="J689">
        <v>1</v>
      </c>
      <c r="K689">
        <v>57</v>
      </c>
      <c r="L689">
        <f t="shared" si="51"/>
        <v>0</v>
      </c>
      <c r="M689">
        <f t="shared" si="52"/>
        <v>31</v>
      </c>
      <c r="N689" t="str">
        <f t="shared" si="53"/>
        <v>Adult</v>
      </c>
      <c r="O689">
        <f t="shared" si="54"/>
        <v>57</v>
      </c>
    </row>
    <row r="690" spans="1:15" x14ac:dyDescent="0.3">
      <c r="A690">
        <v>689</v>
      </c>
      <c r="B690">
        <v>1</v>
      </c>
      <c r="C690" t="str">
        <f t="shared" si="50"/>
        <v>Yes</v>
      </c>
      <c r="D690" t="s">
        <v>960</v>
      </c>
      <c r="E690" t="s">
        <v>1658</v>
      </c>
      <c r="F690" t="str" cm="1">
        <f t="array" ref="F690">IF(OR(COUNTIF(D690,"*"&amp;$T$9:$T$15&amp;"*")),"Female","Male")</f>
        <v>Female</v>
      </c>
      <c r="G690">
        <v>4</v>
      </c>
      <c r="H690">
        <v>0</v>
      </c>
      <c r="I690">
        <v>1</v>
      </c>
      <c r="J690">
        <v>3</v>
      </c>
      <c r="K690">
        <v>13.416700000000001</v>
      </c>
      <c r="L690">
        <f t="shared" si="51"/>
        <v>1</v>
      </c>
      <c r="M690">
        <f t="shared" si="52"/>
        <v>4</v>
      </c>
      <c r="N690" t="str">
        <f t="shared" si="53"/>
        <v>Child</v>
      </c>
      <c r="O690">
        <f t="shared" si="54"/>
        <v>13.42</v>
      </c>
    </row>
    <row r="691" spans="1:15" x14ac:dyDescent="0.3">
      <c r="A691">
        <v>690</v>
      </c>
      <c r="B691">
        <v>1</v>
      </c>
      <c r="C691" t="str">
        <f t="shared" si="50"/>
        <v>Yes</v>
      </c>
      <c r="D691" t="s">
        <v>956</v>
      </c>
      <c r="E691" t="s">
        <v>1659</v>
      </c>
      <c r="F691" t="str" cm="1">
        <f t="array" ref="F691">IF(OR(COUNTIF(D691,"*"&amp;$T$9:$T$15&amp;"*")),"Female","Male")</f>
        <v>Male</v>
      </c>
      <c r="G691">
        <v>37</v>
      </c>
      <c r="H691">
        <v>0</v>
      </c>
      <c r="I691">
        <v>0</v>
      </c>
      <c r="J691">
        <v>3</v>
      </c>
      <c r="K691">
        <v>56.495800000000003</v>
      </c>
      <c r="L691">
        <f t="shared" si="51"/>
        <v>0</v>
      </c>
      <c r="M691">
        <f t="shared" si="52"/>
        <v>37</v>
      </c>
      <c r="N691" t="str">
        <f t="shared" si="53"/>
        <v>Adult</v>
      </c>
      <c r="O691">
        <f t="shared" si="54"/>
        <v>56.5</v>
      </c>
    </row>
    <row r="692" spans="1:15" x14ac:dyDescent="0.3">
      <c r="A692">
        <v>691</v>
      </c>
      <c r="B692">
        <v>0</v>
      </c>
      <c r="C692" t="str">
        <f t="shared" si="50"/>
        <v>No</v>
      </c>
      <c r="D692" t="s">
        <v>956</v>
      </c>
      <c r="E692" t="s">
        <v>1660</v>
      </c>
      <c r="F692" t="str" cm="1">
        <f t="array" ref="F692">IF(OR(COUNTIF(D692,"*"&amp;$T$9:$T$15&amp;"*")),"Female","Male")</f>
        <v>Male</v>
      </c>
      <c r="G692">
        <v>25</v>
      </c>
      <c r="H692">
        <v>0</v>
      </c>
      <c r="I692">
        <v>0</v>
      </c>
      <c r="J692">
        <v>3</v>
      </c>
      <c r="K692">
        <v>7.2249999999999996</v>
      </c>
      <c r="L692">
        <f t="shared" si="51"/>
        <v>0</v>
      </c>
      <c r="M692">
        <f t="shared" si="52"/>
        <v>25</v>
      </c>
      <c r="N692" t="str">
        <f t="shared" si="53"/>
        <v>Adult</v>
      </c>
      <c r="O692">
        <f t="shared" si="54"/>
        <v>7.23</v>
      </c>
    </row>
    <row r="693" spans="1:15" x14ac:dyDescent="0.3">
      <c r="A693">
        <v>692</v>
      </c>
      <c r="B693">
        <v>0</v>
      </c>
      <c r="C693" t="str">
        <f t="shared" si="50"/>
        <v>No</v>
      </c>
      <c r="D693" t="s">
        <v>1613</v>
      </c>
      <c r="E693" t="s">
        <v>1661</v>
      </c>
      <c r="F693" t="str" cm="1">
        <f t="array" ref="F693">IF(OR(COUNTIF(D693,"*"&amp;$T$9:$T$15&amp;"*")),"Female","Male")</f>
        <v>Male</v>
      </c>
      <c r="G693">
        <v>60</v>
      </c>
      <c r="H693">
        <v>0</v>
      </c>
      <c r="I693">
        <v>0</v>
      </c>
      <c r="J693">
        <v>1</v>
      </c>
      <c r="K693">
        <v>26.55</v>
      </c>
      <c r="L693">
        <f t="shared" si="51"/>
        <v>0</v>
      </c>
      <c r="M693">
        <f t="shared" si="52"/>
        <v>60</v>
      </c>
      <c r="N693" t="str">
        <f t="shared" si="53"/>
        <v>Adult</v>
      </c>
      <c r="O693">
        <f t="shared" si="54"/>
        <v>26.55</v>
      </c>
    </row>
    <row r="694" spans="1:15" x14ac:dyDescent="0.3">
      <c r="A694">
        <v>693</v>
      </c>
      <c r="B694">
        <v>0</v>
      </c>
      <c r="C694" t="str">
        <f t="shared" si="50"/>
        <v>No</v>
      </c>
      <c r="D694" t="s">
        <v>956</v>
      </c>
      <c r="E694" t="s">
        <v>1662</v>
      </c>
      <c r="F694" t="str" cm="1">
        <f t="array" ref="F694">IF(OR(COUNTIF(D694,"*"&amp;$T$9:$T$15&amp;"*")),"Female","Male")</f>
        <v>Male</v>
      </c>
      <c r="G694">
        <v>52</v>
      </c>
      <c r="H694">
        <v>0</v>
      </c>
      <c r="I694">
        <v>0</v>
      </c>
      <c r="J694">
        <v>2</v>
      </c>
      <c r="K694">
        <v>13.5</v>
      </c>
      <c r="L694">
        <f t="shared" si="51"/>
        <v>0</v>
      </c>
      <c r="M694">
        <f t="shared" si="52"/>
        <v>52</v>
      </c>
      <c r="N694" t="str">
        <f t="shared" si="53"/>
        <v>Adult</v>
      </c>
      <c r="O694">
        <f t="shared" si="54"/>
        <v>13.5</v>
      </c>
    </row>
    <row r="695" spans="1:15" x14ac:dyDescent="0.3">
      <c r="A695">
        <v>694</v>
      </c>
      <c r="B695">
        <v>0</v>
      </c>
      <c r="C695" t="str">
        <f t="shared" si="50"/>
        <v>No</v>
      </c>
      <c r="D695" t="s">
        <v>956</v>
      </c>
      <c r="E695" t="s">
        <v>1663</v>
      </c>
      <c r="F695" t="str" cm="1">
        <f t="array" ref="F695">IF(OR(COUNTIF(D695,"*"&amp;$T$9:$T$15&amp;"*")),"Female","Male")</f>
        <v>Male</v>
      </c>
      <c r="G695">
        <v>44</v>
      </c>
      <c r="H695">
        <v>0</v>
      </c>
      <c r="I695">
        <v>0</v>
      </c>
      <c r="J695">
        <v>3</v>
      </c>
      <c r="K695">
        <v>8.0500000000000007</v>
      </c>
      <c r="L695">
        <f t="shared" si="51"/>
        <v>0</v>
      </c>
      <c r="M695">
        <f t="shared" si="52"/>
        <v>44</v>
      </c>
      <c r="N695" t="str">
        <f t="shared" si="53"/>
        <v>Adult</v>
      </c>
      <c r="O695">
        <f t="shared" si="54"/>
        <v>8.0500000000000007</v>
      </c>
    </row>
    <row r="696" spans="1:15" x14ac:dyDescent="0.3">
      <c r="A696">
        <v>695</v>
      </c>
      <c r="B696">
        <v>1</v>
      </c>
      <c r="C696" t="str">
        <f t="shared" si="50"/>
        <v>Yes</v>
      </c>
      <c r="D696" t="s">
        <v>960</v>
      </c>
      <c r="E696" t="s">
        <v>1664</v>
      </c>
      <c r="F696" t="str" cm="1">
        <f t="array" ref="F696">IF(OR(COUNTIF(D696,"*"&amp;$T$9:$T$15&amp;"*")),"Female","Male")</f>
        <v>Female</v>
      </c>
      <c r="G696">
        <v>19</v>
      </c>
      <c r="H696">
        <v>0</v>
      </c>
      <c r="I696">
        <v>0</v>
      </c>
      <c r="J696">
        <v>3</v>
      </c>
      <c r="K696">
        <v>7.7332999999999998</v>
      </c>
      <c r="L696">
        <f t="shared" si="51"/>
        <v>1</v>
      </c>
      <c r="M696">
        <f t="shared" si="52"/>
        <v>19</v>
      </c>
      <c r="N696" t="str">
        <f t="shared" si="53"/>
        <v>Adult</v>
      </c>
      <c r="O696">
        <f t="shared" si="54"/>
        <v>7.73</v>
      </c>
    </row>
    <row r="697" spans="1:15" x14ac:dyDescent="0.3">
      <c r="A697">
        <v>696</v>
      </c>
      <c r="B697">
        <v>0</v>
      </c>
      <c r="C697" t="str">
        <f t="shared" si="50"/>
        <v>No</v>
      </c>
      <c r="D697" t="s">
        <v>956</v>
      </c>
      <c r="E697" t="s">
        <v>1665</v>
      </c>
      <c r="F697" t="str" cm="1">
        <f t="array" ref="F697">IF(OR(COUNTIF(D697,"*"&amp;$T$9:$T$15&amp;"*")),"Female","Male")</f>
        <v>Male</v>
      </c>
      <c r="G697">
        <v>49</v>
      </c>
      <c r="H697">
        <v>1</v>
      </c>
      <c r="I697">
        <v>1</v>
      </c>
      <c r="J697">
        <v>1</v>
      </c>
      <c r="K697">
        <v>110.88330000000001</v>
      </c>
      <c r="L697">
        <f t="shared" si="51"/>
        <v>0</v>
      </c>
      <c r="M697">
        <f t="shared" si="52"/>
        <v>49</v>
      </c>
      <c r="N697" t="str">
        <f t="shared" si="53"/>
        <v>Adult</v>
      </c>
      <c r="O697">
        <f t="shared" si="54"/>
        <v>110.88</v>
      </c>
    </row>
    <row r="698" spans="1:15" x14ac:dyDescent="0.3">
      <c r="A698">
        <v>697</v>
      </c>
      <c r="B698">
        <v>0</v>
      </c>
      <c r="C698" t="str">
        <f t="shared" si="50"/>
        <v>No</v>
      </c>
      <c r="D698" t="s">
        <v>956</v>
      </c>
      <c r="E698" t="s">
        <v>1666</v>
      </c>
      <c r="F698" t="str" cm="1">
        <f t="array" ref="F698">IF(OR(COUNTIF(D698,"*"&amp;$T$9:$T$15&amp;"*")),"Female","Male")</f>
        <v>Male</v>
      </c>
      <c r="G698">
        <v>42</v>
      </c>
      <c r="H698">
        <v>0</v>
      </c>
      <c r="I698">
        <v>0</v>
      </c>
      <c r="J698">
        <v>3</v>
      </c>
      <c r="K698">
        <v>7.65</v>
      </c>
      <c r="L698">
        <f t="shared" si="51"/>
        <v>0</v>
      </c>
      <c r="M698">
        <f t="shared" si="52"/>
        <v>42</v>
      </c>
      <c r="N698" t="str">
        <f t="shared" si="53"/>
        <v>Adult</v>
      </c>
      <c r="O698">
        <f t="shared" si="54"/>
        <v>7.65</v>
      </c>
    </row>
    <row r="699" spans="1:15" x14ac:dyDescent="0.3">
      <c r="A699">
        <v>698</v>
      </c>
      <c r="B699">
        <v>1</v>
      </c>
      <c r="C699" t="str">
        <f t="shared" si="50"/>
        <v>Yes</v>
      </c>
      <c r="D699" t="s">
        <v>958</v>
      </c>
      <c r="E699" t="s">
        <v>1667</v>
      </c>
      <c r="F699" t="str" cm="1">
        <f t="array" ref="F699">IF(OR(COUNTIF(D699,"*"&amp;$T$9:$T$15&amp;"*")),"Female","Male")</f>
        <v>Female</v>
      </c>
      <c r="G699">
        <v>18</v>
      </c>
      <c r="H699">
        <v>1</v>
      </c>
      <c r="I699">
        <v>0</v>
      </c>
      <c r="J699">
        <v>1</v>
      </c>
      <c r="K699">
        <v>227.52500000000001</v>
      </c>
      <c r="L699">
        <f t="shared" si="51"/>
        <v>1</v>
      </c>
      <c r="M699">
        <f t="shared" si="52"/>
        <v>18</v>
      </c>
      <c r="N699" t="str">
        <f t="shared" si="53"/>
        <v>Adult</v>
      </c>
      <c r="O699">
        <f t="shared" si="54"/>
        <v>227.53</v>
      </c>
    </row>
    <row r="700" spans="1:15" x14ac:dyDescent="0.3">
      <c r="A700">
        <v>699</v>
      </c>
      <c r="B700">
        <v>1</v>
      </c>
      <c r="C700" t="str">
        <f t="shared" si="50"/>
        <v>Yes</v>
      </c>
      <c r="D700" t="s">
        <v>956</v>
      </c>
      <c r="E700" t="s">
        <v>1668</v>
      </c>
      <c r="F700" t="str" cm="1">
        <f t="array" ref="F700">IF(OR(COUNTIF(D700,"*"&amp;$T$9:$T$15&amp;"*")),"Female","Male")</f>
        <v>Male</v>
      </c>
      <c r="G700">
        <v>35</v>
      </c>
      <c r="H700">
        <v>0</v>
      </c>
      <c r="I700">
        <v>0</v>
      </c>
      <c r="J700">
        <v>1</v>
      </c>
      <c r="K700">
        <v>26.287500000000001</v>
      </c>
      <c r="L700">
        <f t="shared" si="51"/>
        <v>0</v>
      </c>
      <c r="M700">
        <f t="shared" si="52"/>
        <v>35</v>
      </c>
      <c r="N700" t="str">
        <f t="shared" si="53"/>
        <v>Adult</v>
      </c>
      <c r="O700">
        <f t="shared" si="54"/>
        <v>26.29</v>
      </c>
    </row>
    <row r="701" spans="1:15" x14ac:dyDescent="0.3">
      <c r="A701">
        <v>700</v>
      </c>
      <c r="B701">
        <v>0</v>
      </c>
      <c r="C701" t="str">
        <f t="shared" si="50"/>
        <v>No</v>
      </c>
      <c r="D701" t="s">
        <v>960</v>
      </c>
      <c r="E701" t="s">
        <v>1669</v>
      </c>
      <c r="F701" t="str" cm="1">
        <f t="array" ref="F701">IF(OR(COUNTIF(D701,"*"&amp;$T$9:$T$15&amp;"*")),"Female","Male")</f>
        <v>Female</v>
      </c>
      <c r="G701">
        <v>18</v>
      </c>
      <c r="H701">
        <v>0</v>
      </c>
      <c r="I701">
        <v>1</v>
      </c>
      <c r="J701">
        <v>3</v>
      </c>
      <c r="K701">
        <v>14.4542</v>
      </c>
      <c r="L701">
        <f t="shared" si="51"/>
        <v>1</v>
      </c>
      <c r="M701">
        <f t="shared" si="52"/>
        <v>18</v>
      </c>
      <c r="N701" t="str">
        <f t="shared" si="53"/>
        <v>Adult</v>
      </c>
      <c r="O701">
        <f t="shared" si="54"/>
        <v>14.45</v>
      </c>
    </row>
    <row r="702" spans="1:15" x14ac:dyDescent="0.3">
      <c r="A702">
        <v>701</v>
      </c>
      <c r="B702">
        <v>0</v>
      </c>
      <c r="C702" t="str">
        <f t="shared" si="50"/>
        <v>No</v>
      </c>
      <c r="D702" t="s">
        <v>956</v>
      </c>
      <c r="E702" t="s">
        <v>1670</v>
      </c>
      <c r="F702" t="str" cm="1">
        <f t="array" ref="F702">IF(OR(COUNTIF(D702,"*"&amp;$T$9:$T$15&amp;"*")),"Female","Male")</f>
        <v>Male</v>
      </c>
      <c r="G702">
        <v>25</v>
      </c>
      <c r="H702">
        <v>0</v>
      </c>
      <c r="I702">
        <v>0</v>
      </c>
      <c r="J702">
        <v>3</v>
      </c>
      <c r="K702">
        <v>7.7416999999999998</v>
      </c>
      <c r="L702">
        <f t="shared" si="51"/>
        <v>0</v>
      </c>
      <c r="M702">
        <f t="shared" si="52"/>
        <v>25</v>
      </c>
      <c r="N702" t="str">
        <f t="shared" si="53"/>
        <v>Adult</v>
      </c>
      <c r="O702">
        <f t="shared" si="54"/>
        <v>7.74</v>
      </c>
    </row>
    <row r="703" spans="1:15" x14ac:dyDescent="0.3">
      <c r="A703">
        <v>702</v>
      </c>
      <c r="B703">
        <v>0</v>
      </c>
      <c r="C703" t="str">
        <f t="shared" si="50"/>
        <v>No</v>
      </c>
      <c r="D703" t="s">
        <v>956</v>
      </c>
      <c r="E703" t="s">
        <v>1671</v>
      </c>
      <c r="F703" t="str" cm="1">
        <f t="array" ref="F703">IF(OR(COUNTIF(D703,"*"&amp;$T$9:$T$15&amp;"*")),"Female","Male")</f>
        <v>Male</v>
      </c>
      <c r="G703">
        <v>26</v>
      </c>
      <c r="H703">
        <v>1</v>
      </c>
      <c r="I703">
        <v>0</v>
      </c>
      <c r="J703">
        <v>3</v>
      </c>
      <c r="K703">
        <v>7.8541999999999996</v>
      </c>
      <c r="L703">
        <f t="shared" si="51"/>
        <v>0</v>
      </c>
      <c r="M703">
        <f t="shared" si="52"/>
        <v>26</v>
      </c>
      <c r="N703" t="str">
        <f t="shared" si="53"/>
        <v>Adult</v>
      </c>
      <c r="O703">
        <f t="shared" si="54"/>
        <v>7.85</v>
      </c>
    </row>
    <row r="704" spans="1:15" x14ac:dyDescent="0.3">
      <c r="A704">
        <v>703</v>
      </c>
      <c r="B704">
        <v>0</v>
      </c>
      <c r="C704" t="str">
        <f t="shared" si="50"/>
        <v>No</v>
      </c>
      <c r="D704" t="s">
        <v>956</v>
      </c>
      <c r="E704" t="s">
        <v>1672</v>
      </c>
      <c r="F704" t="str" cm="1">
        <f t="array" ref="F704">IF(OR(COUNTIF(D704,"*"&amp;$T$9:$T$15&amp;"*")),"Female","Male")</f>
        <v>Male</v>
      </c>
      <c r="G704">
        <v>39</v>
      </c>
      <c r="H704">
        <v>0</v>
      </c>
      <c r="I704">
        <v>0</v>
      </c>
      <c r="J704">
        <v>2</v>
      </c>
      <c r="K704">
        <v>26</v>
      </c>
      <c r="L704">
        <f t="shared" si="51"/>
        <v>0</v>
      </c>
      <c r="M704">
        <f t="shared" si="52"/>
        <v>39</v>
      </c>
      <c r="N704" t="str">
        <f t="shared" si="53"/>
        <v>Adult</v>
      </c>
      <c r="O704">
        <f t="shared" si="54"/>
        <v>26</v>
      </c>
    </row>
    <row r="705" spans="1:15" x14ac:dyDescent="0.3">
      <c r="A705">
        <v>704</v>
      </c>
      <c r="B705">
        <v>1</v>
      </c>
      <c r="C705" t="str">
        <f t="shared" si="50"/>
        <v>Yes</v>
      </c>
      <c r="D705" t="s">
        <v>958</v>
      </c>
      <c r="E705" t="s">
        <v>1673</v>
      </c>
      <c r="F705" t="str" cm="1">
        <f t="array" ref="F705">IF(OR(COUNTIF(D705,"*"&amp;$T$9:$T$15&amp;"*")),"Female","Male")</f>
        <v>Female</v>
      </c>
      <c r="G705">
        <v>45</v>
      </c>
      <c r="H705">
        <v>0</v>
      </c>
      <c r="I705">
        <v>0</v>
      </c>
      <c r="J705">
        <v>2</v>
      </c>
      <c r="K705">
        <v>13.5</v>
      </c>
      <c r="L705">
        <f t="shared" si="51"/>
        <v>1</v>
      </c>
      <c r="M705">
        <f t="shared" si="52"/>
        <v>45</v>
      </c>
      <c r="N705" t="str">
        <f t="shared" si="53"/>
        <v>Adult</v>
      </c>
      <c r="O705">
        <f t="shared" si="54"/>
        <v>13.5</v>
      </c>
    </row>
    <row r="706" spans="1:15" x14ac:dyDescent="0.3">
      <c r="A706">
        <v>705</v>
      </c>
      <c r="B706">
        <v>1</v>
      </c>
      <c r="C706" t="str">
        <f t="shared" si="50"/>
        <v>Yes</v>
      </c>
      <c r="D706" t="s">
        <v>956</v>
      </c>
      <c r="E706" t="s">
        <v>1674</v>
      </c>
      <c r="F706" t="str" cm="1">
        <f t="array" ref="F706">IF(OR(COUNTIF(D706,"*"&amp;$T$9:$T$15&amp;"*")),"Female","Male")</f>
        <v>Male</v>
      </c>
      <c r="G706">
        <v>42</v>
      </c>
      <c r="H706">
        <v>0</v>
      </c>
      <c r="I706">
        <v>0</v>
      </c>
      <c r="J706">
        <v>1</v>
      </c>
      <c r="K706">
        <v>26.287500000000001</v>
      </c>
      <c r="L706">
        <f t="shared" si="51"/>
        <v>0</v>
      </c>
      <c r="M706">
        <f t="shared" si="52"/>
        <v>42</v>
      </c>
      <c r="N706" t="str">
        <f t="shared" si="53"/>
        <v>Adult</v>
      </c>
      <c r="O706">
        <f t="shared" si="54"/>
        <v>26.29</v>
      </c>
    </row>
    <row r="707" spans="1:15" x14ac:dyDescent="0.3">
      <c r="A707">
        <v>706</v>
      </c>
      <c r="B707">
        <v>1</v>
      </c>
      <c r="C707" t="str">
        <f t="shared" ref="C707:C770" si="55">IF(B707=0,"No","Yes")</f>
        <v>Yes</v>
      </c>
      <c r="D707" t="s">
        <v>960</v>
      </c>
      <c r="E707" t="s">
        <v>1675</v>
      </c>
      <c r="F707" t="str" cm="1">
        <f t="array" ref="F707">IF(OR(COUNTIF(D707,"*"&amp;$T$9:$T$15&amp;"*")),"Female","Male")</f>
        <v>Female</v>
      </c>
      <c r="G707">
        <v>22</v>
      </c>
      <c r="H707">
        <v>0</v>
      </c>
      <c r="I707">
        <v>0</v>
      </c>
      <c r="J707">
        <v>1</v>
      </c>
      <c r="K707">
        <v>151.55000000000001</v>
      </c>
      <c r="L707">
        <f t="shared" ref="L707:L770" si="56">IF(F707 = "Male", 0, 1)</f>
        <v>1</v>
      </c>
      <c r="M707">
        <f t="shared" ref="M707:M770" si="57">ROUND(G707, 0)</f>
        <v>22</v>
      </c>
      <c r="N707" t="str">
        <f t="shared" ref="N707:N770" si="58">IF(G707&lt;=16,"Child","Adult")</f>
        <v>Adult</v>
      </c>
      <c r="O707">
        <f t="shared" ref="O707:O770" si="59">ROUND(K707, 2)</f>
        <v>151.55000000000001</v>
      </c>
    </row>
    <row r="708" spans="1:15" x14ac:dyDescent="0.3">
      <c r="A708">
        <v>707</v>
      </c>
      <c r="B708">
        <v>1</v>
      </c>
      <c r="C708" t="str">
        <f t="shared" si="55"/>
        <v>Yes</v>
      </c>
      <c r="D708" t="s">
        <v>966</v>
      </c>
      <c r="E708" t="s">
        <v>1676</v>
      </c>
      <c r="F708" t="str" cm="1">
        <f t="array" ref="F708">IF(OR(COUNTIF(D708,"*"&amp;$T$9:$T$15&amp;"*")),"Female","Male")</f>
        <v>Male</v>
      </c>
      <c r="G708">
        <v>4</v>
      </c>
      <c r="H708">
        <v>1</v>
      </c>
      <c r="I708">
        <v>1</v>
      </c>
      <c r="J708">
        <v>3</v>
      </c>
      <c r="K708">
        <v>15.245799999999999</v>
      </c>
      <c r="L708">
        <f t="shared" si="56"/>
        <v>0</v>
      </c>
      <c r="M708">
        <f t="shared" si="57"/>
        <v>4</v>
      </c>
      <c r="N708" t="str">
        <f t="shared" si="58"/>
        <v>Child</v>
      </c>
      <c r="O708">
        <f t="shared" si="59"/>
        <v>15.25</v>
      </c>
    </row>
    <row r="709" spans="1:15" x14ac:dyDescent="0.3">
      <c r="A709">
        <v>708</v>
      </c>
      <c r="B709">
        <v>1</v>
      </c>
      <c r="C709" t="str">
        <f t="shared" si="55"/>
        <v>Yes</v>
      </c>
      <c r="D709" t="s">
        <v>1606</v>
      </c>
      <c r="E709" t="s">
        <v>1677</v>
      </c>
      <c r="F709" t="str" cm="1">
        <f t="array" ref="F709">IF(OR(COUNTIF(D709,"*"&amp;$T$9:$T$15&amp;"*")),"Female","Male")</f>
        <v>Female</v>
      </c>
      <c r="G709">
        <v>24</v>
      </c>
      <c r="H709">
        <v>0</v>
      </c>
      <c r="I709">
        <v>0</v>
      </c>
      <c r="J709">
        <v>1</v>
      </c>
      <c r="K709">
        <v>49.504199999999997</v>
      </c>
      <c r="L709">
        <f t="shared" si="56"/>
        <v>1</v>
      </c>
      <c r="M709">
        <f t="shared" si="57"/>
        <v>24</v>
      </c>
      <c r="N709" t="str">
        <f t="shared" si="58"/>
        <v>Adult</v>
      </c>
      <c r="O709">
        <f t="shared" si="59"/>
        <v>49.5</v>
      </c>
    </row>
    <row r="710" spans="1:15" x14ac:dyDescent="0.3">
      <c r="A710">
        <v>709</v>
      </c>
      <c r="B710">
        <v>0</v>
      </c>
      <c r="C710" t="str">
        <f t="shared" si="55"/>
        <v>No</v>
      </c>
      <c r="D710" t="s">
        <v>956</v>
      </c>
      <c r="E710" t="s">
        <v>1678</v>
      </c>
      <c r="F710" t="str" cm="1">
        <f t="array" ref="F710">IF(OR(COUNTIF(D710,"*"&amp;$T$9:$T$15&amp;"*")),"Female","Male")</f>
        <v>Male</v>
      </c>
      <c r="G710">
        <v>41</v>
      </c>
      <c r="H710">
        <v>0</v>
      </c>
      <c r="I710">
        <v>0</v>
      </c>
      <c r="J710">
        <v>1</v>
      </c>
      <c r="K710">
        <v>26.55</v>
      </c>
      <c r="L710">
        <f t="shared" si="56"/>
        <v>0</v>
      </c>
      <c r="M710">
        <f t="shared" si="57"/>
        <v>41</v>
      </c>
      <c r="N710" t="str">
        <f t="shared" si="58"/>
        <v>Adult</v>
      </c>
      <c r="O710">
        <f t="shared" si="59"/>
        <v>26.55</v>
      </c>
    </row>
    <row r="711" spans="1:15" x14ac:dyDescent="0.3">
      <c r="A711">
        <v>710</v>
      </c>
      <c r="B711">
        <v>1</v>
      </c>
      <c r="C711" t="str">
        <f t="shared" si="55"/>
        <v>Yes</v>
      </c>
      <c r="D711" t="s">
        <v>956</v>
      </c>
      <c r="E711" t="s">
        <v>1679</v>
      </c>
      <c r="F711" t="str" cm="1">
        <f t="array" ref="F711">IF(OR(COUNTIF(D711,"*"&amp;$T$9:$T$15&amp;"*")),"Female","Male")</f>
        <v>Male</v>
      </c>
      <c r="G711">
        <v>48</v>
      </c>
      <c r="H711">
        <v>1</v>
      </c>
      <c r="I711">
        <v>0</v>
      </c>
      <c r="J711">
        <v>1</v>
      </c>
      <c r="K711">
        <v>52</v>
      </c>
      <c r="L711">
        <f t="shared" si="56"/>
        <v>0</v>
      </c>
      <c r="M711">
        <f t="shared" si="57"/>
        <v>48</v>
      </c>
      <c r="N711" t="str">
        <f t="shared" si="58"/>
        <v>Adult</v>
      </c>
      <c r="O711">
        <f t="shared" si="59"/>
        <v>52</v>
      </c>
    </row>
    <row r="712" spans="1:15" x14ac:dyDescent="0.3">
      <c r="A712">
        <v>711</v>
      </c>
      <c r="B712">
        <v>0</v>
      </c>
      <c r="C712" t="str">
        <f t="shared" si="55"/>
        <v>No</v>
      </c>
      <c r="D712" t="s">
        <v>956</v>
      </c>
      <c r="E712" t="s">
        <v>1680</v>
      </c>
      <c r="F712" t="str" cm="1">
        <f t="array" ref="F712">IF(OR(COUNTIF(D712,"*"&amp;$T$9:$T$15&amp;"*")),"Female","Male")</f>
        <v>Male</v>
      </c>
      <c r="G712">
        <v>29</v>
      </c>
      <c r="H712">
        <v>0</v>
      </c>
      <c r="I712">
        <v>0</v>
      </c>
      <c r="J712">
        <v>3</v>
      </c>
      <c r="K712">
        <v>9.4832999999999998</v>
      </c>
      <c r="L712">
        <f t="shared" si="56"/>
        <v>0</v>
      </c>
      <c r="M712">
        <f t="shared" si="57"/>
        <v>29</v>
      </c>
      <c r="N712" t="str">
        <f t="shared" si="58"/>
        <v>Adult</v>
      </c>
      <c r="O712">
        <f t="shared" si="59"/>
        <v>9.48</v>
      </c>
    </row>
    <row r="713" spans="1:15" x14ac:dyDescent="0.3">
      <c r="A713">
        <v>712</v>
      </c>
      <c r="B713">
        <v>0</v>
      </c>
      <c r="C713" t="str">
        <f t="shared" si="55"/>
        <v>No</v>
      </c>
      <c r="D713" t="s">
        <v>956</v>
      </c>
      <c r="E713" t="s">
        <v>1681</v>
      </c>
      <c r="F713" t="str" cm="1">
        <f t="array" ref="F713">IF(OR(COUNTIF(D713,"*"&amp;$T$9:$T$15&amp;"*")),"Female","Male")</f>
        <v>Male</v>
      </c>
      <c r="G713">
        <v>52</v>
      </c>
      <c r="H713">
        <v>0</v>
      </c>
      <c r="I713">
        <v>0</v>
      </c>
      <c r="J713">
        <v>2</v>
      </c>
      <c r="K713">
        <v>13</v>
      </c>
      <c r="L713">
        <f t="shared" si="56"/>
        <v>0</v>
      </c>
      <c r="M713">
        <f t="shared" si="57"/>
        <v>52</v>
      </c>
      <c r="N713" t="str">
        <f t="shared" si="58"/>
        <v>Adult</v>
      </c>
      <c r="O713">
        <f t="shared" si="59"/>
        <v>13</v>
      </c>
    </row>
    <row r="714" spans="1:15" x14ac:dyDescent="0.3">
      <c r="A714">
        <v>713</v>
      </c>
      <c r="B714">
        <v>0</v>
      </c>
      <c r="C714" t="str">
        <f t="shared" si="55"/>
        <v>No</v>
      </c>
      <c r="D714" t="s">
        <v>956</v>
      </c>
      <c r="E714" t="s">
        <v>1682</v>
      </c>
      <c r="F714" t="str" cm="1">
        <f t="array" ref="F714">IF(OR(COUNTIF(D714,"*"&amp;$T$9:$T$15&amp;"*")),"Female","Male")</f>
        <v>Male</v>
      </c>
      <c r="G714">
        <v>19</v>
      </c>
      <c r="H714">
        <v>0</v>
      </c>
      <c r="I714">
        <v>0</v>
      </c>
      <c r="J714">
        <v>3</v>
      </c>
      <c r="K714">
        <v>7.65</v>
      </c>
      <c r="L714">
        <f t="shared" si="56"/>
        <v>0</v>
      </c>
      <c r="M714">
        <f t="shared" si="57"/>
        <v>19</v>
      </c>
      <c r="N714" t="str">
        <f t="shared" si="58"/>
        <v>Adult</v>
      </c>
      <c r="O714">
        <f t="shared" si="59"/>
        <v>7.65</v>
      </c>
    </row>
    <row r="715" spans="1:15" x14ac:dyDescent="0.3">
      <c r="A715">
        <v>714</v>
      </c>
      <c r="B715">
        <v>1</v>
      </c>
      <c r="C715" t="str">
        <f t="shared" si="55"/>
        <v>Yes</v>
      </c>
      <c r="D715" t="s">
        <v>960</v>
      </c>
      <c r="E715" t="s">
        <v>1683</v>
      </c>
      <c r="F715" t="str" cm="1">
        <f t="array" ref="F715">IF(OR(COUNTIF(D715,"*"&amp;$T$9:$T$15&amp;"*")),"Female","Male")</f>
        <v>Female</v>
      </c>
      <c r="G715">
        <v>38</v>
      </c>
      <c r="H715">
        <v>0</v>
      </c>
      <c r="I715">
        <v>0</v>
      </c>
      <c r="J715">
        <v>1</v>
      </c>
      <c r="K715">
        <v>227.52500000000001</v>
      </c>
      <c r="L715">
        <f t="shared" si="56"/>
        <v>1</v>
      </c>
      <c r="M715">
        <f t="shared" si="57"/>
        <v>38</v>
      </c>
      <c r="N715" t="str">
        <f t="shared" si="58"/>
        <v>Adult</v>
      </c>
      <c r="O715">
        <f t="shared" si="59"/>
        <v>227.53</v>
      </c>
    </row>
    <row r="716" spans="1:15" x14ac:dyDescent="0.3">
      <c r="A716">
        <v>715</v>
      </c>
      <c r="B716">
        <v>1</v>
      </c>
      <c r="C716" t="str">
        <f t="shared" si="55"/>
        <v>Yes</v>
      </c>
      <c r="D716" t="s">
        <v>960</v>
      </c>
      <c r="E716" t="s">
        <v>1684</v>
      </c>
      <c r="F716" t="str" cm="1">
        <f t="array" ref="F716">IF(OR(COUNTIF(D716,"*"&amp;$T$9:$T$15&amp;"*")),"Female","Male")</f>
        <v>Female</v>
      </c>
      <c r="G716">
        <v>27</v>
      </c>
      <c r="H716">
        <v>0</v>
      </c>
      <c r="I716">
        <v>0</v>
      </c>
      <c r="J716">
        <v>2</v>
      </c>
      <c r="K716">
        <v>10.5</v>
      </c>
      <c r="L716">
        <f t="shared" si="56"/>
        <v>1</v>
      </c>
      <c r="M716">
        <f t="shared" si="57"/>
        <v>27</v>
      </c>
      <c r="N716" t="str">
        <f t="shared" si="58"/>
        <v>Adult</v>
      </c>
      <c r="O716">
        <f t="shared" si="59"/>
        <v>10.5</v>
      </c>
    </row>
    <row r="717" spans="1:15" x14ac:dyDescent="0.3">
      <c r="A717">
        <v>716</v>
      </c>
      <c r="B717">
        <v>0</v>
      </c>
      <c r="C717" t="str">
        <f t="shared" si="55"/>
        <v>No</v>
      </c>
      <c r="D717" t="s">
        <v>956</v>
      </c>
      <c r="E717" t="s">
        <v>1685</v>
      </c>
      <c r="F717" t="str" cm="1">
        <f t="array" ref="F717">IF(OR(COUNTIF(D717,"*"&amp;$T$9:$T$15&amp;"*")),"Female","Male")</f>
        <v>Male</v>
      </c>
      <c r="G717">
        <v>33</v>
      </c>
      <c r="H717">
        <v>0</v>
      </c>
      <c r="I717">
        <v>0</v>
      </c>
      <c r="J717">
        <v>3</v>
      </c>
      <c r="K717">
        <v>7.7750000000000004</v>
      </c>
      <c r="L717">
        <f t="shared" si="56"/>
        <v>0</v>
      </c>
      <c r="M717">
        <f t="shared" si="57"/>
        <v>33</v>
      </c>
      <c r="N717" t="str">
        <f t="shared" si="58"/>
        <v>Adult</v>
      </c>
      <c r="O717">
        <f t="shared" si="59"/>
        <v>7.78</v>
      </c>
    </row>
    <row r="718" spans="1:15" x14ac:dyDescent="0.3">
      <c r="A718">
        <v>717</v>
      </c>
      <c r="B718">
        <v>1</v>
      </c>
      <c r="C718" t="str">
        <f t="shared" si="55"/>
        <v>Yes</v>
      </c>
      <c r="D718" t="s">
        <v>960</v>
      </c>
      <c r="E718" t="s">
        <v>1686</v>
      </c>
      <c r="F718" t="str" cm="1">
        <f t="array" ref="F718">IF(OR(COUNTIF(D718,"*"&amp;$T$9:$T$15&amp;"*")),"Female","Male")</f>
        <v>Female</v>
      </c>
      <c r="G718">
        <v>6</v>
      </c>
      <c r="H718">
        <v>0</v>
      </c>
      <c r="I718">
        <v>1</v>
      </c>
      <c r="J718">
        <v>2</v>
      </c>
      <c r="K718">
        <v>33</v>
      </c>
      <c r="L718">
        <f t="shared" si="56"/>
        <v>1</v>
      </c>
      <c r="M718">
        <f t="shared" si="57"/>
        <v>6</v>
      </c>
      <c r="N718" t="str">
        <f t="shared" si="58"/>
        <v>Child</v>
      </c>
      <c r="O718">
        <f t="shared" si="59"/>
        <v>33</v>
      </c>
    </row>
    <row r="719" spans="1:15" x14ac:dyDescent="0.3">
      <c r="A719">
        <v>718</v>
      </c>
      <c r="B719">
        <v>0</v>
      </c>
      <c r="C719" t="str">
        <f t="shared" si="55"/>
        <v>No</v>
      </c>
      <c r="D719" t="s">
        <v>956</v>
      </c>
      <c r="E719" t="s">
        <v>1687</v>
      </c>
      <c r="F719" t="str" cm="1">
        <f t="array" ref="F719">IF(OR(COUNTIF(D719,"*"&amp;$T$9:$T$15&amp;"*")),"Female","Male")</f>
        <v>Male</v>
      </c>
      <c r="G719">
        <v>17</v>
      </c>
      <c r="H719">
        <v>1</v>
      </c>
      <c r="I719">
        <v>0</v>
      </c>
      <c r="J719">
        <v>3</v>
      </c>
      <c r="K719">
        <v>7.0541999999999998</v>
      </c>
      <c r="L719">
        <f t="shared" si="56"/>
        <v>0</v>
      </c>
      <c r="M719">
        <f t="shared" si="57"/>
        <v>17</v>
      </c>
      <c r="N719" t="str">
        <f t="shared" si="58"/>
        <v>Adult</v>
      </c>
      <c r="O719">
        <f t="shared" si="59"/>
        <v>7.05</v>
      </c>
    </row>
    <row r="720" spans="1:15" x14ac:dyDescent="0.3">
      <c r="A720">
        <v>719</v>
      </c>
      <c r="B720">
        <v>0</v>
      </c>
      <c r="C720" t="str">
        <f t="shared" si="55"/>
        <v>No</v>
      </c>
      <c r="D720" t="s">
        <v>956</v>
      </c>
      <c r="E720" t="s">
        <v>1688</v>
      </c>
      <c r="F720" t="str" cm="1">
        <f t="array" ref="F720">IF(OR(COUNTIF(D720,"*"&amp;$T$9:$T$15&amp;"*")),"Female","Male")</f>
        <v>Male</v>
      </c>
      <c r="G720">
        <v>34</v>
      </c>
      <c r="H720">
        <v>0</v>
      </c>
      <c r="I720">
        <v>0</v>
      </c>
      <c r="J720">
        <v>2</v>
      </c>
      <c r="K720">
        <v>13</v>
      </c>
      <c r="L720">
        <f t="shared" si="56"/>
        <v>0</v>
      </c>
      <c r="M720">
        <f t="shared" si="57"/>
        <v>34</v>
      </c>
      <c r="N720" t="str">
        <f t="shared" si="58"/>
        <v>Adult</v>
      </c>
      <c r="O720">
        <f t="shared" si="59"/>
        <v>13</v>
      </c>
    </row>
    <row r="721" spans="1:15" x14ac:dyDescent="0.3">
      <c r="A721">
        <v>720</v>
      </c>
      <c r="B721">
        <v>0</v>
      </c>
      <c r="C721" t="str">
        <f t="shared" si="55"/>
        <v>No</v>
      </c>
      <c r="D721" t="s">
        <v>956</v>
      </c>
      <c r="E721" t="s">
        <v>1689</v>
      </c>
      <c r="F721" t="str" cm="1">
        <f t="array" ref="F721">IF(OR(COUNTIF(D721,"*"&amp;$T$9:$T$15&amp;"*")),"Female","Male")</f>
        <v>Male</v>
      </c>
      <c r="G721">
        <v>50</v>
      </c>
      <c r="H721">
        <v>0</v>
      </c>
      <c r="I721">
        <v>0</v>
      </c>
      <c r="J721">
        <v>2</v>
      </c>
      <c r="K721">
        <v>13</v>
      </c>
      <c r="L721">
        <f t="shared" si="56"/>
        <v>0</v>
      </c>
      <c r="M721">
        <f t="shared" si="57"/>
        <v>50</v>
      </c>
      <c r="N721" t="str">
        <f t="shared" si="58"/>
        <v>Adult</v>
      </c>
      <c r="O721">
        <f t="shared" si="59"/>
        <v>13</v>
      </c>
    </row>
    <row r="722" spans="1:15" x14ac:dyDescent="0.3">
      <c r="A722">
        <v>721</v>
      </c>
      <c r="B722">
        <v>1</v>
      </c>
      <c r="C722" t="str">
        <f t="shared" si="55"/>
        <v>Yes</v>
      </c>
      <c r="D722" t="s">
        <v>956</v>
      </c>
      <c r="E722" t="s">
        <v>1690</v>
      </c>
      <c r="F722" t="str" cm="1">
        <f t="array" ref="F722">IF(OR(COUNTIF(D722,"*"&amp;$T$9:$T$15&amp;"*")),"Female","Male")</f>
        <v>Male</v>
      </c>
      <c r="G722">
        <v>27</v>
      </c>
      <c r="H722">
        <v>1</v>
      </c>
      <c r="I722">
        <v>0</v>
      </c>
      <c r="J722">
        <v>1</v>
      </c>
      <c r="K722">
        <v>53.1</v>
      </c>
      <c r="L722">
        <f t="shared" si="56"/>
        <v>0</v>
      </c>
      <c r="M722">
        <f t="shared" si="57"/>
        <v>27</v>
      </c>
      <c r="N722" t="str">
        <f t="shared" si="58"/>
        <v>Adult</v>
      </c>
      <c r="O722">
        <f t="shared" si="59"/>
        <v>53.1</v>
      </c>
    </row>
    <row r="723" spans="1:15" x14ac:dyDescent="0.3">
      <c r="A723">
        <v>722</v>
      </c>
      <c r="B723">
        <v>0</v>
      </c>
      <c r="C723" t="str">
        <f t="shared" si="55"/>
        <v>No</v>
      </c>
      <c r="D723" t="s">
        <v>956</v>
      </c>
      <c r="E723" t="s">
        <v>1691</v>
      </c>
      <c r="F723" t="str" cm="1">
        <f t="array" ref="F723">IF(OR(COUNTIF(D723,"*"&amp;$T$9:$T$15&amp;"*")),"Female","Male")</f>
        <v>Male</v>
      </c>
      <c r="G723">
        <v>20</v>
      </c>
      <c r="H723">
        <v>0</v>
      </c>
      <c r="I723">
        <v>0</v>
      </c>
      <c r="J723">
        <v>3</v>
      </c>
      <c r="K723">
        <v>8.6624999999999996</v>
      </c>
      <c r="L723">
        <f t="shared" si="56"/>
        <v>0</v>
      </c>
      <c r="M723">
        <f t="shared" si="57"/>
        <v>20</v>
      </c>
      <c r="N723" t="str">
        <f t="shared" si="58"/>
        <v>Adult</v>
      </c>
      <c r="O723">
        <f t="shared" si="59"/>
        <v>8.66</v>
      </c>
    </row>
    <row r="724" spans="1:15" x14ac:dyDescent="0.3">
      <c r="A724">
        <v>723</v>
      </c>
      <c r="B724">
        <v>1</v>
      </c>
      <c r="C724" t="str">
        <f t="shared" si="55"/>
        <v>Yes</v>
      </c>
      <c r="D724" t="s">
        <v>958</v>
      </c>
      <c r="E724" t="s">
        <v>1692</v>
      </c>
      <c r="F724" t="str" cm="1">
        <f t="array" ref="F724">IF(OR(COUNTIF(D724,"*"&amp;$T$9:$T$15&amp;"*")),"Female","Male")</f>
        <v>Female</v>
      </c>
      <c r="G724">
        <v>30</v>
      </c>
      <c r="H724">
        <v>3</v>
      </c>
      <c r="I724">
        <v>0</v>
      </c>
      <c r="J724">
        <v>2</v>
      </c>
      <c r="K724">
        <v>21</v>
      </c>
      <c r="L724">
        <f t="shared" si="56"/>
        <v>1</v>
      </c>
      <c r="M724">
        <f t="shared" si="57"/>
        <v>30</v>
      </c>
      <c r="N724" t="str">
        <f t="shared" si="58"/>
        <v>Adult</v>
      </c>
      <c r="O724">
        <f t="shared" si="59"/>
        <v>21</v>
      </c>
    </row>
    <row r="725" spans="1:15" x14ac:dyDescent="0.3">
      <c r="A725">
        <v>724</v>
      </c>
      <c r="B725">
        <v>1</v>
      </c>
      <c r="C725" t="str">
        <f t="shared" si="55"/>
        <v>Yes</v>
      </c>
      <c r="D725" t="s">
        <v>960</v>
      </c>
      <c r="E725" t="s">
        <v>1693</v>
      </c>
      <c r="F725" t="str" cm="1">
        <f t="array" ref="F725">IF(OR(COUNTIF(D725,"*"&amp;$T$9:$T$15&amp;"*")),"Female","Male")</f>
        <v>Female</v>
      </c>
      <c r="G725">
        <v>28</v>
      </c>
      <c r="H725">
        <v>0</v>
      </c>
      <c r="I725">
        <v>0</v>
      </c>
      <c r="J725">
        <v>3</v>
      </c>
      <c r="K725">
        <v>7.7374999999999998</v>
      </c>
      <c r="L725">
        <f t="shared" si="56"/>
        <v>1</v>
      </c>
      <c r="M725">
        <f t="shared" si="57"/>
        <v>28</v>
      </c>
      <c r="N725" t="str">
        <f t="shared" si="58"/>
        <v>Adult</v>
      </c>
      <c r="O725">
        <f t="shared" si="59"/>
        <v>7.74</v>
      </c>
    </row>
    <row r="726" spans="1:15" x14ac:dyDescent="0.3">
      <c r="A726">
        <v>725</v>
      </c>
      <c r="B726">
        <v>0</v>
      </c>
      <c r="C726" t="str">
        <f t="shared" si="55"/>
        <v>No</v>
      </c>
      <c r="D726" t="s">
        <v>956</v>
      </c>
      <c r="E726" t="s">
        <v>1694</v>
      </c>
      <c r="F726" t="str" cm="1">
        <f t="array" ref="F726">IF(OR(COUNTIF(D726,"*"&amp;$T$9:$T$15&amp;"*")),"Female","Male")</f>
        <v>Male</v>
      </c>
      <c r="G726">
        <v>25</v>
      </c>
      <c r="H726">
        <v>1</v>
      </c>
      <c r="I726">
        <v>0</v>
      </c>
      <c r="J726">
        <v>2</v>
      </c>
      <c r="K726">
        <v>26</v>
      </c>
      <c r="L726">
        <f t="shared" si="56"/>
        <v>0</v>
      </c>
      <c r="M726">
        <f t="shared" si="57"/>
        <v>25</v>
      </c>
      <c r="N726" t="str">
        <f t="shared" si="58"/>
        <v>Adult</v>
      </c>
      <c r="O726">
        <f t="shared" si="59"/>
        <v>26</v>
      </c>
    </row>
    <row r="727" spans="1:15" x14ac:dyDescent="0.3">
      <c r="A727">
        <v>726</v>
      </c>
      <c r="B727">
        <v>0</v>
      </c>
      <c r="C727" t="str">
        <f t="shared" si="55"/>
        <v>No</v>
      </c>
      <c r="D727" t="s">
        <v>960</v>
      </c>
      <c r="E727" t="s">
        <v>1695</v>
      </c>
      <c r="F727" t="str" cm="1">
        <f t="array" ref="F727">IF(OR(COUNTIF(D727,"*"&amp;$T$9:$T$15&amp;"*")),"Female","Male")</f>
        <v>Female</v>
      </c>
      <c r="G727">
        <v>25</v>
      </c>
      <c r="H727">
        <v>1</v>
      </c>
      <c r="I727">
        <v>0</v>
      </c>
      <c r="J727">
        <v>3</v>
      </c>
      <c r="K727">
        <v>7.9249999999999998</v>
      </c>
      <c r="L727">
        <f t="shared" si="56"/>
        <v>1</v>
      </c>
      <c r="M727">
        <f t="shared" si="57"/>
        <v>25</v>
      </c>
      <c r="N727" t="str">
        <f t="shared" si="58"/>
        <v>Adult</v>
      </c>
      <c r="O727">
        <f t="shared" si="59"/>
        <v>7.93</v>
      </c>
    </row>
    <row r="728" spans="1:15" x14ac:dyDescent="0.3">
      <c r="A728">
        <v>727</v>
      </c>
      <c r="B728">
        <v>1</v>
      </c>
      <c r="C728" t="str">
        <f t="shared" si="55"/>
        <v>Yes</v>
      </c>
      <c r="D728" t="s">
        <v>960</v>
      </c>
      <c r="E728" t="s">
        <v>1696</v>
      </c>
      <c r="F728" t="str" cm="1">
        <f t="array" ref="F728">IF(OR(COUNTIF(D728,"*"&amp;$T$9:$T$15&amp;"*")),"Female","Male")</f>
        <v>Female</v>
      </c>
      <c r="G728">
        <v>29</v>
      </c>
      <c r="H728">
        <v>0</v>
      </c>
      <c r="I728">
        <v>0</v>
      </c>
      <c r="J728">
        <v>1</v>
      </c>
      <c r="K728">
        <v>211.33750000000001</v>
      </c>
      <c r="L728">
        <f t="shared" si="56"/>
        <v>1</v>
      </c>
      <c r="M728">
        <f t="shared" si="57"/>
        <v>29</v>
      </c>
      <c r="N728" t="str">
        <f t="shared" si="58"/>
        <v>Adult</v>
      </c>
      <c r="O728">
        <f t="shared" si="59"/>
        <v>211.34</v>
      </c>
    </row>
    <row r="729" spans="1:15" x14ac:dyDescent="0.3">
      <c r="A729">
        <v>728</v>
      </c>
      <c r="B729">
        <v>0</v>
      </c>
      <c r="C729" t="str">
        <f t="shared" si="55"/>
        <v>No</v>
      </c>
      <c r="D729" t="s">
        <v>956</v>
      </c>
      <c r="E729" t="s">
        <v>1697</v>
      </c>
      <c r="F729" t="str" cm="1">
        <f t="array" ref="F729">IF(OR(COUNTIF(D729,"*"&amp;$T$9:$T$15&amp;"*")),"Female","Male")</f>
        <v>Male</v>
      </c>
      <c r="G729">
        <v>11</v>
      </c>
      <c r="H729">
        <v>0</v>
      </c>
      <c r="I729">
        <v>0</v>
      </c>
      <c r="J729">
        <v>3</v>
      </c>
      <c r="K729">
        <v>18.787500000000001</v>
      </c>
      <c r="L729">
        <f t="shared" si="56"/>
        <v>0</v>
      </c>
      <c r="M729">
        <f t="shared" si="57"/>
        <v>11</v>
      </c>
      <c r="N729" t="str">
        <f t="shared" si="58"/>
        <v>Child</v>
      </c>
      <c r="O729">
        <f t="shared" si="59"/>
        <v>18.79</v>
      </c>
    </row>
    <row r="730" spans="1:15" x14ac:dyDescent="0.3">
      <c r="A730">
        <v>729</v>
      </c>
      <c r="B730">
        <v>0</v>
      </c>
      <c r="C730" t="str">
        <f t="shared" si="55"/>
        <v>No</v>
      </c>
      <c r="D730" t="s">
        <v>956</v>
      </c>
      <c r="E730" t="s">
        <v>1698</v>
      </c>
      <c r="F730" t="str" cm="1">
        <f t="array" ref="F730">IF(OR(COUNTIF(D730,"*"&amp;$T$9:$T$15&amp;"*")),"Female","Male")</f>
        <v>Male</v>
      </c>
      <c r="G730">
        <v>41</v>
      </c>
      <c r="H730">
        <v>0</v>
      </c>
      <c r="I730">
        <v>0</v>
      </c>
      <c r="J730">
        <v>2</v>
      </c>
      <c r="K730">
        <v>0</v>
      </c>
      <c r="L730">
        <f t="shared" si="56"/>
        <v>0</v>
      </c>
      <c r="M730">
        <f t="shared" si="57"/>
        <v>41</v>
      </c>
      <c r="N730" t="str">
        <f t="shared" si="58"/>
        <v>Adult</v>
      </c>
      <c r="O730">
        <f t="shared" si="59"/>
        <v>0</v>
      </c>
    </row>
    <row r="731" spans="1:15" x14ac:dyDescent="0.3">
      <c r="A731">
        <v>730</v>
      </c>
      <c r="B731">
        <v>0</v>
      </c>
      <c r="C731" t="str">
        <f t="shared" si="55"/>
        <v>No</v>
      </c>
      <c r="D731" t="s">
        <v>956</v>
      </c>
      <c r="E731" t="s">
        <v>1699</v>
      </c>
      <c r="F731" t="str" cm="1">
        <f t="array" ref="F731">IF(OR(COUNTIF(D731,"*"&amp;$T$9:$T$15&amp;"*")),"Female","Male")</f>
        <v>Male</v>
      </c>
      <c r="G731">
        <v>23</v>
      </c>
      <c r="H731">
        <v>0</v>
      </c>
      <c r="I731">
        <v>0</v>
      </c>
      <c r="J731">
        <v>2</v>
      </c>
      <c r="K731">
        <v>13</v>
      </c>
      <c r="L731">
        <f t="shared" si="56"/>
        <v>0</v>
      </c>
      <c r="M731">
        <f t="shared" si="57"/>
        <v>23</v>
      </c>
      <c r="N731" t="str">
        <f t="shared" si="58"/>
        <v>Adult</v>
      </c>
      <c r="O731">
        <f t="shared" si="59"/>
        <v>13</v>
      </c>
    </row>
    <row r="732" spans="1:15" x14ac:dyDescent="0.3">
      <c r="A732">
        <v>731</v>
      </c>
      <c r="B732">
        <v>0</v>
      </c>
      <c r="C732" t="str">
        <f t="shared" si="55"/>
        <v>No</v>
      </c>
      <c r="D732" t="s">
        <v>956</v>
      </c>
      <c r="E732" t="s">
        <v>1700</v>
      </c>
      <c r="F732" t="str" cm="1">
        <f t="array" ref="F732">IF(OR(COUNTIF(D732,"*"&amp;$T$9:$T$15&amp;"*")),"Female","Male")</f>
        <v>Male</v>
      </c>
      <c r="G732">
        <v>23</v>
      </c>
      <c r="H732">
        <v>0</v>
      </c>
      <c r="I732">
        <v>0</v>
      </c>
      <c r="J732">
        <v>2</v>
      </c>
      <c r="K732">
        <v>13</v>
      </c>
      <c r="L732">
        <f t="shared" si="56"/>
        <v>0</v>
      </c>
      <c r="M732">
        <f t="shared" si="57"/>
        <v>23</v>
      </c>
      <c r="N732" t="str">
        <f t="shared" si="58"/>
        <v>Adult</v>
      </c>
      <c r="O732">
        <f t="shared" si="59"/>
        <v>13</v>
      </c>
    </row>
    <row r="733" spans="1:15" x14ac:dyDescent="0.3">
      <c r="A733">
        <v>732</v>
      </c>
      <c r="B733">
        <v>0</v>
      </c>
      <c r="C733" t="str">
        <f t="shared" si="55"/>
        <v>No</v>
      </c>
      <c r="D733" t="s">
        <v>956</v>
      </c>
      <c r="E733" t="s">
        <v>1701</v>
      </c>
      <c r="F733" t="str" cm="1">
        <f t="array" ref="F733">IF(OR(COUNTIF(D733,"*"&amp;$T$9:$T$15&amp;"*")),"Female","Male")</f>
        <v>Male</v>
      </c>
      <c r="G733">
        <v>28.5</v>
      </c>
      <c r="H733">
        <v>0</v>
      </c>
      <c r="I733">
        <v>0</v>
      </c>
      <c r="J733">
        <v>3</v>
      </c>
      <c r="K733">
        <v>16.100000000000001</v>
      </c>
      <c r="L733">
        <f t="shared" si="56"/>
        <v>0</v>
      </c>
      <c r="M733">
        <f t="shared" si="57"/>
        <v>29</v>
      </c>
      <c r="N733" t="str">
        <f t="shared" si="58"/>
        <v>Adult</v>
      </c>
      <c r="O733">
        <f t="shared" si="59"/>
        <v>16.100000000000001</v>
      </c>
    </row>
    <row r="734" spans="1:15" x14ac:dyDescent="0.3">
      <c r="A734">
        <v>733</v>
      </c>
      <c r="B734">
        <v>0</v>
      </c>
      <c r="C734" t="str">
        <f t="shared" si="55"/>
        <v>No</v>
      </c>
      <c r="D734" t="s">
        <v>958</v>
      </c>
      <c r="E734" t="s">
        <v>1702</v>
      </c>
      <c r="F734" t="str" cm="1">
        <f t="array" ref="F734">IF(OR(COUNTIF(D734,"*"&amp;$T$9:$T$15&amp;"*")),"Female","Male")</f>
        <v>Female</v>
      </c>
      <c r="G734">
        <v>48</v>
      </c>
      <c r="H734">
        <v>1</v>
      </c>
      <c r="I734">
        <v>3</v>
      </c>
      <c r="J734">
        <v>3</v>
      </c>
      <c r="K734">
        <v>34.375</v>
      </c>
      <c r="L734">
        <f t="shared" si="56"/>
        <v>1</v>
      </c>
      <c r="M734">
        <f t="shared" si="57"/>
        <v>48</v>
      </c>
      <c r="N734" t="str">
        <f t="shared" si="58"/>
        <v>Adult</v>
      </c>
      <c r="O734">
        <f t="shared" si="59"/>
        <v>34.380000000000003</v>
      </c>
    </row>
    <row r="735" spans="1:15" x14ac:dyDescent="0.3">
      <c r="A735">
        <v>734</v>
      </c>
      <c r="B735">
        <v>1</v>
      </c>
      <c r="C735" t="str">
        <f t="shared" si="55"/>
        <v>Yes</v>
      </c>
      <c r="D735" t="s">
        <v>956</v>
      </c>
      <c r="E735" t="s">
        <v>1703</v>
      </c>
      <c r="F735" t="str" cm="1">
        <f t="array" ref="F735">IF(OR(COUNTIF(D735,"*"&amp;$T$9:$T$15&amp;"*")),"Female","Male")</f>
        <v>Male</v>
      </c>
      <c r="G735">
        <v>35</v>
      </c>
      <c r="H735">
        <v>0</v>
      </c>
      <c r="I735">
        <v>0</v>
      </c>
      <c r="J735">
        <v>1</v>
      </c>
      <c r="K735">
        <v>512.32920000000001</v>
      </c>
      <c r="L735">
        <f t="shared" si="56"/>
        <v>0</v>
      </c>
      <c r="M735">
        <f t="shared" si="57"/>
        <v>35</v>
      </c>
      <c r="N735" t="str">
        <f t="shared" si="58"/>
        <v>Adult</v>
      </c>
      <c r="O735">
        <f t="shared" si="59"/>
        <v>512.33000000000004</v>
      </c>
    </row>
    <row r="736" spans="1:15" x14ac:dyDescent="0.3">
      <c r="A736">
        <v>735</v>
      </c>
      <c r="B736">
        <v>0</v>
      </c>
      <c r="C736" t="str">
        <f t="shared" si="55"/>
        <v>No</v>
      </c>
      <c r="D736" t="s">
        <v>956</v>
      </c>
      <c r="E736" t="s">
        <v>1704</v>
      </c>
      <c r="F736" t="str" cm="1">
        <f t="array" ref="F736">IF(OR(COUNTIF(D736,"*"&amp;$T$9:$T$15&amp;"*")),"Female","Male")</f>
        <v>Male</v>
      </c>
      <c r="G736">
        <v>20</v>
      </c>
      <c r="H736">
        <v>0</v>
      </c>
      <c r="I736">
        <v>0</v>
      </c>
      <c r="J736">
        <v>3</v>
      </c>
      <c r="K736">
        <v>7.8958000000000004</v>
      </c>
      <c r="L736">
        <f t="shared" si="56"/>
        <v>0</v>
      </c>
      <c r="M736">
        <f t="shared" si="57"/>
        <v>20</v>
      </c>
      <c r="N736" t="str">
        <f t="shared" si="58"/>
        <v>Adult</v>
      </c>
      <c r="O736">
        <f t="shared" si="59"/>
        <v>7.9</v>
      </c>
    </row>
    <row r="737" spans="1:15" x14ac:dyDescent="0.3">
      <c r="A737">
        <v>736</v>
      </c>
      <c r="B737">
        <v>0</v>
      </c>
      <c r="C737" t="str">
        <f t="shared" si="55"/>
        <v>No</v>
      </c>
      <c r="D737" t="s">
        <v>956</v>
      </c>
      <c r="E737" t="s">
        <v>1705</v>
      </c>
      <c r="F737" t="str" cm="1">
        <f t="array" ref="F737">IF(OR(COUNTIF(D737,"*"&amp;$T$9:$T$15&amp;"*")),"Female","Male")</f>
        <v>Male</v>
      </c>
      <c r="G737">
        <v>32</v>
      </c>
      <c r="H737">
        <v>0</v>
      </c>
      <c r="I737">
        <v>0</v>
      </c>
      <c r="J737">
        <v>3</v>
      </c>
      <c r="K737">
        <v>7.8958000000000004</v>
      </c>
      <c r="L737">
        <f t="shared" si="56"/>
        <v>0</v>
      </c>
      <c r="M737">
        <f t="shared" si="57"/>
        <v>32</v>
      </c>
      <c r="N737" t="str">
        <f t="shared" si="58"/>
        <v>Adult</v>
      </c>
      <c r="O737">
        <f t="shared" si="59"/>
        <v>7.9</v>
      </c>
    </row>
    <row r="738" spans="1:15" x14ac:dyDescent="0.3">
      <c r="A738">
        <v>737</v>
      </c>
      <c r="B738">
        <v>1</v>
      </c>
      <c r="C738" t="str">
        <f t="shared" si="55"/>
        <v>Yes</v>
      </c>
      <c r="D738" t="s">
        <v>956</v>
      </c>
      <c r="E738" t="s">
        <v>1706</v>
      </c>
      <c r="F738" t="str" cm="1">
        <f t="array" ref="F738">IF(OR(COUNTIF(D738,"*"&amp;$T$9:$T$15&amp;"*")),"Female","Male")</f>
        <v>Male</v>
      </c>
      <c r="G738">
        <v>45</v>
      </c>
      <c r="H738">
        <v>0</v>
      </c>
      <c r="I738">
        <v>0</v>
      </c>
      <c r="J738">
        <v>1</v>
      </c>
      <c r="K738">
        <v>30</v>
      </c>
      <c r="L738">
        <f t="shared" si="56"/>
        <v>0</v>
      </c>
      <c r="M738">
        <f t="shared" si="57"/>
        <v>45</v>
      </c>
      <c r="N738" t="str">
        <f t="shared" si="58"/>
        <v>Adult</v>
      </c>
      <c r="O738">
        <f t="shared" si="59"/>
        <v>30</v>
      </c>
    </row>
    <row r="739" spans="1:15" x14ac:dyDescent="0.3">
      <c r="A739">
        <v>738</v>
      </c>
      <c r="B739">
        <v>0</v>
      </c>
      <c r="C739" t="str">
        <f t="shared" si="55"/>
        <v>No</v>
      </c>
      <c r="D739" t="s">
        <v>956</v>
      </c>
      <c r="E739" t="s">
        <v>1707</v>
      </c>
      <c r="F739" t="str" cm="1">
        <f t="array" ref="F739">IF(OR(COUNTIF(D739,"*"&amp;$T$9:$T$15&amp;"*")),"Female","Male")</f>
        <v>Male</v>
      </c>
      <c r="G739">
        <v>36</v>
      </c>
      <c r="H739">
        <v>1</v>
      </c>
      <c r="I739">
        <v>0</v>
      </c>
      <c r="J739">
        <v>1</v>
      </c>
      <c r="K739">
        <v>78.849999999999994</v>
      </c>
      <c r="L739">
        <f t="shared" si="56"/>
        <v>0</v>
      </c>
      <c r="M739">
        <f t="shared" si="57"/>
        <v>36</v>
      </c>
      <c r="N739" t="str">
        <f t="shared" si="58"/>
        <v>Adult</v>
      </c>
      <c r="O739">
        <f t="shared" si="59"/>
        <v>78.849999999999994</v>
      </c>
    </row>
    <row r="740" spans="1:15" x14ac:dyDescent="0.3">
      <c r="A740">
        <v>739</v>
      </c>
      <c r="B740">
        <v>1</v>
      </c>
      <c r="C740" t="str">
        <f t="shared" si="55"/>
        <v>Yes</v>
      </c>
      <c r="D740" t="s">
        <v>960</v>
      </c>
      <c r="E740" t="s">
        <v>1708</v>
      </c>
      <c r="F740" t="str" cm="1">
        <f t="array" ref="F740">IF(OR(COUNTIF(D740,"*"&amp;$T$9:$T$15&amp;"*")),"Female","Male")</f>
        <v>Female</v>
      </c>
      <c r="G740">
        <v>21</v>
      </c>
      <c r="H740">
        <v>2</v>
      </c>
      <c r="I740">
        <v>2</v>
      </c>
      <c r="J740">
        <v>1</v>
      </c>
      <c r="K740">
        <v>262.375</v>
      </c>
      <c r="L740">
        <f t="shared" si="56"/>
        <v>1</v>
      </c>
      <c r="M740">
        <f t="shared" si="57"/>
        <v>21</v>
      </c>
      <c r="N740" t="str">
        <f t="shared" si="58"/>
        <v>Adult</v>
      </c>
      <c r="O740">
        <f t="shared" si="59"/>
        <v>262.38</v>
      </c>
    </row>
    <row r="741" spans="1:15" x14ac:dyDescent="0.3">
      <c r="A741">
        <v>740</v>
      </c>
      <c r="B741">
        <v>0</v>
      </c>
      <c r="C741" t="str">
        <f t="shared" si="55"/>
        <v>No</v>
      </c>
      <c r="D741" t="s">
        <v>956</v>
      </c>
      <c r="E741" t="s">
        <v>1709</v>
      </c>
      <c r="F741" t="str" cm="1">
        <f t="array" ref="F741">IF(OR(COUNTIF(D741,"*"&amp;$T$9:$T$15&amp;"*")),"Female","Male")</f>
        <v>Male</v>
      </c>
      <c r="G741">
        <v>24</v>
      </c>
      <c r="H741">
        <v>1</v>
      </c>
      <c r="I741">
        <v>0</v>
      </c>
      <c r="J741">
        <v>3</v>
      </c>
      <c r="K741">
        <v>16.100000000000001</v>
      </c>
      <c r="L741">
        <f t="shared" si="56"/>
        <v>0</v>
      </c>
      <c r="M741">
        <f t="shared" si="57"/>
        <v>24</v>
      </c>
      <c r="N741" t="str">
        <f t="shared" si="58"/>
        <v>Adult</v>
      </c>
      <c r="O741">
        <f t="shared" si="59"/>
        <v>16.100000000000001</v>
      </c>
    </row>
    <row r="742" spans="1:15" x14ac:dyDescent="0.3">
      <c r="A742">
        <v>741</v>
      </c>
      <c r="B742">
        <v>1</v>
      </c>
      <c r="C742" t="str">
        <f t="shared" si="55"/>
        <v>Yes</v>
      </c>
      <c r="D742" t="s">
        <v>956</v>
      </c>
      <c r="E742" t="s">
        <v>1710</v>
      </c>
      <c r="F742" t="str" cm="1">
        <f t="array" ref="F742">IF(OR(COUNTIF(D742,"*"&amp;$T$9:$T$15&amp;"*")),"Female","Male")</f>
        <v>Male</v>
      </c>
      <c r="G742">
        <v>31</v>
      </c>
      <c r="H742">
        <v>0</v>
      </c>
      <c r="I742">
        <v>0</v>
      </c>
      <c r="J742">
        <v>3</v>
      </c>
      <c r="K742">
        <v>7.9249999999999998</v>
      </c>
      <c r="L742">
        <f t="shared" si="56"/>
        <v>0</v>
      </c>
      <c r="M742">
        <f t="shared" si="57"/>
        <v>31</v>
      </c>
      <c r="N742" t="str">
        <f t="shared" si="58"/>
        <v>Adult</v>
      </c>
      <c r="O742">
        <f t="shared" si="59"/>
        <v>7.93</v>
      </c>
    </row>
    <row r="743" spans="1:15" x14ac:dyDescent="0.3">
      <c r="A743">
        <v>742</v>
      </c>
      <c r="B743">
        <v>0</v>
      </c>
      <c r="C743" t="str">
        <f t="shared" si="55"/>
        <v>No</v>
      </c>
      <c r="D743" t="s">
        <v>1711</v>
      </c>
      <c r="E743" t="s">
        <v>1712</v>
      </c>
      <c r="F743" t="str" cm="1">
        <f t="array" ref="F743">IF(OR(COUNTIF(D743,"*"&amp;$T$9:$T$15&amp;"*")),"Female","Male")</f>
        <v>Male</v>
      </c>
      <c r="G743">
        <v>70</v>
      </c>
      <c r="H743">
        <v>1</v>
      </c>
      <c r="I743">
        <v>1</v>
      </c>
      <c r="J743">
        <v>1</v>
      </c>
      <c r="K743">
        <v>71</v>
      </c>
      <c r="L743">
        <f t="shared" si="56"/>
        <v>0</v>
      </c>
      <c r="M743">
        <f t="shared" si="57"/>
        <v>70</v>
      </c>
      <c r="N743" t="str">
        <f t="shared" si="58"/>
        <v>Adult</v>
      </c>
      <c r="O743">
        <f t="shared" si="59"/>
        <v>71</v>
      </c>
    </row>
    <row r="744" spans="1:15" x14ac:dyDescent="0.3">
      <c r="A744">
        <v>743</v>
      </c>
      <c r="B744">
        <v>0</v>
      </c>
      <c r="C744" t="str">
        <f t="shared" si="55"/>
        <v>No</v>
      </c>
      <c r="D744" t="s">
        <v>956</v>
      </c>
      <c r="E744" t="s">
        <v>1713</v>
      </c>
      <c r="F744" t="str" cm="1">
        <f t="array" ref="F744">IF(OR(COUNTIF(D744,"*"&amp;$T$9:$T$15&amp;"*")),"Female","Male")</f>
        <v>Male</v>
      </c>
      <c r="G744">
        <v>16</v>
      </c>
      <c r="H744">
        <v>1</v>
      </c>
      <c r="I744">
        <v>1</v>
      </c>
      <c r="J744">
        <v>3</v>
      </c>
      <c r="K744">
        <v>20.25</v>
      </c>
      <c r="L744">
        <f t="shared" si="56"/>
        <v>0</v>
      </c>
      <c r="M744">
        <f t="shared" si="57"/>
        <v>16</v>
      </c>
      <c r="N744" t="str">
        <f t="shared" si="58"/>
        <v>Child</v>
      </c>
      <c r="O744">
        <f t="shared" si="59"/>
        <v>20.25</v>
      </c>
    </row>
    <row r="745" spans="1:15" x14ac:dyDescent="0.3">
      <c r="A745">
        <v>744</v>
      </c>
      <c r="B745">
        <v>1</v>
      </c>
      <c r="C745" t="str">
        <f t="shared" si="55"/>
        <v>Yes</v>
      </c>
      <c r="D745" t="s">
        <v>960</v>
      </c>
      <c r="E745" t="s">
        <v>1714</v>
      </c>
      <c r="F745" t="str" cm="1">
        <f t="array" ref="F745">IF(OR(COUNTIF(D745,"*"&amp;$T$9:$T$15&amp;"*")),"Female","Male")</f>
        <v>Female</v>
      </c>
      <c r="G745">
        <v>30</v>
      </c>
      <c r="H745">
        <v>0</v>
      </c>
      <c r="I745">
        <v>0</v>
      </c>
      <c r="J745">
        <v>2</v>
      </c>
      <c r="K745">
        <v>13</v>
      </c>
      <c r="L745">
        <f t="shared" si="56"/>
        <v>1</v>
      </c>
      <c r="M745">
        <f t="shared" si="57"/>
        <v>30</v>
      </c>
      <c r="N745" t="str">
        <f t="shared" si="58"/>
        <v>Adult</v>
      </c>
      <c r="O745">
        <f t="shared" si="59"/>
        <v>13</v>
      </c>
    </row>
    <row r="746" spans="1:15" x14ac:dyDescent="0.3">
      <c r="A746">
        <v>745</v>
      </c>
      <c r="B746">
        <v>0</v>
      </c>
      <c r="C746" t="str">
        <f t="shared" si="55"/>
        <v>No</v>
      </c>
      <c r="D746" t="s">
        <v>956</v>
      </c>
      <c r="E746" t="s">
        <v>1715</v>
      </c>
      <c r="F746" t="str" cm="1">
        <f t="array" ref="F746">IF(OR(COUNTIF(D746,"*"&amp;$T$9:$T$15&amp;"*")),"Female","Male")</f>
        <v>Male</v>
      </c>
      <c r="G746">
        <v>19</v>
      </c>
      <c r="H746">
        <v>1</v>
      </c>
      <c r="I746">
        <v>0</v>
      </c>
      <c r="J746">
        <v>1</v>
      </c>
      <c r="K746">
        <v>53.1</v>
      </c>
      <c r="L746">
        <f t="shared" si="56"/>
        <v>0</v>
      </c>
      <c r="M746">
        <f t="shared" si="57"/>
        <v>19</v>
      </c>
      <c r="N746" t="str">
        <f t="shared" si="58"/>
        <v>Adult</v>
      </c>
      <c r="O746">
        <f t="shared" si="59"/>
        <v>53.1</v>
      </c>
    </row>
    <row r="747" spans="1:15" x14ac:dyDescent="0.3">
      <c r="A747">
        <v>746</v>
      </c>
      <c r="B747">
        <v>0</v>
      </c>
      <c r="C747" t="str">
        <f t="shared" si="55"/>
        <v>No</v>
      </c>
      <c r="D747" t="s">
        <v>956</v>
      </c>
      <c r="E747" t="s">
        <v>1716</v>
      </c>
      <c r="F747" t="str" cm="1">
        <f t="array" ref="F747">IF(OR(COUNTIF(D747,"*"&amp;$T$9:$T$15&amp;"*")),"Female","Male")</f>
        <v>Male</v>
      </c>
      <c r="G747">
        <v>31</v>
      </c>
      <c r="H747">
        <v>0</v>
      </c>
      <c r="I747">
        <v>0</v>
      </c>
      <c r="J747">
        <v>3</v>
      </c>
      <c r="K747">
        <v>7.75</v>
      </c>
      <c r="L747">
        <f t="shared" si="56"/>
        <v>0</v>
      </c>
      <c r="M747">
        <f t="shared" si="57"/>
        <v>31</v>
      </c>
      <c r="N747" t="str">
        <f t="shared" si="58"/>
        <v>Adult</v>
      </c>
      <c r="O747">
        <f t="shared" si="59"/>
        <v>7.75</v>
      </c>
    </row>
    <row r="748" spans="1:15" x14ac:dyDescent="0.3">
      <c r="A748">
        <v>747</v>
      </c>
      <c r="B748">
        <v>1</v>
      </c>
      <c r="C748" t="str">
        <f t="shared" si="55"/>
        <v>Yes</v>
      </c>
      <c r="D748" t="s">
        <v>960</v>
      </c>
      <c r="E748" t="s">
        <v>1717</v>
      </c>
      <c r="F748" t="str" cm="1">
        <f t="array" ref="F748">IF(OR(COUNTIF(D748,"*"&amp;$T$9:$T$15&amp;"*")),"Female","Male")</f>
        <v>Female</v>
      </c>
      <c r="G748">
        <v>4</v>
      </c>
      <c r="H748">
        <v>1</v>
      </c>
      <c r="I748">
        <v>1</v>
      </c>
      <c r="J748">
        <v>2</v>
      </c>
      <c r="K748">
        <v>23</v>
      </c>
      <c r="L748">
        <f t="shared" si="56"/>
        <v>1</v>
      </c>
      <c r="M748">
        <f t="shared" si="57"/>
        <v>4</v>
      </c>
      <c r="N748" t="str">
        <f t="shared" si="58"/>
        <v>Child</v>
      </c>
      <c r="O748">
        <f t="shared" si="59"/>
        <v>23</v>
      </c>
    </row>
    <row r="749" spans="1:15" x14ac:dyDescent="0.3">
      <c r="A749">
        <v>748</v>
      </c>
      <c r="B749">
        <v>1</v>
      </c>
      <c r="C749" t="str">
        <f t="shared" si="55"/>
        <v>Yes</v>
      </c>
      <c r="D749" t="s">
        <v>966</v>
      </c>
      <c r="E749" t="s">
        <v>1718</v>
      </c>
      <c r="F749" t="str" cm="1">
        <f t="array" ref="F749">IF(OR(COUNTIF(D749,"*"&amp;$T$9:$T$15&amp;"*")),"Female","Male")</f>
        <v>Male</v>
      </c>
      <c r="G749">
        <v>6</v>
      </c>
      <c r="H749">
        <v>0</v>
      </c>
      <c r="I749">
        <v>1</v>
      </c>
      <c r="J749">
        <v>3</v>
      </c>
      <c r="K749">
        <v>12.475</v>
      </c>
      <c r="L749">
        <f t="shared" si="56"/>
        <v>0</v>
      </c>
      <c r="M749">
        <f t="shared" si="57"/>
        <v>6</v>
      </c>
      <c r="N749" t="str">
        <f t="shared" si="58"/>
        <v>Child</v>
      </c>
      <c r="O749">
        <f t="shared" si="59"/>
        <v>12.48</v>
      </c>
    </row>
    <row r="750" spans="1:15" x14ac:dyDescent="0.3">
      <c r="A750">
        <v>749</v>
      </c>
      <c r="B750">
        <v>0</v>
      </c>
      <c r="C750" t="str">
        <f t="shared" si="55"/>
        <v>No</v>
      </c>
      <c r="D750" t="s">
        <v>956</v>
      </c>
      <c r="E750" t="s">
        <v>1719</v>
      </c>
      <c r="F750" t="str" cm="1">
        <f t="array" ref="F750">IF(OR(COUNTIF(D750,"*"&amp;$T$9:$T$15&amp;"*")),"Female","Male")</f>
        <v>Male</v>
      </c>
      <c r="G750">
        <v>33</v>
      </c>
      <c r="H750">
        <v>0</v>
      </c>
      <c r="I750">
        <v>0</v>
      </c>
      <c r="J750">
        <v>3</v>
      </c>
      <c r="K750">
        <v>9.5</v>
      </c>
      <c r="L750">
        <f t="shared" si="56"/>
        <v>0</v>
      </c>
      <c r="M750">
        <f t="shared" si="57"/>
        <v>33</v>
      </c>
      <c r="N750" t="str">
        <f t="shared" si="58"/>
        <v>Adult</v>
      </c>
      <c r="O750">
        <f t="shared" si="59"/>
        <v>9.5</v>
      </c>
    </row>
    <row r="751" spans="1:15" x14ac:dyDescent="0.3">
      <c r="A751">
        <v>750</v>
      </c>
      <c r="B751">
        <v>0</v>
      </c>
      <c r="C751" t="str">
        <f t="shared" si="55"/>
        <v>No</v>
      </c>
      <c r="D751" t="s">
        <v>956</v>
      </c>
      <c r="E751" t="s">
        <v>1720</v>
      </c>
      <c r="F751" t="str" cm="1">
        <f t="array" ref="F751">IF(OR(COUNTIF(D751,"*"&amp;$T$9:$T$15&amp;"*")),"Female","Male")</f>
        <v>Male</v>
      </c>
      <c r="G751">
        <v>23</v>
      </c>
      <c r="H751">
        <v>0</v>
      </c>
      <c r="I751">
        <v>0</v>
      </c>
      <c r="J751">
        <v>3</v>
      </c>
      <c r="K751">
        <v>7.8958000000000004</v>
      </c>
      <c r="L751">
        <f t="shared" si="56"/>
        <v>0</v>
      </c>
      <c r="M751">
        <f t="shared" si="57"/>
        <v>23</v>
      </c>
      <c r="N751" t="str">
        <f t="shared" si="58"/>
        <v>Adult</v>
      </c>
      <c r="O751">
        <f t="shared" si="59"/>
        <v>7.9</v>
      </c>
    </row>
    <row r="752" spans="1:15" x14ac:dyDescent="0.3">
      <c r="A752">
        <v>751</v>
      </c>
      <c r="B752">
        <v>1</v>
      </c>
      <c r="C752" t="str">
        <f t="shared" si="55"/>
        <v>Yes</v>
      </c>
      <c r="D752" t="s">
        <v>958</v>
      </c>
      <c r="E752" t="s">
        <v>1721</v>
      </c>
      <c r="F752" t="str" cm="1">
        <f t="array" ref="F752">IF(OR(COUNTIF(D752,"*"&amp;$T$9:$T$15&amp;"*")),"Female","Male")</f>
        <v>Female</v>
      </c>
      <c r="G752">
        <v>48</v>
      </c>
      <c r="H752">
        <v>1</v>
      </c>
      <c r="I752">
        <v>2</v>
      </c>
      <c r="J752">
        <v>2</v>
      </c>
      <c r="K752">
        <v>65</v>
      </c>
      <c r="L752">
        <f t="shared" si="56"/>
        <v>1</v>
      </c>
      <c r="M752">
        <f t="shared" si="57"/>
        <v>48</v>
      </c>
      <c r="N752" t="str">
        <f t="shared" si="58"/>
        <v>Adult</v>
      </c>
      <c r="O752">
        <f t="shared" si="59"/>
        <v>65</v>
      </c>
    </row>
    <row r="753" spans="1:15" x14ac:dyDescent="0.3">
      <c r="A753">
        <v>752</v>
      </c>
      <c r="B753">
        <v>1</v>
      </c>
      <c r="C753" t="str">
        <f t="shared" si="55"/>
        <v>Yes</v>
      </c>
      <c r="D753" t="s">
        <v>966</v>
      </c>
      <c r="E753" t="s">
        <v>1722</v>
      </c>
      <c r="F753" t="str" cm="1">
        <f t="array" ref="F753">IF(OR(COUNTIF(D753,"*"&amp;$T$9:$T$15&amp;"*")),"Female","Male")</f>
        <v>Male</v>
      </c>
      <c r="G753">
        <v>0.67</v>
      </c>
      <c r="H753">
        <v>1</v>
      </c>
      <c r="I753">
        <v>1</v>
      </c>
      <c r="J753">
        <v>2</v>
      </c>
      <c r="K753">
        <v>14.5</v>
      </c>
      <c r="L753">
        <f t="shared" si="56"/>
        <v>0</v>
      </c>
      <c r="M753">
        <f t="shared" si="57"/>
        <v>1</v>
      </c>
      <c r="N753" t="str">
        <f t="shared" si="58"/>
        <v>Child</v>
      </c>
      <c r="O753">
        <f t="shared" si="59"/>
        <v>14.5</v>
      </c>
    </row>
    <row r="754" spans="1:15" x14ac:dyDescent="0.3">
      <c r="A754">
        <v>753</v>
      </c>
      <c r="B754">
        <v>0</v>
      </c>
      <c r="C754" t="str">
        <f t="shared" si="55"/>
        <v>No</v>
      </c>
      <c r="D754" t="s">
        <v>956</v>
      </c>
      <c r="E754" t="s">
        <v>1723</v>
      </c>
      <c r="F754" t="str" cm="1">
        <f t="array" ref="F754">IF(OR(COUNTIF(D754,"*"&amp;$T$9:$T$15&amp;"*")),"Female","Male")</f>
        <v>Male</v>
      </c>
      <c r="G754">
        <v>28</v>
      </c>
      <c r="H754">
        <v>0</v>
      </c>
      <c r="I754">
        <v>0</v>
      </c>
      <c r="J754">
        <v>3</v>
      </c>
      <c r="K754">
        <v>7.7957999999999998</v>
      </c>
      <c r="L754">
        <f t="shared" si="56"/>
        <v>0</v>
      </c>
      <c r="M754">
        <f t="shared" si="57"/>
        <v>28</v>
      </c>
      <c r="N754" t="str">
        <f t="shared" si="58"/>
        <v>Adult</v>
      </c>
      <c r="O754">
        <f t="shared" si="59"/>
        <v>7.8</v>
      </c>
    </row>
    <row r="755" spans="1:15" x14ac:dyDescent="0.3">
      <c r="A755">
        <v>754</v>
      </c>
      <c r="B755">
        <v>0</v>
      </c>
      <c r="C755" t="str">
        <f t="shared" si="55"/>
        <v>No</v>
      </c>
      <c r="D755" t="s">
        <v>956</v>
      </c>
      <c r="E755" t="s">
        <v>1724</v>
      </c>
      <c r="F755" t="str" cm="1">
        <f t="array" ref="F755">IF(OR(COUNTIF(D755,"*"&amp;$T$9:$T$15&amp;"*")),"Female","Male")</f>
        <v>Male</v>
      </c>
      <c r="G755">
        <v>18</v>
      </c>
      <c r="H755">
        <v>0</v>
      </c>
      <c r="I755">
        <v>0</v>
      </c>
      <c r="J755">
        <v>2</v>
      </c>
      <c r="K755">
        <v>11.5</v>
      </c>
      <c r="L755">
        <f t="shared" si="56"/>
        <v>0</v>
      </c>
      <c r="M755">
        <f t="shared" si="57"/>
        <v>18</v>
      </c>
      <c r="N755" t="str">
        <f t="shared" si="58"/>
        <v>Adult</v>
      </c>
      <c r="O755">
        <f t="shared" si="59"/>
        <v>11.5</v>
      </c>
    </row>
    <row r="756" spans="1:15" x14ac:dyDescent="0.3">
      <c r="A756">
        <v>755</v>
      </c>
      <c r="B756">
        <v>0</v>
      </c>
      <c r="C756" t="str">
        <f t="shared" si="55"/>
        <v>No</v>
      </c>
      <c r="D756" t="s">
        <v>956</v>
      </c>
      <c r="E756" t="s">
        <v>1725</v>
      </c>
      <c r="F756" t="str" cm="1">
        <f t="array" ref="F756">IF(OR(COUNTIF(D756,"*"&amp;$T$9:$T$15&amp;"*")),"Female","Male")</f>
        <v>Male</v>
      </c>
      <c r="G756">
        <v>34</v>
      </c>
      <c r="H756">
        <v>0</v>
      </c>
      <c r="I756">
        <v>0</v>
      </c>
      <c r="J756">
        <v>3</v>
      </c>
      <c r="K756">
        <v>8.0500000000000007</v>
      </c>
      <c r="L756">
        <f t="shared" si="56"/>
        <v>0</v>
      </c>
      <c r="M756">
        <f t="shared" si="57"/>
        <v>34</v>
      </c>
      <c r="N756" t="str">
        <f t="shared" si="58"/>
        <v>Adult</v>
      </c>
      <c r="O756">
        <f t="shared" si="59"/>
        <v>8.0500000000000007</v>
      </c>
    </row>
    <row r="757" spans="1:15" x14ac:dyDescent="0.3">
      <c r="A757">
        <v>756</v>
      </c>
      <c r="B757">
        <v>1</v>
      </c>
      <c r="C757" t="str">
        <f t="shared" si="55"/>
        <v>Yes</v>
      </c>
      <c r="D757" t="s">
        <v>1726</v>
      </c>
      <c r="E757" t="s">
        <v>1727</v>
      </c>
      <c r="F757" t="str" cm="1">
        <f t="array" ref="F757">IF(OR(COUNTIF(D757,"*"&amp;$T$9:$T$15&amp;"*")),"Female","Male")</f>
        <v>Female</v>
      </c>
      <c r="G757">
        <v>33</v>
      </c>
      <c r="H757">
        <v>0</v>
      </c>
      <c r="I757">
        <v>0</v>
      </c>
      <c r="J757">
        <v>1</v>
      </c>
      <c r="K757">
        <v>86.5</v>
      </c>
      <c r="L757">
        <f t="shared" si="56"/>
        <v>1</v>
      </c>
      <c r="M757">
        <f t="shared" si="57"/>
        <v>33</v>
      </c>
      <c r="N757" t="str">
        <f t="shared" si="58"/>
        <v>Adult</v>
      </c>
      <c r="O757">
        <f t="shared" si="59"/>
        <v>86.5</v>
      </c>
    </row>
    <row r="758" spans="1:15" x14ac:dyDescent="0.3">
      <c r="A758">
        <v>757</v>
      </c>
      <c r="B758">
        <v>0</v>
      </c>
      <c r="C758" t="str">
        <f t="shared" si="55"/>
        <v>No</v>
      </c>
      <c r="D758" t="s">
        <v>956</v>
      </c>
      <c r="E758" t="s">
        <v>1728</v>
      </c>
      <c r="F758" t="str" cm="1">
        <f t="array" ref="F758">IF(OR(COUNTIF(D758,"*"&amp;$T$9:$T$15&amp;"*")),"Female","Male")</f>
        <v>Male</v>
      </c>
      <c r="G758">
        <v>23</v>
      </c>
      <c r="H758">
        <v>0</v>
      </c>
      <c r="I758">
        <v>0</v>
      </c>
      <c r="J758">
        <v>3</v>
      </c>
      <c r="K758">
        <v>14.5</v>
      </c>
      <c r="L758">
        <f t="shared" si="56"/>
        <v>0</v>
      </c>
      <c r="M758">
        <f t="shared" si="57"/>
        <v>23</v>
      </c>
      <c r="N758" t="str">
        <f t="shared" si="58"/>
        <v>Adult</v>
      </c>
      <c r="O758">
        <f t="shared" si="59"/>
        <v>14.5</v>
      </c>
    </row>
    <row r="759" spans="1:15" x14ac:dyDescent="0.3">
      <c r="A759">
        <v>758</v>
      </c>
      <c r="B759">
        <v>0</v>
      </c>
      <c r="C759" t="str">
        <f t="shared" si="55"/>
        <v>No</v>
      </c>
      <c r="D759" t="s">
        <v>956</v>
      </c>
      <c r="E759" t="s">
        <v>1729</v>
      </c>
      <c r="F759" t="str" cm="1">
        <f t="array" ref="F759">IF(OR(COUNTIF(D759,"*"&amp;$T$9:$T$15&amp;"*")),"Female","Male")</f>
        <v>Male</v>
      </c>
      <c r="G759">
        <v>41</v>
      </c>
      <c r="H759">
        <v>0</v>
      </c>
      <c r="I759">
        <v>0</v>
      </c>
      <c r="J759">
        <v>3</v>
      </c>
      <c r="K759">
        <v>7.125</v>
      </c>
      <c r="L759">
        <f t="shared" si="56"/>
        <v>0</v>
      </c>
      <c r="M759">
        <f t="shared" si="57"/>
        <v>41</v>
      </c>
      <c r="N759" t="str">
        <f t="shared" si="58"/>
        <v>Adult</v>
      </c>
      <c r="O759">
        <f t="shared" si="59"/>
        <v>7.13</v>
      </c>
    </row>
    <row r="760" spans="1:15" x14ac:dyDescent="0.3">
      <c r="A760">
        <v>759</v>
      </c>
      <c r="B760">
        <v>1</v>
      </c>
      <c r="C760" t="str">
        <f t="shared" si="55"/>
        <v>Yes</v>
      </c>
      <c r="D760" t="s">
        <v>956</v>
      </c>
      <c r="E760" t="s">
        <v>1730</v>
      </c>
      <c r="F760" t="str" cm="1">
        <f t="array" ref="F760">IF(OR(COUNTIF(D760,"*"&amp;$T$9:$T$15&amp;"*")),"Female","Male")</f>
        <v>Male</v>
      </c>
      <c r="G760">
        <v>20</v>
      </c>
      <c r="H760">
        <v>0</v>
      </c>
      <c r="I760">
        <v>0</v>
      </c>
      <c r="J760">
        <v>3</v>
      </c>
      <c r="K760">
        <v>7.2291999999999996</v>
      </c>
      <c r="L760">
        <f t="shared" si="56"/>
        <v>0</v>
      </c>
      <c r="M760">
        <f t="shared" si="57"/>
        <v>20</v>
      </c>
      <c r="N760" t="str">
        <f t="shared" si="58"/>
        <v>Adult</v>
      </c>
      <c r="O760">
        <f t="shared" si="59"/>
        <v>7.23</v>
      </c>
    </row>
    <row r="761" spans="1:15" x14ac:dyDescent="0.3">
      <c r="A761">
        <v>760</v>
      </c>
      <c r="B761">
        <v>1</v>
      </c>
      <c r="C761" t="str">
        <f t="shared" si="55"/>
        <v>Yes</v>
      </c>
      <c r="D761" t="s">
        <v>958</v>
      </c>
      <c r="E761" t="s">
        <v>1731</v>
      </c>
      <c r="F761" t="str" cm="1">
        <f t="array" ref="F761">IF(OR(COUNTIF(D761,"*"&amp;$T$9:$T$15&amp;"*")),"Female","Male")</f>
        <v>Female</v>
      </c>
      <c r="G761">
        <v>36</v>
      </c>
      <c r="H761">
        <v>1</v>
      </c>
      <c r="I761">
        <v>2</v>
      </c>
      <c r="J761">
        <v>1</v>
      </c>
      <c r="K761">
        <v>120</v>
      </c>
      <c r="L761">
        <f t="shared" si="56"/>
        <v>1</v>
      </c>
      <c r="M761">
        <f t="shared" si="57"/>
        <v>36</v>
      </c>
      <c r="N761" t="str">
        <f t="shared" si="58"/>
        <v>Adult</v>
      </c>
      <c r="O761">
        <f t="shared" si="59"/>
        <v>120</v>
      </c>
    </row>
    <row r="762" spans="1:15" x14ac:dyDescent="0.3">
      <c r="A762">
        <v>761</v>
      </c>
      <c r="B762">
        <v>0</v>
      </c>
      <c r="C762" t="str">
        <f t="shared" si="55"/>
        <v>No</v>
      </c>
      <c r="D762" t="s">
        <v>956</v>
      </c>
      <c r="E762" t="s">
        <v>1732</v>
      </c>
      <c r="F762" t="str" cm="1">
        <f t="array" ref="F762">IF(OR(COUNTIF(D762,"*"&amp;$T$9:$T$15&amp;"*")),"Female","Male")</f>
        <v>Male</v>
      </c>
      <c r="G762">
        <v>16</v>
      </c>
      <c r="H762">
        <v>0</v>
      </c>
      <c r="I762">
        <v>0</v>
      </c>
      <c r="J762">
        <v>3</v>
      </c>
      <c r="K762">
        <v>7.7750000000000004</v>
      </c>
      <c r="L762">
        <f t="shared" si="56"/>
        <v>0</v>
      </c>
      <c r="M762">
        <f t="shared" si="57"/>
        <v>16</v>
      </c>
      <c r="N762" t="str">
        <f t="shared" si="58"/>
        <v>Child</v>
      </c>
      <c r="O762">
        <f t="shared" si="59"/>
        <v>7.78</v>
      </c>
    </row>
    <row r="763" spans="1:15" x14ac:dyDescent="0.3">
      <c r="A763">
        <v>762</v>
      </c>
      <c r="B763">
        <v>1</v>
      </c>
      <c r="C763" t="str">
        <f t="shared" si="55"/>
        <v>Yes</v>
      </c>
      <c r="D763" t="s">
        <v>958</v>
      </c>
      <c r="E763" t="s">
        <v>1733</v>
      </c>
      <c r="F763" t="str" cm="1">
        <f t="array" ref="F763">IF(OR(COUNTIF(D763,"*"&amp;$T$9:$T$15&amp;"*")),"Female","Male")</f>
        <v>Female</v>
      </c>
      <c r="G763">
        <v>51</v>
      </c>
      <c r="H763">
        <v>1</v>
      </c>
      <c r="I763">
        <v>0</v>
      </c>
      <c r="J763">
        <v>1</v>
      </c>
      <c r="K763">
        <v>77.958299999999994</v>
      </c>
      <c r="L763">
        <f t="shared" si="56"/>
        <v>1</v>
      </c>
      <c r="M763">
        <f t="shared" si="57"/>
        <v>51</v>
      </c>
      <c r="N763" t="str">
        <f t="shared" si="58"/>
        <v>Adult</v>
      </c>
      <c r="O763">
        <f t="shared" si="59"/>
        <v>77.959999999999994</v>
      </c>
    </row>
    <row r="764" spans="1:15" x14ac:dyDescent="0.3">
      <c r="A764">
        <v>763</v>
      </c>
      <c r="B764">
        <v>0</v>
      </c>
      <c r="C764" t="str">
        <f t="shared" si="55"/>
        <v>No</v>
      </c>
      <c r="D764" t="s">
        <v>1206</v>
      </c>
      <c r="E764" t="s">
        <v>1734</v>
      </c>
      <c r="F764" t="str" cm="1">
        <f t="array" ref="F764">IF(OR(COUNTIF(D764,"*"&amp;$T$9:$T$15&amp;"*")),"Female","Male")</f>
        <v>Male</v>
      </c>
      <c r="G764">
        <v>46</v>
      </c>
      <c r="H764">
        <v>0</v>
      </c>
      <c r="I764">
        <v>0</v>
      </c>
      <c r="J764">
        <v>1</v>
      </c>
      <c r="K764">
        <v>39.6</v>
      </c>
      <c r="L764">
        <f t="shared" si="56"/>
        <v>0</v>
      </c>
      <c r="M764">
        <f t="shared" si="57"/>
        <v>46</v>
      </c>
      <c r="N764" t="str">
        <f t="shared" si="58"/>
        <v>Adult</v>
      </c>
      <c r="O764">
        <f t="shared" si="59"/>
        <v>39.6</v>
      </c>
    </row>
    <row r="765" spans="1:15" x14ac:dyDescent="0.3">
      <c r="A765">
        <v>764</v>
      </c>
      <c r="B765">
        <v>0</v>
      </c>
      <c r="C765" t="str">
        <f t="shared" si="55"/>
        <v>No</v>
      </c>
      <c r="D765" t="s">
        <v>960</v>
      </c>
      <c r="E765" t="s">
        <v>1735</v>
      </c>
      <c r="F765" t="str" cm="1">
        <f t="array" ref="F765">IF(OR(COUNTIF(D765,"*"&amp;$T$9:$T$15&amp;"*")),"Female","Male")</f>
        <v>Female</v>
      </c>
      <c r="G765">
        <v>30.5</v>
      </c>
      <c r="H765">
        <v>0</v>
      </c>
      <c r="I765">
        <v>0</v>
      </c>
      <c r="J765">
        <v>3</v>
      </c>
      <c r="K765">
        <v>7.75</v>
      </c>
      <c r="L765">
        <f t="shared" si="56"/>
        <v>1</v>
      </c>
      <c r="M765">
        <f t="shared" si="57"/>
        <v>31</v>
      </c>
      <c r="N765" t="str">
        <f t="shared" si="58"/>
        <v>Adult</v>
      </c>
      <c r="O765">
        <f t="shared" si="59"/>
        <v>7.75</v>
      </c>
    </row>
    <row r="766" spans="1:15" x14ac:dyDescent="0.3">
      <c r="A766">
        <v>765</v>
      </c>
      <c r="B766">
        <v>0</v>
      </c>
      <c r="C766" t="str">
        <f t="shared" si="55"/>
        <v>No</v>
      </c>
      <c r="D766" t="s">
        <v>956</v>
      </c>
      <c r="E766" t="s">
        <v>1736</v>
      </c>
      <c r="F766" t="str" cm="1">
        <f t="array" ref="F766">IF(OR(COUNTIF(D766,"*"&amp;$T$9:$T$15&amp;"*")),"Female","Male")</f>
        <v>Male</v>
      </c>
      <c r="G766">
        <v>28</v>
      </c>
      <c r="H766">
        <v>1</v>
      </c>
      <c r="I766">
        <v>0</v>
      </c>
      <c r="J766">
        <v>3</v>
      </c>
      <c r="K766">
        <v>24.15</v>
      </c>
      <c r="L766">
        <f t="shared" si="56"/>
        <v>0</v>
      </c>
      <c r="M766">
        <f t="shared" si="57"/>
        <v>28</v>
      </c>
      <c r="N766" t="str">
        <f t="shared" si="58"/>
        <v>Adult</v>
      </c>
      <c r="O766">
        <f t="shared" si="59"/>
        <v>24.15</v>
      </c>
    </row>
    <row r="767" spans="1:15" x14ac:dyDescent="0.3">
      <c r="A767">
        <v>766</v>
      </c>
      <c r="B767">
        <v>0</v>
      </c>
      <c r="C767" t="str">
        <f t="shared" si="55"/>
        <v>No</v>
      </c>
      <c r="D767" t="s">
        <v>956</v>
      </c>
      <c r="E767" t="s">
        <v>1737</v>
      </c>
      <c r="F767" t="str" cm="1">
        <f t="array" ref="F767">IF(OR(COUNTIF(D767,"*"&amp;$T$9:$T$15&amp;"*")),"Female","Male")</f>
        <v>Male</v>
      </c>
      <c r="G767">
        <v>32</v>
      </c>
      <c r="H767">
        <v>0</v>
      </c>
      <c r="I767">
        <v>0</v>
      </c>
      <c r="J767">
        <v>3</v>
      </c>
      <c r="K767">
        <v>8.3625000000000007</v>
      </c>
      <c r="L767">
        <f t="shared" si="56"/>
        <v>0</v>
      </c>
      <c r="M767">
        <f t="shared" si="57"/>
        <v>32</v>
      </c>
      <c r="N767" t="str">
        <f t="shared" si="58"/>
        <v>Adult</v>
      </c>
      <c r="O767">
        <f t="shared" si="59"/>
        <v>8.36</v>
      </c>
    </row>
    <row r="768" spans="1:15" x14ac:dyDescent="0.3">
      <c r="A768">
        <v>767</v>
      </c>
      <c r="B768">
        <v>0</v>
      </c>
      <c r="C768" t="str">
        <f t="shared" si="55"/>
        <v>No</v>
      </c>
      <c r="D768" t="s">
        <v>956</v>
      </c>
      <c r="E768" t="s">
        <v>1738</v>
      </c>
      <c r="F768" t="str" cm="1">
        <f t="array" ref="F768">IF(OR(COUNTIF(D768,"*"&amp;$T$9:$T$15&amp;"*")),"Female","Male")</f>
        <v>Male</v>
      </c>
      <c r="G768">
        <v>24</v>
      </c>
      <c r="H768">
        <v>0</v>
      </c>
      <c r="I768">
        <v>0</v>
      </c>
      <c r="J768">
        <v>3</v>
      </c>
      <c r="K768">
        <v>9.5</v>
      </c>
      <c r="L768">
        <f t="shared" si="56"/>
        <v>0</v>
      </c>
      <c r="M768">
        <f t="shared" si="57"/>
        <v>24</v>
      </c>
      <c r="N768" t="str">
        <f t="shared" si="58"/>
        <v>Adult</v>
      </c>
      <c r="O768">
        <f t="shared" si="59"/>
        <v>9.5</v>
      </c>
    </row>
    <row r="769" spans="1:15" x14ac:dyDescent="0.3">
      <c r="A769">
        <v>768</v>
      </c>
      <c r="B769">
        <v>0</v>
      </c>
      <c r="C769" t="str">
        <f t="shared" si="55"/>
        <v>No</v>
      </c>
      <c r="D769" t="s">
        <v>956</v>
      </c>
      <c r="E769" t="s">
        <v>1739</v>
      </c>
      <c r="F769" t="str" cm="1">
        <f t="array" ref="F769">IF(OR(COUNTIF(D769,"*"&amp;$T$9:$T$15&amp;"*")),"Female","Male")</f>
        <v>Male</v>
      </c>
      <c r="G769">
        <v>48</v>
      </c>
      <c r="H769">
        <v>0</v>
      </c>
      <c r="I769">
        <v>0</v>
      </c>
      <c r="J769">
        <v>3</v>
      </c>
      <c r="K769">
        <v>7.8541999999999996</v>
      </c>
      <c r="L769">
        <f t="shared" si="56"/>
        <v>0</v>
      </c>
      <c r="M769">
        <f t="shared" si="57"/>
        <v>48</v>
      </c>
      <c r="N769" t="str">
        <f t="shared" si="58"/>
        <v>Adult</v>
      </c>
      <c r="O769">
        <f t="shared" si="59"/>
        <v>7.85</v>
      </c>
    </row>
    <row r="770" spans="1:15" x14ac:dyDescent="0.3">
      <c r="A770">
        <v>769</v>
      </c>
      <c r="B770">
        <v>0</v>
      </c>
      <c r="C770" t="str">
        <f t="shared" si="55"/>
        <v>No</v>
      </c>
      <c r="D770" t="s">
        <v>958</v>
      </c>
      <c r="E770" t="s">
        <v>1740</v>
      </c>
      <c r="F770" t="str" cm="1">
        <f t="array" ref="F770">IF(OR(COUNTIF(D770,"*"&amp;$T$9:$T$15&amp;"*")),"Female","Male")</f>
        <v>Female</v>
      </c>
      <c r="G770">
        <v>57</v>
      </c>
      <c r="H770">
        <v>0</v>
      </c>
      <c r="I770">
        <v>0</v>
      </c>
      <c r="J770">
        <v>2</v>
      </c>
      <c r="K770">
        <v>10.5</v>
      </c>
      <c r="L770">
        <f t="shared" si="56"/>
        <v>1</v>
      </c>
      <c r="M770">
        <f t="shared" si="57"/>
        <v>57</v>
      </c>
      <c r="N770" t="str">
        <f t="shared" si="58"/>
        <v>Adult</v>
      </c>
      <c r="O770">
        <f t="shared" si="59"/>
        <v>10.5</v>
      </c>
    </row>
    <row r="771" spans="1:15" x14ac:dyDescent="0.3">
      <c r="A771">
        <v>770</v>
      </c>
      <c r="B771">
        <v>0</v>
      </c>
      <c r="C771" t="str">
        <f t="shared" ref="C771:C834" si="60">IF(B771=0,"No","Yes")</f>
        <v>No</v>
      </c>
      <c r="D771" t="s">
        <v>956</v>
      </c>
      <c r="E771" t="s">
        <v>1741</v>
      </c>
      <c r="F771" t="str" cm="1">
        <f t="array" ref="F771">IF(OR(COUNTIF(D771,"*"&amp;$T$9:$T$15&amp;"*")),"Female","Male")</f>
        <v>Male</v>
      </c>
      <c r="G771">
        <v>29</v>
      </c>
      <c r="H771">
        <v>0</v>
      </c>
      <c r="I771">
        <v>0</v>
      </c>
      <c r="J771">
        <v>3</v>
      </c>
      <c r="K771">
        <v>7.2249999999999996</v>
      </c>
      <c r="L771">
        <f t="shared" ref="L771:L834" si="61">IF(F771 = "Male", 0, 1)</f>
        <v>0</v>
      </c>
      <c r="M771">
        <f t="shared" ref="M771:M834" si="62">ROUND(G771, 0)</f>
        <v>29</v>
      </c>
      <c r="N771" t="str">
        <f t="shared" ref="N771:N834" si="63">IF(G771&lt;=16,"Child","Adult")</f>
        <v>Adult</v>
      </c>
      <c r="O771">
        <f t="shared" ref="O771:O834" si="64">ROUND(K771, 2)</f>
        <v>7.23</v>
      </c>
    </row>
    <row r="772" spans="1:15" x14ac:dyDescent="0.3">
      <c r="A772">
        <v>771</v>
      </c>
      <c r="B772">
        <v>1</v>
      </c>
      <c r="C772" t="str">
        <f t="shared" si="60"/>
        <v>Yes</v>
      </c>
      <c r="D772" t="s">
        <v>958</v>
      </c>
      <c r="E772" t="s">
        <v>1742</v>
      </c>
      <c r="F772" t="str" cm="1">
        <f t="array" ref="F772">IF(OR(COUNTIF(D772,"*"&amp;$T$9:$T$15&amp;"*")),"Female","Male")</f>
        <v>Female</v>
      </c>
      <c r="G772">
        <v>54</v>
      </c>
      <c r="H772">
        <v>1</v>
      </c>
      <c r="I772">
        <v>3</v>
      </c>
      <c r="J772">
        <v>2</v>
      </c>
      <c r="K772">
        <v>23</v>
      </c>
      <c r="L772">
        <f t="shared" si="61"/>
        <v>1</v>
      </c>
      <c r="M772">
        <f t="shared" si="62"/>
        <v>54</v>
      </c>
      <c r="N772" t="str">
        <f t="shared" si="63"/>
        <v>Adult</v>
      </c>
      <c r="O772">
        <f t="shared" si="64"/>
        <v>23</v>
      </c>
    </row>
    <row r="773" spans="1:15" x14ac:dyDescent="0.3">
      <c r="A773">
        <v>772</v>
      </c>
      <c r="B773">
        <v>0</v>
      </c>
      <c r="C773" t="str">
        <f t="shared" si="60"/>
        <v>No</v>
      </c>
      <c r="D773" t="s">
        <v>956</v>
      </c>
      <c r="E773" t="s">
        <v>1743</v>
      </c>
      <c r="F773" t="str" cm="1">
        <f t="array" ref="F773">IF(OR(COUNTIF(D773,"*"&amp;$T$9:$T$15&amp;"*")),"Female","Male")</f>
        <v>Male</v>
      </c>
      <c r="G773">
        <v>18</v>
      </c>
      <c r="H773">
        <v>0</v>
      </c>
      <c r="I773">
        <v>0</v>
      </c>
      <c r="J773">
        <v>3</v>
      </c>
      <c r="K773">
        <v>7.75</v>
      </c>
      <c r="L773">
        <f t="shared" si="61"/>
        <v>0</v>
      </c>
      <c r="M773">
        <f t="shared" si="62"/>
        <v>18</v>
      </c>
      <c r="N773" t="str">
        <f t="shared" si="63"/>
        <v>Adult</v>
      </c>
      <c r="O773">
        <f t="shared" si="64"/>
        <v>7.75</v>
      </c>
    </row>
    <row r="774" spans="1:15" x14ac:dyDescent="0.3">
      <c r="A774">
        <v>773</v>
      </c>
      <c r="B774">
        <v>0</v>
      </c>
      <c r="C774" t="str">
        <f t="shared" si="60"/>
        <v>No</v>
      </c>
      <c r="D774" t="s">
        <v>956</v>
      </c>
      <c r="E774" t="s">
        <v>1744</v>
      </c>
      <c r="F774" t="str" cm="1">
        <f t="array" ref="F774">IF(OR(COUNTIF(D774,"*"&amp;$T$9:$T$15&amp;"*")),"Female","Male")</f>
        <v>Male</v>
      </c>
      <c r="G774">
        <v>20</v>
      </c>
      <c r="H774">
        <v>0</v>
      </c>
      <c r="I774">
        <v>0</v>
      </c>
      <c r="J774">
        <v>3</v>
      </c>
      <c r="K774">
        <v>7.75</v>
      </c>
      <c r="L774">
        <f t="shared" si="61"/>
        <v>0</v>
      </c>
      <c r="M774">
        <f t="shared" si="62"/>
        <v>20</v>
      </c>
      <c r="N774" t="str">
        <f t="shared" si="63"/>
        <v>Adult</v>
      </c>
      <c r="O774">
        <f t="shared" si="64"/>
        <v>7.75</v>
      </c>
    </row>
    <row r="775" spans="1:15" x14ac:dyDescent="0.3">
      <c r="A775">
        <v>774</v>
      </c>
      <c r="B775">
        <v>1</v>
      </c>
      <c r="C775" t="str">
        <f t="shared" si="60"/>
        <v>Yes</v>
      </c>
      <c r="D775" t="s">
        <v>960</v>
      </c>
      <c r="E775" t="s">
        <v>1745</v>
      </c>
      <c r="F775" t="str" cm="1">
        <f t="array" ref="F775">IF(OR(COUNTIF(D775,"*"&amp;$T$9:$T$15&amp;"*")),"Female","Male")</f>
        <v>Female</v>
      </c>
      <c r="G775">
        <v>5</v>
      </c>
      <c r="H775">
        <v>0</v>
      </c>
      <c r="I775">
        <v>0</v>
      </c>
      <c r="J775">
        <v>3</v>
      </c>
      <c r="K775">
        <v>12.475</v>
      </c>
      <c r="L775">
        <f t="shared" si="61"/>
        <v>1</v>
      </c>
      <c r="M775">
        <f t="shared" si="62"/>
        <v>5</v>
      </c>
      <c r="N775" t="str">
        <f t="shared" si="63"/>
        <v>Child</v>
      </c>
      <c r="O775">
        <f t="shared" si="64"/>
        <v>12.48</v>
      </c>
    </row>
    <row r="776" spans="1:15" x14ac:dyDescent="0.3">
      <c r="A776">
        <v>775</v>
      </c>
      <c r="B776">
        <v>0</v>
      </c>
      <c r="C776" t="str">
        <f t="shared" si="60"/>
        <v>No</v>
      </c>
      <c r="D776" t="s">
        <v>956</v>
      </c>
      <c r="E776" t="s">
        <v>1746</v>
      </c>
      <c r="F776" t="str" cm="1">
        <f t="array" ref="F776">IF(OR(COUNTIF(D776,"*"&amp;$T$9:$T$15&amp;"*")),"Female","Male")</f>
        <v>Male</v>
      </c>
      <c r="G776">
        <v>22</v>
      </c>
      <c r="H776">
        <v>0</v>
      </c>
      <c r="I776">
        <v>0</v>
      </c>
      <c r="J776">
        <v>3</v>
      </c>
      <c r="K776">
        <v>7.7374999999999998</v>
      </c>
      <c r="L776">
        <f t="shared" si="61"/>
        <v>0</v>
      </c>
      <c r="M776">
        <f t="shared" si="62"/>
        <v>22</v>
      </c>
      <c r="N776" t="str">
        <f t="shared" si="63"/>
        <v>Adult</v>
      </c>
      <c r="O776">
        <f t="shared" si="64"/>
        <v>7.74</v>
      </c>
    </row>
    <row r="777" spans="1:15" x14ac:dyDescent="0.3">
      <c r="A777">
        <v>776</v>
      </c>
      <c r="B777">
        <v>1</v>
      </c>
      <c r="C777" t="str">
        <f t="shared" si="60"/>
        <v>Yes</v>
      </c>
      <c r="D777" t="s">
        <v>958</v>
      </c>
      <c r="E777" t="s">
        <v>1747</v>
      </c>
      <c r="F777" t="str" cm="1">
        <f t="array" ref="F777">IF(OR(COUNTIF(D777,"*"&amp;$T$9:$T$15&amp;"*")),"Female","Male")</f>
        <v>Female</v>
      </c>
      <c r="G777">
        <v>43</v>
      </c>
      <c r="H777">
        <v>0</v>
      </c>
      <c r="I777">
        <v>1</v>
      </c>
      <c r="J777">
        <v>1</v>
      </c>
      <c r="K777">
        <v>211.33750000000001</v>
      </c>
      <c r="L777">
        <f t="shared" si="61"/>
        <v>1</v>
      </c>
      <c r="M777">
        <f t="shared" si="62"/>
        <v>43</v>
      </c>
      <c r="N777" t="str">
        <f t="shared" si="63"/>
        <v>Adult</v>
      </c>
      <c r="O777">
        <f t="shared" si="64"/>
        <v>211.34</v>
      </c>
    </row>
    <row r="778" spans="1:15" x14ac:dyDescent="0.3">
      <c r="A778">
        <v>777</v>
      </c>
      <c r="B778">
        <v>1</v>
      </c>
      <c r="C778" t="str">
        <f t="shared" si="60"/>
        <v>Yes</v>
      </c>
      <c r="D778" t="s">
        <v>960</v>
      </c>
      <c r="E778" t="s">
        <v>1748</v>
      </c>
      <c r="F778" t="str" cm="1">
        <f t="array" ref="F778">IF(OR(COUNTIF(D778,"*"&amp;$T$9:$T$15&amp;"*")),"Female","Male")</f>
        <v>Female</v>
      </c>
      <c r="G778">
        <v>13</v>
      </c>
      <c r="H778">
        <v>0</v>
      </c>
      <c r="I778">
        <v>0</v>
      </c>
      <c r="J778">
        <v>3</v>
      </c>
      <c r="K778">
        <v>7.2291999999999996</v>
      </c>
      <c r="L778">
        <f t="shared" si="61"/>
        <v>1</v>
      </c>
      <c r="M778">
        <f t="shared" si="62"/>
        <v>13</v>
      </c>
      <c r="N778" t="str">
        <f t="shared" si="63"/>
        <v>Child</v>
      </c>
      <c r="O778">
        <f t="shared" si="64"/>
        <v>7.23</v>
      </c>
    </row>
    <row r="779" spans="1:15" x14ac:dyDescent="0.3">
      <c r="A779">
        <v>778</v>
      </c>
      <c r="B779">
        <v>1</v>
      </c>
      <c r="C779" t="str">
        <f t="shared" si="60"/>
        <v>Yes</v>
      </c>
      <c r="D779" t="s">
        <v>958</v>
      </c>
      <c r="E779" t="s">
        <v>1749</v>
      </c>
      <c r="F779" t="str" cm="1">
        <f t="array" ref="F779">IF(OR(COUNTIF(D779,"*"&amp;$T$9:$T$15&amp;"*")),"Female","Male")</f>
        <v>Female</v>
      </c>
      <c r="G779">
        <v>17</v>
      </c>
      <c r="H779">
        <v>1</v>
      </c>
      <c r="I779">
        <v>0</v>
      </c>
      <c r="J779">
        <v>1</v>
      </c>
      <c r="K779">
        <v>57</v>
      </c>
      <c r="L779">
        <f t="shared" si="61"/>
        <v>1</v>
      </c>
      <c r="M779">
        <f t="shared" si="62"/>
        <v>17</v>
      </c>
      <c r="N779" t="str">
        <f t="shared" si="63"/>
        <v>Adult</v>
      </c>
      <c r="O779">
        <f t="shared" si="64"/>
        <v>57</v>
      </c>
    </row>
    <row r="780" spans="1:15" x14ac:dyDescent="0.3">
      <c r="A780">
        <v>779</v>
      </c>
      <c r="B780">
        <v>0</v>
      </c>
      <c r="C780" t="str">
        <f t="shared" si="60"/>
        <v>No</v>
      </c>
      <c r="D780" t="s">
        <v>956</v>
      </c>
      <c r="E780" t="s">
        <v>1750</v>
      </c>
      <c r="F780" t="str" cm="1">
        <f t="array" ref="F780">IF(OR(COUNTIF(D780,"*"&amp;$T$9:$T$15&amp;"*")),"Female","Male")</f>
        <v>Male</v>
      </c>
      <c r="G780">
        <v>29</v>
      </c>
      <c r="H780">
        <v>0</v>
      </c>
      <c r="I780">
        <v>0</v>
      </c>
      <c r="J780">
        <v>1</v>
      </c>
      <c r="K780">
        <v>30</v>
      </c>
      <c r="L780">
        <f t="shared" si="61"/>
        <v>0</v>
      </c>
      <c r="M780">
        <f t="shared" si="62"/>
        <v>29</v>
      </c>
      <c r="N780" t="str">
        <f t="shared" si="63"/>
        <v>Adult</v>
      </c>
      <c r="O780">
        <f t="shared" si="64"/>
        <v>30</v>
      </c>
    </row>
    <row r="781" spans="1:15" x14ac:dyDescent="0.3">
      <c r="A781">
        <v>780</v>
      </c>
      <c r="B781">
        <v>0</v>
      </c>
      <c r="C781" t="str">
        <f t="shared" si="60"/>
        <v>No</v>
      </c>
      <c r="D781" t="s">
        <v>956</v>
      </c>
      <c r="E781" t="s">
        <v>1751</v>
      </c>
      <c r="F781" t="str" cm="1">
        <f t="array" ref="F781">IF(OR(COUNTIF(D781,"*"&amp;$T$9:$T$15&amp;"*")),"Female","Male")</f>
        <v>Male</v>
      </c>
      <c r="G781">
        <v>35</v>
      </c>
      <c r="H781">
        <v>1</v>
      </c>
      <c r="I781">
        <v>2</v>
      </c>
      <c r="J781">
        <v>3</v>
      </c>
      <c r="K781">
        <v>23.45</v>
      </c>
      <c r="L781">
        <f t="shared" si="61"/>
        <v>0</v>
      </c>
      <c r="M781">
        <f t="shared" si="62"/>
        <v>35</v>
      </c>
      <c r="N781" t="str">
        <f t="shared" si="63"/>
        <v>Adult</v>
      </c>
      <c r="O781">
        <f t="shared" si="64"/>
        <v>23.45</v>
      </c>
    </row>
    <row r="782" spans="1:15" x14ac:dyDescent="0.3">
      <c r="A782">
        <v>781</v>
      </c>
      <c r="B782">
        <v>0</v>
      </c>
      <c r="C782" t="str">
        <f t="shared" si="60"/>
        <v>No</v>
      </c>
      <c r="D782" t="s">
        <v>956</v>
      </c>
      <c r="E782" t="s">
        <v>1752</v>
      </c>
      <c r="F782" t="str" cm="1">
        <f t="array" ref="F782">IF(OR(COUNTIF(D782,"*"&amp;$T$9:$T$15&amp;"*")),"Female","Male")</f>
        <v>Male</v>
      </c>
      <c r="G782">
        <v>25</v>
      </c>
      <c r="H782">
        <v>0</v>
      </c>
      <c r="I782">
        <v>0</v>
      </c>
      <c r="J782">
        <v>3</v>
      </c>
      <c r="K782">
        <v>7.05</v>
      </c>
      <c r="L782">
        <f t="shared" si="61"/>
        <v>0</v>
      </c>
      <c r="M782">
        <f t="shared" si="62"/>
        <v>25</v>
      </c>
      <c r="N782" t="str">
        <f t="shared" si="63"/>
        <v>Adult</v>
      </c>
      <c r="O782">
        <f t="shared" si="64"/>
        <v>7.05</v>
      </c>
    </row>
    <row r="783" spans="1:15" x14ac:dyDescent="0.3">
      <c r="A783">
        <v>782</v>
      </c>
      <c r="B783">
        <v>0</v>
      </c>
      <c r="C783" t="str">
        <f t="shared" si="60"/>
        <v>No</v>
      </c>
      <c r="D783" t="s">
        <v>956</v>
      </c>
      <c r="E783" t="s">
        <v>1753</v>
      </c>
      <c r="F783" t="str" cm="1">
        <f t="array" ref="F783">IF(OR(COUNTIF(D783,"*"&amp;$T$9:$T$15&amp;"*")),"Female","Male")</f>
        <v>Male</v>
      </c>
      <c r="G783">
        <v>25</v>
      </c>
      <c r="H783">
        <v>0</v>
      </c>
      <c r="I783">
        <v>0</v>
      </c>
      <c r="J783">
        <v>3</v>
      </c>
      <c r="K783">
        <v>7.25</v>
      </c>
      <c r="L783">
        <f t="shared" si="61"/>
        <v>0</v>
      </c>
      <c r="M783">
        <f t="shared" si="62"/>
        <v>25</v>
      </c>
      <c r="N783" t="str">
        <f t="shared" si="63"/>
        <v>Adult</v>
      </c>
      <c r="O783">
        <f t="shared" si="64"/>
        <v>7.25</v>
      </c>
    </row>
    <row r="784" spans="1:15" x14ac:dyDescent="0.3">
      <c r="A784">
        <v>783</v>
      </c>
      <c r="B784">
        <v>1</v>
      </c>
      <c r="C784" t="str">
        <f t="shared" si="60"/>
        <v>Yes</v>
      </c>
      <c r="D784" t="s">
        <v>960</v>
      </c>
      <c r="E784" t="s">
        <v>1754</v>
      </c>
      <c r="F784" t="str" cm="1">
        <f t="array" ref="F784">IF(OR(COUNTIF(D784,"*"&amp;$T$9:$T$15&amp;"*")),"Female","Male")</f>
        <v>Female</v>
      </c>
      <c r="G784">
        <v>18</v>
      </c>
      <c r="H784">
        <v>0</v>
      </c>
      <c r="I784">
        <v>0</v>
      </c>
      <c r="J784">
        <v>3</v>
      </c>
      <c r="K784">
        <v>7.4958</v>
      </c>
      <c r="L784">
        <f t="shared" si="61"/>
        <v>1</v>
      </c>
      <c r="M784">
        <f t="shared" si="62"/>
        <v>18</v>
      </c>
      <c r="N784" t="str">
        <f t="shared" si="63"/>
        <v>Adult</v>
      </c>
      <c r="O784">
        <f t="shared" si="64"/>
        <v>7.5</v>
      </c>
    </row>
    <row r="785" spans="1:15" x14ac:dyDescent="0.3">
      <c r="A785">
        <v>784</v>
      </c>
      <c r="B785">
        <v>0</v>
      </c>
      <c r="C785" t="str">
        <f t="shared" si="60"/>
        <v>No</v>
      </c>
      <c r="D785" t="s">
        <v>966</v>
      </c>
      <c r="E785" t="s">
        <v>1755</v>
      </c>
      <c r="F785" t="str" cm="1">
        <f t="array" ref="F785">IF(OR(COUNTIF(D785,"*"&amp;$T$9:$T$15&amp;"*")),"Female","Male")</f>
        <v>Male</v>
      </c>
      <c r="G785">
        <v>8</v>
      </c>
      <c r="H785">
        <v>4</v>
      </c>
      <c r="I785">
        <v>1</v>
      </c>
      <c r="J785">
        <v>3</v>
      </c>
      <c r="K785">
        <v>29.125</v>
      </c>
      <c r="L785">
        <f t="shared" si="61"/>
        <v>0</v>
      </c>
      <c r="M785">
        <f t="shared" si="62"/>
        <v>8</v>
      </c>
      <c r="N785" t="str">
        <f t="shared" si="63"/>
        <v>Child</v>
      </c>
      <c r="O785">
        <f t="shared" si="64"/>
        <v>29.13</v>
      </c>
    </row>
    <row r="786" spans="1:15" x14ac:dyDescent="0.3">
      <c r="A786">
        <v>785</v>
      </c>
      <c r="B786">
        <v>1</v>
      </c>
      <c r="C786" t="str">
        <f t="shared" si="60"/>
        <v>Yes</v>
      </c>
      <c r="D786" t="s">
        <v>966</v>
      </c>
      <c r="E786" t="s">
        <v>1756</v>
      </c>
      <c r="F786" t="str" cm="1">
        <f t="array" ref="F786">IF(OR(COUNTIF(D786,"*"&amp;$T$9:$T$15&amp;"*")),"Female","Male")</f>
        <v>Male</v>
      </c>
      <c r="G786">
        <v>1</v>
      </c>
      <c r="H786">
        <v>1</v>
      </c>
      <c r="I786">
        <v>2</v>
      </c>
      <c r="J786">
        <v>3</v>
      </c>
      <c r="K786">
        <v>20.574999999999999</v>
      </c>
      <c r="L786">
        <f t="shared" si="61"/>
        <v>0</v>
      </c>
      <c r="M786">
        <f t="shared" si="62"/>
        <v>1</v>
      </c>
      <c r="N786" t="str">
        <f t="shared" si="63"/>
        <v>Child</v>
      </c>
      <c r="O786">
        <f t="shared" si="64"/>
        <v>20.58</v>
      </c>
    </row>
    <row r="787" spans="1:15" x14ac:dyDescent="0.3">
      <c r="A787">
        <v>786</v>
      </c>
      <c r="B787">
        <v>0</v>
      </c>
      <c r="C787" t="str">
        <f t="shared" si="60"/>
        <v>No</v>
      </c>
      <c r="D787" t="s">
        <v>956</v>
      </c>
      <c r="E787" t="s">
        <v>1757</v>
      </c>
      <c r="F787" t="str" cm="1">
        <f t="array" ref="F787">IF(OR(COUNTIF(D787,"*"&amp;$T$9:$T$15&amp;"*")),"Female","Male")</f>
        <v>Male</v>
      </c>
      <c r="G787">
        <v>46</v>
      </c>
      <c r="H787">
        <v>0</v>
      </c>
      <c r="I787">
        <v>0</v>
      </c>
      <c r="J787">
        <v>1</v>
      </c>
      <c r="K787">
        <v>79.2</v>
      </c>
      <c r="L787">
        <f t="shared" si="61"/>
        <v>0</v>
      </c>
      <c r="M787">
        <f t="shared" si="62"/>
        <v>46</v>
      </c>
      <c r="N787" t="str">
        <f t="shared" si="63"/>
        <v>Adult</v>
      </c>
      <c r="O787">
        <f t="shared" si="64"/>
        <v>79.2</v>
      </c>
    </row>
    <row r="788" spans="1:15" x14ac:dyDescent="0.3">
      <c r="A788">
        <v>787</v>
      </c>
      <c r="B788">
        <v>0</v>
      </c>
      <c r="C788" t="str">
        <f t="shared" si="60"/>
        <v>No</v>
      </c>
      <c r="D788" t="s">
        <v>956</v>
      </c>
      <c r="E788" t="s">
        <v>1758</v>
      </c>
      <c r="F788" t="str" cm="1">
        <f t="array" ref="F788">IF(OR(COUNTIF(D788,"*"&amp;$T$9:$T$15&amp;"*")),"Female","Male")</f>
        <v>Male</v>
      </c>
      <c r="G788">
        <v>20</v>
      </c>
      <c r="H788">
        <v>0</v>
      </c>
      <c r="I788">
        <v>0</v>
      </c>
      <c r="J788">
        <v>3</v>
      </c>
      <c r="K788">
        <v>7.75</v>
      </c>
      <c r="L788">
        <f t="shared" si="61"/>
        <v>0</v>
      </c>
      <c r="M788">
        <f t="shared" si="62"/>
        <v>20</v>
      </c>
      <c r="N788" t="str">
        <f t="shared" si="63"/>
        <v>Adult</v>
      </c>
      <c r="O788">
        <f t="shared" si="64"/>
        <v>7.75</v>
      </c>
    </row>
    <row r="789" spans="1:15" x14ac:dyDescent="0.3">
      <c r="A789">
        <v>788</v>
      </c>
      <c r="B789">
        <v>0</v>
      </c>
      <c r="C789" t="str">
        <f t="shared" si="60"/>
        <v>No</v>
      </c>
      <c r="D789" t="s">
        <v>956</v>
      </c>
      <c r="E789" t="s">
        <v>1759</v>
      </c>
      <c r="F789" t="str" cm="1">
        <f t="array" ref="F789">IF(OR(COUNTIF(D789,"*"&amp;$T$9:$T$15&amp;"*")),"Female","Male")</f>
        <v>Male</v>
      </c>
      <c r="G789">
        <v>16</v>
      </c>
      <c r="H789">
        <v>0</v>
      </c>
      <c r="I789">
        <v>0</v>
      </c>
      <c r="J789">
        <v>2</v>
      </c>
      <c r="K789">
        <v>26</v>
      </c>
      <c r="L789">
        <f t="shared" si="61"/>
        <v>0</v>
      </c>
      <c r="M789">
        <f t="shared" si="62"/>
        <v>16</v>
      </c>
      <c r="N789" t="str">
        <f t="shared" si="63"/>
        <v>Child</v>
      </c>
      <c r="O789">
        <f t="shared" si="64"/>
        <v>26</v>
      </c>
    </row>
    <row r="790" spans="1:15" x14ac:dyDescent="0.3">
      <c r="A790">
        <v>789</v>
      </c>
      <c r="B790">
        <v>0</v>
      </c>
      <c r="C790" t="str">
        <f t="shared" si="60"/>
        <v>No</v>
      </c>
      <c r="D790" t="s">
        <v>960</v>
      </c>
      <c r="E790" t="s">
        <v>1760</v>
      </c>
      <c r="F790" t="str" cm="1">
        <f t="array" ref="F790">IF(OR(COUNTIF(D790,"*"&amp;$T$9:$T$15&amp;"*")),"Female","Male")</f>
        <v>Female</v>
      </c>
      <c r="G790">
        <v>21</v>
      </c>
      <c r="H790">
        <v>8</v>
      </c>
      <c r="I790">
        <v>2</v>
      </c>
      <c r="J790">
        <v>3</v>
      </c>
      <c r="K790">
        <v>69.55</v>
      </c>
      <c r="L790">
        <f t="shared" si="61"/>
        <v>1</v>
      </c>
      <c r="M790">
        <f t="shared" si="62"/>
        <v>21</v>
      </c>
      <c r="N790" t="str">
        <f t="shared" si="63"/>
        <v>Adult</v>
      </c>
      <c r="O790">
        <f t="shared" si="64"/>
        <v>69.55</v>
      </c>
    </row>
    <row r="791" spans="1:15" x14ac:dyDescent="0.3">
      <c r="A791">
        <v>790</v>
      </c>
      <c r="B791">
        <v>0</v>
      </c>
      <c r="C791" t="str">
        <f t="shared" si="60"/>
        <v>No</v>
      </c>
      <c r="D791" t="s">
        <v>956</v>
      </c>
      <c r="E791" t="s">
        <v>1761</v>
      </c>
      <c r="F791" t="str" cm="1">
        <f t="array" ref="F791">IF(OR(COUNTIF(D791,"*"&amp;$T$9:$T$15&amp;"*")),"Female","Male")</f>
        <v>Male</v>
      </c>
      <c r="G791">
        <v>43</v>
      </c>
      <c r="H791">
        <v>0</v>
      </c>
      <c r="I791">
        <v>0</v>
      </c>
      <c r="J791">
        <v>1</v>
      </c>
      <c r="K791">
        <v>30.695799999999998</v>
      </c>
      <c r="L791">
        <f t="shared" si="61"/>
        <v>0</v>
      </c>
      <c r="M791">
        <f t="shared" si="62"/>
        <v>43</v>
      </c>
      <c r="N791" t="str">
        <f t="shared" si="63"/>
        <v>Adult</v>
      </c>
      <c r="O791">
        <f t="shared" si="64"/>
        <v>30.7</v>
      </c>
    </row>
    <row r="792" spans="1:15" x14ac:dyDescent="0.3">
      <c r="A792">
        <v>791</v>
      </c>
      <c r="B792">
        <v>0</v>
      </c>
      <c r="C792" t="str">
        <f t="shared" si="60"/>
        <v>No</v>
      </c>
      <c r="D792" t="s">
        <v>956</v>
      </c>
      <c r="E792" t="s">
        <v>1762</v>
      </c>
      <c r="F792" t="str" cm="1">
        <f t="array" ref="F792">IF(OR(COUNTIF(D792,"*"&amp;$T$9:$T$15&amp;"*")),"Female","Male")</f>
        <v>Male</v>
      </c>
      <c r="G792">
        <v>25</v>
      </c>
      <c r="H792">
        <v>0</v>
      </c>
      <c r="I792">
        <v>0</v>
      </c>
      <c r="J792">
        <v>3</v>
      </c>
      <c r="K792">
        <v>7.8958000000000004</v>
      </c>
      <c r="L792">
        <f t="shared" si="61"/>
        <v>0</v>
      </c>
      <c r="M792">
        <f t="shared" si="62"/>
        <v>25</v>
      </c>
      <c r="N792" t="str">
        <f t="shared" si="63"/>
        <v>Adult</v>
      </c>
      <c r="O792">
        <f t="shared" si="64"/>
        <v>7.9</v>
      </c>
    </row>
    <row r="793" spans="1:15" x14ac:dyDescent="0.3">
      <c r="A793">
        <v>792</v>
      </c>
      <c r="B793">
        <v>0</v>
      </c>
      <c r="C793" t="str">
        <f t="shared" si="60"/>
        <v>No</v>
      </c>
      <c r="D793" t="s">
        <v>956</v>
      </c>
      <c r="E793" t="s">
        <v>1763</v>
      </c>
      <c r="F793" t="str" cm="1">
        <f t="array" ref="F793">IF(OR(COUNTIF(D793,"*"&amp;$T$9:$T$15&amp;"*")),"Female","Male")</f>
        <v>Male</v>
      </c>
      <c r="G793">
        <v>39</v>
      </c>
      <c r="H793">
        <v>0</v>
      </c>
      <c r="I793">
        <v>0</v>
      </c>
      <c r="J793">
        <v>2</v>
      </c>
      <c r="K793">
        <v>13</v>
      </c>
      <c r="L793">
        <f t="shared" si="61"/>
        <v>0</v>
      </c>
      <c r="M793">
        <f t="shared" si="62"/>
        <v>39</v>
      </c>
      <c r="N793" t="str">
        <f t="shared" si="63"/>
        <v>Adult</v>
      </c>
      <c r="O793">
        <f t="shared" si="64"/>
        <v>13</v>
      </c>
    </row>
    <row r="794" spans="1:15" x14ac:dyDescent="0.3">
      <c r="A794">
        <v>793</v>
      </c>
      <c r="B794">
        <v>1</v>
      </c>
      <c r="C794" t="str">
        <f t="shared" si="60"/>
        <v>Yes</v>
      </c>
      <c r="D794" t="s">
        <v>1206</v>
      </c>
      <c r="E794" t="s">
        <v>1764</v>
      </c>
      <c r="F794" t="str" cm="1">
        <f t="array" ref="F794">IF(OR(COUNTIF(D794,"*"&amp;$T$9:$T$15&amp;"*")),"Female","Male")</f>
        <v>Male</v>
      </c>
      <c r="G794">
        <v>49</v>
      </c>
      <c r="H794">
        <v>0</v>
      </c>
      <c r="I794">
        <v>0</v>
      </c>
      <c r="J794">
        <v>1</v>
      </c>
      <c r="K794">
        <v>25.929200000000002</v>
      </c>
      <c r="L794">
        <f t="shared" si="61"/>
        <v>0</v>
      </c>
      <c r="M794">
        <f t="shared" si="62"/>
        <v>49</v>
      </c>
      <c r="N794" t="str">
        <f t="shared" si="63"/>
        <v>Adult</v>
      </c>
      <c r="O794">
        <f t="shared" si="64"/>
        <v>25.93</v>
      </c>
    </row>
    <row r="795" spans="1:15" x14ac:dyDescent="0.3">
      <c r="A795">
        <v>794</v>
      </c>
      <c r="B795">
        <v>1</v>
      </c>
      <c r="C795" t="str">
        <f t="shared" si="60"/>
        <v>Yes</v>
      </c>
      <c r="D795" t="s">
        <v>958</v>
      </c>
      <c r="E795" t="s">
        <v>1765</v>
      </c>
      <c r="F795" t="str" cm="1">
        <f t="array" ref="F795">IF(OR(COUNTIF(D795,"*"&amp;$T$9:$T$15&amp;"*")),"Female","Male")</f>
        <v>Female</v>
      </c>
      <c r="G795">
        <v>31</v>
      </c>
      <c r="H795">
        <v>0</v>
      </c>
      <c r="I795">
        <v>0</v>
      </c>
      <c r="J795">
        <v>3</v>
      </c>
      <c r="K795">
        <v>8.6832999999999991</v>
      </c>
      <c r="L795">
        <f t="shared" si="61"/>
        <v>1</v>
      </c>
      <c r="M795">
        <f t="shared" si="62"/>
        <v>31</v>
      </c>
      <c r="N795" t="str">
        <f t="shared" si="63"/>
        <v>Adult</v>
      </c>
      <c r="O795">
        <f t="shared" si="64"/>
        <v>8.68</v>
      </c>
    </row>
    <row r="796" spans="1:15" x14ac:dyDescent="0.3">
      <c r="A796">
        <v>795</v>
      </c>
      <c r="B796">
        <v>0</v>
      </c>
      <c r="C796" t="str">
        <f t="shared" si="60"/>
        <v>No</v>
      </c>
      <c r="D796" t="s">
        <v>956</v>
      </c>
      <c r="E796" t="s">
        <v>1766</v>
      </c>
      <c r="F796" t="str" cm="1">
        <f t="array" ref="F796">IF(OR(COUNTIF(D796,"*"&amp;$T$9:$T$15&amp;"*")),"Female","Male")</f>
        <v>Male</v>
      </c>
      <c r="G796">
        <v>30</v>
      </c>
      <c r="H796">
        <v>0</v>
      </c>
      <c r="I796">
        <v>0</v>
      </c>
      <c r="J796">
        <v>3</v>
      </c>
      <c r="K796">
        <v>7.2291999999999996</v>
      </c>
      <c r="L796">
        <f t="shared" si="61"/>
        <v>0</v>
      </c>
      <c r="M796">
        <f t="shared" si="62"/>
        <v>30</v>
      </c>
      <c r="N796" t="str">
        <f t="shared" si="63"/>
        <v>Adult</v>
      </c>
      <c r="O796">
        <f t="shared" si="64"/>
        <v>7.23</v>
      </c>
    </row>
    <row r="797" spans="1:15" x14ac:dyDescent="0.3">
      <c r="A797">
        <v>796</v>
      </c>
      <c r="B797">
        <v>0</v>
      </c>
      <c r="C797" t="str">
        <f t="shared" si="60"/>
        <v>No</v>
      </c>
      <c r="D797" t="s">
        <v>958</v>
      </c>
      <c r="E797" t="s">
        <v>1767</v>
      </c>
      <c r="F797" t="str" cm="1">
        <f t="array" ref="F797">IF(OR(COUNTIF(D797,"*"&amp;$T$9:$T$15&amp;"*")),"Female","Male")</f>
        <v>Female</v>
      </c>
      <c r="G797">
        <v>30</v>
      </c>
      <c r="H797">
        <v>1</v>
      </c>
      <c r="I797">
        <v>1</v>
      </c>
      <c r="J797">
        <v>3</v>
      </c>
      <c r="K797">
        <v>24.15</v>
      </c>
      <c r="L797">
        <f t="shared" si="61"/>
        <v>1</v>
      </c>
      <c r="M797">
        <f t="shared" si="62"/>
        <v>30</v>
      </c>
      <c r="N797" t="str">
        <f t="shared" si="63"/>
        <v>Adult</v>
      </c>
      <c r="O797">
        <f t="shared" si="64"/>
        <v>24.15</v>
      </c>
    </row>
    <row r="798" spans="1:15" x14ac:dyDescent="0.3">
      <c r="A798">
        <v>797</v>
      </c>
      <c r="B798">
        <v>0</v>
      </c>
      <c r="C798" t="str">
        <f t="shared" si="60"/>
        <v>No</v>
      </c>
      <c r="D798" t="s">
        <v>956</v>
      </c>
      <c r="E798" t="s">
        <v>1768</v>
      </c>
      <c r="F798" t="str" cm="1">
        <f t="array" ref="F798">IF(OR(COUNTIF(D798,"*"&amp;$T$9:$T$15&amp;"*")),"Female","Male")</f>
        <v>Male</v>
      </c>
      <c r="G798">
        <v>34</v>
      </c>
      <c r="H798">
        <v>0</v>
      </c>
      <c r="I798">
        <v>0</v>
      </c>
      <c r="J798">
        <v>2</v>
      </c>
      <c r="K798">
        <v>13</v>
      </c>
      <c r="L798">
        <f t="shared" si="61"/>
        <v>0</v>
      </c>
      <c r="M798">
        <f t="shared" si="62"/>
        <v>34</v>
      </c>
      <c r="N798" t="str">
        <f t="shared" si="63"/>
        <v>Adult</v>
      </c>
      <c r="O798">
        <f t="shared" si="64"/>
        <v>13</v>
      </c>
    </row>
    <row r="799" spans="1:15" x14ac:dyDescent="0.3">
      <c r="A799">
        <v>798</v>
      </c>
      <c r="B799">
        <v>1</v>
      </c>
      <c r="C799" t="str">
        <f t="shared" si="60"/>
        <v>Yes</v>
      </c>
      <c r="D799" t="s">
        <v>958</v>
      </c>
      <c r="E799" t="s">
        <v>1769</v>
      </c>
      <c r="F799" t="str" cm="1">
        <f t="array" ref="F799">IF(OR(COUNTIF(D799,"*"&amp;$T$9:$T$15&amp;"*")),"Female","Male")</f>
        <v>Female</v>
      </c>
      <c r="G799">
        <v>31</v>
      </c>
      <c r="H799">
        <v>1</v>
      </c>
      <c r="I799">
        <v>1</v>
      </c>
      <c r="J799">
        <v>2</v>
      </c>
      <c r="K799">
        <v>26.25</v>
      </c>
      <c r="L799">
        <f t="shared" si="61"/>
        <v>1</v>
      </c>
      <c r="M799">
        <f t="shared" si="62"/>
        <v>31</v>
      </c>
      <c r="N799" t="str">
        <f t="shared" si="63"/>
        <v>Adult</v>
      </c>
      <c r="O799">
        <f t="shared" si="64"/>
        <v>26.25</v>
      </c>
    </row>
    <row r="800" spans="1:15" x14ac:dyDescent="0.3">
      <c r="A800">
        <v>799</v>
      </c>
      <c r="B800">
        <v>1</v>
      </c>
      <c r="C800" t="str">
        <f t="shared" si="60"/>
        <v>Yes</v>
      </c>
      <c r="D800" t="s">
        <v>966</v>
      </c>
      <c r="E800" t="s">
        <v>1770</v>
      </c>
      <c r="F800" t="str" cm="1">
        <f t="array" ref="F800">IF(OR(COUNTIF(D800,"*"&amp;$T$9:$T$15&amp;"*")),"Female","Male")</f>
        <v>Male</v>
      </c>
      <c r="G800">
        <v>11</v>
      </c>
      <c r="H800">
        <v>1</v>
      </c>
      <c r="I800">
        <v>2</v>
      </c>
      <c r="J800">
        <v>1</v>
      </c>
      <c r="K800">
        <v>120</v>
      </c>
      <c r="L800">
        <f t="shared" si="61"/>
        <v>0</v>
      </c>
      <c r="M800">
        <f t="shared" si="62"/>
        <v>11</v>
      </c>
      <c r="N800" t="str">
        <f t="shared" si="63"/>
        <v>Child</v>
      </c>
      <c r="O800">
        <f t="shared" si="64"/>
        <v>120</v>
      </c>
    </row>
    <row r="801" spans="1:15" x14ac:dyDescent="0.3">
      <c r="A801">
        <v>800</v>
      </c>
      <c r="B801">
        <v>1</v>
      </c>
      <c r="C801" t="str">
        <f t="shared" si="60"/>
        <v>Yes</v>
      </c>
      <c r="D801" t="s">
        <v>966</v>
      </c>
      <c r="E801" t="s">
        <v>1771</v>
      </c>
      <c r="F801" t="str" cm="1">
        <f t="array" ref="F801">IF(OR(COUNTIF(D801,"*"&amp;$T$9:$T$15&amp;"*")),"Female","Male")</f>
        <v>Male</v>
      </c>
      <c r="G801">
        <v>0.42</v>
      </c>
      <c r="H801">
        <v>0</v>
      </c>
      <c r="I801">
        <v>1</v>
      </c>
      <c r="J801">
        <v>3</v>
      </c>
      <c r="K801">
        <v>8.5167000000000002</v>
      </c>
      <c r="L801">
        <f t="shared" si="61"/>
        <v>0</v>
      </c>
      <c r="M801">
        <f t="shared" si="62"/>
        <v>0</v>
      </c>
      <c r="N801" t="str">
        <f t="shared" si="63"/>
        <v>Child</v>
      </c>
      <c r="O801">
        <f t="shared" si="64"/>
        <v>8.52</v>
      </c>
    </row>
    <row r="802" spans="1:15" x14ac:dyDescent="0.3">
      <c r="A802">
        <v>801</v>
      </c>
      <c r="B802">
        <v>1</v>
      </c>
      <c r="C802" t="str">
        <f t="shared" si="60"/>
        <v>Yes</v>
      </c>
      <c r="D802" t="s">
        <v>956</v>
      </c>
      <c r="E802" t="s">
        <v>1772</v>
      </c>
      <c r="F802" t="str" cm="1">
        <f t="array" ref="F802">IF(OR(COUNTIF(D802,"*"&amp;$T$9:$T$15&amp;"*")),"Female","Male")</f>
        <v>Male</v>
      </c>
      <c r="G802">
        <v>27</v>
      </c>
      <c r="H802">
        <v>0</v>
      </c>
      <c r="I802">
        <v>0</v>
      </c>
      <c r="J802">
        <v>3</v>
      </c>
      <c r="K802">
        <v>6.9749999999999996</v>
      </c>
      <c r="L802">
        <f t="shared" si="61"/>
        <v>0</v>
      </c>
      <c r="M802">
        <f t="shared" si="62"/>
        <v>27</v>
      </c>
      <c r="N802" t="str">
        <f t="shared" si="63"/>
        <v>Adult</v>
      </c>
      <c r="O802">
        <f t="shared" si="64"/>
        <v>6.98</v>
      </c>
    </row>
    <row r="803" spans="1:15" x14ac:dyDescent="0.3">
      <c r="A803">
        <v>802</v>
      </c>
      <c r="B803">
        <v>0</v>
      </c>
      <c r="C803" t="str">
        <f t="shared" si="60"/>
        <v>No</v>
      </c>
      <c r="D803" t="s">
        <v>956</v>
      </c>
      <c r="E803" t="s">
        <v>1773</v>
      </c>
      <c r="F803" t="str" cm="1">
        <f t="array" ref="F803">IF(OR(COUNTIF(D803,"*"&amp;$T$9:$T$15&amp;"*")),"Female","Male")</f>
        <v>Male</v>
      </c>
      <c r="G803">
        <v>31</v>
      </c>
      <c r="H803">
        <v>0</v>
      </c>
      <c r="I803">
        <v>0</v>
      </c>
      <c r="J803">
        <v>3</v>
      </c>
      <c r="K803">
        <v>7.7750000000000004</v>
      </c>
      <c r="L803">
        <f t="shared" si="61"/>
        <v>0</v>
      </c>
      <c r="M803">
        <f t="shared" si="62"/>
        <v>31</v>
      </c>
      <c r="N803" t="str">
        <f t="shared" si="63"/>
        <v>Adult</v>
      </c>
      <c r="O803">
        <f t="shared" si="64"/>
        <v>7.78</v>
      </c>
    </row>
    <row r="804" spans="1:15" x14ac:dyDescent="0.3">
      <c r="A804">
        <v>803</v>
      </c>
      <c r="B804">
        <v>0</v>
      </c>
      <c r="C804" t="str">
        <f t="shared" si="60"/>
        <v>No</v>
      </c>
      <c r="D804" t="s">
        <v>956</v>
      </c>
      <c r="E804" t="s">
        <v>1774</v>
      </c>
      <c r="F804" t="str" cm="1">
        <f t="array" ref="F804">IF(OR(COUNTIF(D804,"*"&amp;$T$9:$T$15&amp;"*")),"Female","Male")</f>
        <v>Male</v>
      </c>
      <c r="G804">
        <v>39</v>
      </c>
      <c r="H804">
        <v>0</v>
      </c>
      <c r="I804">
        <v>0</v>
      </c>
      <c r="J804">
        <v>1</v>
      </c>
      <c r="K804">
        <v>0</v>
      </c>
      <c r="L804">
        <f t="shared" si="61"/>
        <v>0</v>
      </c>
      <c r="M804">
        <f t="shared" si="62"/>
        <v>39</v>
      </c>
      <c r="N804" t="str">
        <f t="shared" si="63"/>
        <v>Adult</v>
      </c>
      <c r="O804">
        <f t="shared" si="64"/>
        <v>0</v>
      </c>
    </row>
    <row r="805" spans="1:15" x14ac:dyDescent="0.3">
      <c r="A805">
        <v>804</v>
      </c>
      <c r="B805">
        <v>0</v>
      </c>
      <c r="C805" t="str">
        <f t="shared" si="60"/>
        <v>No</v>
      </c>
      <c r="D805" t="s">
        <v>960</v>
      </c>
      <c r="E805" t="s">
        <v>1775</v>
      </c>
      <c r="F805" t="str" cm="1">
        <f t="array" ref="F805">IF(OR(COUNTIF(D805,"*"&amp;$T$9:$T$15&amp;"*")),"Female","Male")</f>
        <v>Female</v>
      </c>
      <c r="G805">
        <v>18</v>
      </c>
      <c r="H805">
        <v>0</v>
      </c>
      <c r="I805">
        <v>0</v>
      </c>
      <c r="J805">
        <v>3</v>
      </c>
      <c r="K805">
        <v>7.7750000000000004</v>
      </c>
      <c r="L805">
        <f t="shared" si="61"/>
        <v>1</v>
      </c>
      <c r="M805">
        <f t="shared" si="62"/>
        <v>18</v>
      </c>
      <c r="N805" t="str">
        <f t="shared" si="63"/>
        <v>Adult</v>
      </c>
      <c r="O805">
        <f t="shared" si="64"/>
        <v>7.78</v>
      </c>
    </row>
    <row r="806" spans="1:15" x14ac:dyDescent="0.3">
      <c r="A806">
        <v>805</v>
      </c>
      <c r="B806">
        <v>0</v>
      </c>
      <c r="C806" t="str">
        <f t="shared" si="60"/>
        <v>No</v>
      </c>
      <c r="D806" t="s">
        <v>956</v>
      </c>
      <c r="E806" t="s">
        <v>1776</v>
      </c>
      <c r="F806" t="str" cm="1">
        <f t="array" ref="F806">IF(OR(COUNTIF(D806,"*"&amp;$T$9:$T$15&amp;"*")),"Female","Male")</f>
        <v>Male</v>
      </c>
      <c r="G806">
        <v>39</v>
      </c>
      <c r="H806">
        <v>0</v>
      </c>
      <c r="I806">
        <v>0</v>
      </c>
      <c r="J806">
        <v>2</v>
      </c>
      <c r="K806">
        <v>13</v>
      </c>
      <c r="L806">
        <f t="shared" si="61"/>
        <v>0</v>
      </c>
      <c r="M806">
        <f t="shared" si="62"/>
        <v>39</v>
      </c>
      <c r="N806" t="str">
        <f t="shared" si="63"/>
        <v>Adult</v>
      </c>
      <c r="O806">
        <f t="shared" si="64"/>
        <v>13</v>
      </c>
    </row>
    <row r="807" spans="1:15" x14ac:dyDescent="0.3">
      <c r="A807">
        <v>806</v>
      </c>
      <c r="B807">
        <v>1</v>
      </c>
      <c r="C807" t="str">
        <f t="shared" si="60"/>
        <v>Yes</v>
      </c>
      <c r="D807" t="s">
        <v>958</v>
      </c>
      <c r="E807" t="s">
        <v>1777</v>
      </c>
      <c r="F807" t="str" cm="1">
        <f t="array" ref="F807">IF(OR(COUNTIF(D807,"*"&amp;$T$9:$T$15&amp;"*")),"Female","Male")</f>
        <v>Female</v>
      </c>
      <c r="G807">
        <v>33</v>
      </c>
      <c r="H807">
        <v>1</v>
      </c>
      <c r="I807">
        <v>0</v>
      </c>
      <c r="J807">
        <v>1</v>
      </c>
      <c r="K807">
        <v>53.1</v>
      </c>
      <c r="L807">
        <f t="shared" si="61"/>
        <v>1</v>
      </c>
      <c r="M807">
        <f t="shared" si="62"/>
        <v>33</v>
      </c>
      <c r="N807" t="str">
        <f t="shared" si="63"/>
        <v>Adult</v>
      </c>
      <c r="O807">
        <f t="shared" si="64"/>
        <v>53.1</v>
      </c>
    </row>
    <row r="808" spans="1:15" x14ac:dyDescent="0.3">
      <c r="A808">
        <v>807</v>
      </c>
      <c r="B808">
        <v>0</v>
      </c>
      <c r="C808" t="str">
        <f t="shared" si="60"/>
        <v>No</v>
      </c>
      <c r="D808" t="s">
        <v>956</v>
      </c>
      <c r="E808" t="s">
        <v>1778</v>
      </c>
      <c r="F808" t="str" cm="1">
        <f t="array" ref="F808">IF(OR(COUNTIF(D808,"*"&amp;$T$9:$T$15&amp;"*")),"Female","Male")</f>
        <v>Male</v>
      </c>
      <c r="G808">
        <v>26</v>
      </c>
      <c r="H808">
        <v>0</v>
      </c>
      <c r="I808">
        <v>0</v>
      </c>
      <c r="J808">
        <v>3</v>
      </c>
      <c r="K808">
        <v>7.8875000000000002</v>
      </c>
      <c r="L808">
        <f t="shared" si="61"/>
        <v>0</v>
      </c>
      <c r="M808">
        <f t="shared" si="62"/>
        <v>26</v>
      </c>
      <c r="N808" t="str">
        <f t="shared" si="63"/>
        <v>Adult</v>
      </c>
      <c r="O808">
        <f t="shared" si="64"/>
        <v>7.89</v>
      </c>
    </row>
    <row r="809" spans="1:15" x14ac:dyDescent="0.3">
      <c r="A809">
        <v>808</v>
      </c>
      <c r="B809">
        <v>0</v>
      </c>
      <c r="C809" t="str">
        <f t="shared" si="60"/>
        <v>No</v>
      </c>
      <c r="D809" t="s">
        <v>956</v>
      </c>
      <c r="E809" t="s">
        <v>1779</v>
      </c>
      <c r="F809" t="str" cm="1">
        <f t="array" ref="F809">IF(OR(COUNTIF(D809,"*"&amp;$T$9:$T$15&amp;"*")),"Female","Male")</f>
        <v>Male</v>
      </c>
      <c r="G809">
        <v>39</v>
      </c>
      <c r="H809">
        <v>0</v>
      </c>
      <c r="I809">
        <v>0</v>
      </c>
      <c r="J809">
        <v>3</v>
      </c>
      <c r="K809">
        <v>24.15</v>
      </c>
      <c r="L809">
        <f t="shared" si="61"/>
        <v>0</v>
      </c>
      <c r="M809">
        <f t="shared" si="62"/>
        <v>39</v>
      </c>
      <c r="N809" t="str">
        <f t="shared" si="63"/>
        <v>Adult</v>
      </c>
      <c r="O809">
        <f t="shared" si="64"/>
        <v>24.15</v>
      </c>
    </row>
    <row r="810" spans="1:15" x14ac:dyDescent="0.3">
      <c r="A810">
        <v>809</v>
      </c>
      <c r="B810">
        <v>0</v>
      </c>
      <c r="C810" t="str">
        <f t="shared" si="60"/>
        <v>No</v>
      </c>
      <c r="D810" t="s">
        <v>956</v>
      </c>
      <c r="E810" t="s">
        <v>1780</v>
      </c>
      <c r="F810" t="str" cm="1">
        <f t="array" ref="F810">IF(OR(COUNTIF(D810,"*"&amp;$T$9:$T$15&amp;"*")),"Female","Male")</f>
        <v>Male</v>
      </c>
      <c r="G810">
        <v>35</v>
      </c>
      <c r="H810">
        <v>0</v>
      </c>
      <c r="I810">
        <v>0</v>
      </c>
      <c r="J810">
        <v>2</v>
      </c>
      <c r="K810">
        <v>10.5</v>
      </c>
      <c r="L810">
        <f t="shared" si="61"/>
        <v>0</v>
      </c>
      <c r="M810">
        <f t="shared" si="62"/>
        <v>35</v>
      </c>
      <c r="N810" t="str">
        <f t="shared" si="63"/>
        <v>Adult</v>
      </c>
      <c r="O810">
        <f t="shared" si="64"/>
        <v>10.5</v>
      </c>
    </row>
    <row r="811" spans="1:15" x14ac:dyDescent="0.3">
      <c r="A811">
        <v>810</v>
      </c>
      <c r="B811">
        <v>0</v>
      </c>
      <c r="C811" t="str">
        <f t="shared" si="60"/>
        <v>No</v>
      </c>
      <c r="D811" t="s">
        <v>960</v>
      </c>
      <c r="E811" t="s">
        <v>1781</v>
      </c>
      <c r="F811" t="str" cm="1">
        <f t="array" ref="F811">IF(OR(COUNTIF(D811,"*"&amp;$T$9:$T$15&amp;"*")),"Female","Male")</f>
        <v>Female</v>
      </c>
      <c r="G811">
        <v>6</v>
      </c>
      <c r="H811">
        <v>4</v>
      </c>
      <c r="I811">
        <v>2</v>
      </c>
      <c r="J811">
        <v>3</v>
      </c>
      <c r="K811">
        <v>31.274999999999999</v>
      </c>
      <c r="L811">
        <f t="shared" si="61"/>
        <v>1</v>
      </c>
      <c r="M811">
        <f t="shared" si="62"/>
        <v>6</v>
      </c>
      <c r="N811" t="str">
        <f t="shared" si="63"/>
        <v>Child</v>
      </c>
      <c r="O811">
        <f t="shared" si="64"/>
        <v>31.28</v>
      </c>
    </row>
    <row r="812" spans="1:15" x14ac:dyDescent="0.3">
      <c r="A812">
        <v>811</v>
      </c>
      <c r="B812">
        <v>0</v>
      </c>
      <c r="C812" t="str">
        <f t="shared" si="60"/>
        <v>No</v>
      </c>
      <c r="D812" t="s">
        <v>956</v>
      </c>
      <c r="E812" t="s">
        <v>1782</v>
      </c>
      <c r="F812" t="str" cm="1">
        <f t="array" ref="F812">IF(OR(COUNTIF(D812,"*"&amp;$T$9:$T$15&amp;"*")),"Female","Male")</f>
        <v>Male</v>
      </c>
      <c r="G812">
        <v>30.5</v>
      </c>
      <c r="H812">
        <v>0</v>
      </c>
      <c r="I812">
        <v>0</v>
      </c>
      <c r="J812">
        <v>3</v>
      </c>
      <c r="K812">
        <v>8.0500000000000007</v>
      </c>
      <c r="L812">
        <f t="shared" si="61"/>
        <v>0</v>
      </c>
      <c r="M812">
        <f t="shared" si="62"/>
        <v>31</v>
      </c>
      <c r="N812" t="str">
        <f t="shared" si="63"/>
        <v>Adult</v>
      </c>
      <c r="O812">
        <f t="shared" si="64"/>
        <v>8.0500000000000007</v>
      </c>
    </row>
    <row r="813" spans="1:15" x14ac:dyDescent="0.3">
      <c r="A813">
        <v>812</v>
      </c>
      <c r="B813">
        <v>0</v>
      </c>
      <c r="C813" t="str">
        <f t="shared" si="60"/>
        <v>No</v>
      </c>
      <c r="D813" t="s">
        <v>956</v>
      </c>
      <c r="E813" t="s">
        <v>1783</v>
      </c>
      <c r="F813" t="str" cm="1">
        <f t="array" ref="F813">IF(OR(COUNTIF(D813,"*"&amp;$T$9:$T$15&amp;"*")),"Female","Male")</f>
        <v>Male</v>
      </c>
      <c r="G813">
        <v>39</v>
      </c>
      <c r="H813">
        <v>0</v>
      </c>
      <c r="I813">
        <v>0</v>
      </c>
      <c r="J813">
        <v>1</v>
      </c>
      <c r="K813">
        <v>0</v>
      </c>
      <c r="L813">
        <f t="shared" si="61"/>
        <v>0</v>
      </c>
      <c r="M813">
        <f t="shared" si="62"/>
        <v>39</v>
      </c>
      <c r="N813" t="str">
        <f t="shared" si="63"/>
        <v>Adult</v>
      </c>
      <c r="O813">
        <f t="shared" si="64"/>
        <v>0</v>
      </c>
    </row>
    <row r="814" spans="1:15" x14ac:dyDescent="0.3">
      <c r="A814">
        <v>813</v>
      </c>
      <c r="B814">
        <v>0</v>
      </c>
      <c r="C814" t="str">
        <f t="shared" si="60"/>
        <v>No</v>
      </c>
      <c r="D814" t="s">
        <v>960</v>
      </c>
      <c r="E814" t="s">
        <v>1784</v>
      </c>
      <c r="F814" t="str" cm="1">
        <f t="array" ref="F814">IF(OR(COUNTIF(D814,"*"&amp;$T$9:$T$15&amp;"*")),"Female","Male")</f>
        <v>Female</v>
      </c>
      <c r="G814">
        <v>23</v>
      </c>
      <c r="H814">
        <v>0</v>
      </c>
      <c r="I814">
        <v>0</v>
      </c>
      <c r="J814">
        <v>3</v>
      </c>
      <c r="K814">
        <v>7.9249999999999998</v>
      </c>
      <c r="L814">
        <f t="shared" si="61"/>
        <v>1</v>
      </c>
      <c r="M814">
        <f t="shared" si="62"/>
        <v>23</v>
      </c>
      <c r="N814" t="str">
        <f t="shared" si="63"/>
        <v>Adult</v>
      </c>
      <c r="O814">
        <f t="shared" si="64"/>
        <v>7.93</v>
      </c>
    </row>
    <row r="815" spans="1:15" x14ac:dyDescent="0.3">
      <c r="A815">
        <v>814</v>
      </c>
      <c r="B815">
        <v>0</v>
      </c>
      <c r="C815" t="str">
        <f t="shared" si="60"/>
        <v>No</v>
      </c>
      <c r="D815" t="s">
        <v>956</v>
      </c>
      <c r="E815" t="s">
        <v>1785</v>
      </c>
      <c r="F815" t="str" cm="1">
        <f t="array" ref="F815">IF(OR(COUNTIF(D815,"*"&amp;$T$9:$T$15&amp;"*")),"Female","Male")</f>
        <v>Male</v>
      </c>
      <c r="G815">
        <v>31</v>
      </c>
      <c r="H815">
        <v>1</v>
      </c>
      <c r="I815">
        <v>1</v>
      </c>
      <c r="J815">
        <v>2</v>
      </c>
      <c r="K815">
        <v>37.004199999999997</v>
      </c>
      <c r="L815">
        <f t="shared" si="61"/>
        <v>0</v>
      </c>
      <c r="M815">
        <f t="shared" si="62"/>
        <v>31</v>
      </c>
      <c r="N815" t="str">
        <f t="shared" si="63"/>
        <v>Adult</v>
      </c>
      <c r="O815">
        <f t="shared" si="64"/>
        <v>37</v>
      </c>
    </row>
    <row r="816" spans="1:15" x14ac:dyDescent="0.3">
      <c r="A816">
        <v>815</v>
      </c>
      <c r="B816">
        <v>0</v>
      </c>
      <c r="C816" t="str">
        <f t="shared" si="60"/>
        <v>No</v>
      </c>
      <c r="D816" t="s">
        <v>956</v>
      </c>
      <c r="E816" t="s">
        <v>1786</v>
      </c>
      <c r="F816" t="str" cm="1">
        <f t="array" ref="F816">IF(OR(COUNTIF(D816,"*"&amp;$T$9:$T$15&amp;"*")),"Female","Male")</f>
        <v>Male</v>
      </c>
      <c r="G816">
        <v>43</v>
      </c>
      <c r="H816">
        <v>0</v>
      </c>
      <c r="I816">
        <v>0</v>
      </c>
      <c r="J816">
        <v>3</v>
      </c>
      <c r="K816">
        <v>6.45</v>
      </c>
      <c r="L816">
        <f t="shared" si="61"/>
        <v>0</v>
      </c>
      <c r="M816">
        <f t="shared" si="62"/>
        <v>43</v>
      </c>
      <c r="N816" t="str">
        <f t="shared" si="63"/>
        <v>Adult</v>
      </c>
      <c r="O816">
        <f t="shared" si="64"/>
        <v>6.45</v>
      </c>
    </row>
    <row r="817" spans="1:15" x14ac:dyDescent="0.3">
      <c r="A817">
        <v>816</v>
      </c>
      <c r="B817">
        <v>0</v>
      </c>
      <c r="C817" t="str">
        <f t="shared" si="60"/>
        <v>No</v>
      </c>
      <c r="D817" t="s">
        <v>966</v>
      </c>
      <c r="E817" t="s">
        <v>1787</v>
      </c>
      <c r="F817" t="str" cm="1">
        <f t="array" ref="F817">IF(OR(COUNTIF(D817,"*"&amp;$T$9:$T$15&amp;"*")),"Female","Male")</f>
        <v>Male</v>
      </c>
      <c r="G817">
        <v>10</v>
      </c>
      <c r="H817">
        <v>3</v>
      </c>
      <c r="I817">
        <v>2</v>
      </c>
      <c r="J817">
        <v>3</v>
      </c>
      <c r="K817">
        <v>27.9</v>
      </c>
      <c r="L817">
        <f t="shared" si="61"/>
        <v>0</v>
      </c>
      <c r="M817">
        <f t="shared" si="62"/>
        <v>10</v>
      </c>
      <c r="N817" t="str">
        <f t="shared" si="63"/>
        <v>Child</v>
      </c>
      <c r="O817">
        <f t="shared" si="64"/>
        <v>27.9</v>
      </c>
    </row>
    <row r="818" spans="1:15" x14ac:dyDescent="0.3">
      <c r="A818">
        <v>817</v>
      </c>
      <c r="B818">
        <v>1</v>
      </c>
      <c r="C818" t="str">
        <f t="shared" si="60"/>
        <v>Yes</v>
      </c>
      <c r="D818" t="s">
        <v>958</v>
      </c>
      <c r="E818" t="s">
        <v>1788</v>
      </c>
      <c r="F818" t="str" cm="1">
        <f t="array" ref="F818">IF(OR(COUNTIF(D818,"*"&amp;$T$9:$T$15&amp;"*")),"Female","Male")</f>
        <v>Female</v>
      </c>
      <c r="G818">
        <v>52</v>
      </c>
      <c r="H818">
        <v>1</v>
      </c>
      <c r="I818">
        <v>1</v>
      </c>
      <c r="J818">
        <v>1</v>
      </c>
      <c r="K818">
        <v>93.5</v>
      </c>
      <c r="L818">
        <f t="shared" si="61"/>
        <v>1</v>
      </c>
      <c r="M818">
        <f t="shared" si="62"/>
        <v>52</v>
      </c>
      <c r="N818" t="str">
        <f t="shared" si="63"/>
        <v>Adult</v>
      </c>
      <c r="O818">
        <f t="shared" si="64"/>
        <v>93.5</v>
      </c>
    </row>
    <row r="819" spans="1:15" x14ac:dyDescent="0.3">
      <c r="A819">
        <v>818</v>
      </c>
      <c r="B819">
        <v>1</v>
      </c>
      <c r="C819" t="str">
        <f t="shared" si="60"/>
        <v>Yes</v>
      </c>
      <c r="D819" t="s">
        <v>956</v>
      </c>
      <c r="E819" t="s">
        <v>1789</v>
      </c>
      <c r="F819" t="str" cm="1">
        <f t="array" ref="F819">IF(OR(COUNTIF(D819,"*"&amp;$T$9:$T$15&amp;"*")),"Female","Male")</f>
        <v>Male</v>
      </c>
      <c r="G819">
        <v>27</v>
      </c>
      <c r="H819">
        <v>0</v>
      </c>
      <c r="I819">
        <v>0</v>
      </c>
      <c r="J819">
        <v>3</v>
      </c>
      <c r="K819">
        <v>8.6624999999999996</v>
      </c>
      <c r="L819">
        <f t="shared" si="61"/>
        <v>0</v>
      </c>
      <c r="M819">
        <f t="shared" si="62"/>
        <v>27</v>
      </c>
      <c r="N819" t="str">
        <f t="shared" si="63"/>
        <v>Adult</v>
      </c>
      <c r="O819">
        <f t="shared" si="64"/>
        <v>8.66</v>
      </c>
    </row>
    <row r="820" spans="1:15" x14ac:dyDescent="0.3">
      <c r="A820">
        <v>819</v>
      </c>
      <c r="B820">
        <v>0</v>
      </c>
      <c r="C820" t="str">
        <f t="shared" si="60"/>
        <v>No</v>
      </c>
      <c r="D820" t="s">
        <v>1790</v>
      </c>
      <c r="E820" t="s">
        <v>1791</v>
      </c>
      <c r="F820" t="str" cm="1">
        <f t="array" ref="F820">IF(OR(COUNTIF(D820,"*"&amp;$T$9:$T$15&amp;"*")),"Female","Male")</f>
        <v>Male</v>
      </c>
      <c r="G820">
        <v>38</v>
      </c>
      <c r="H820">
        <v>0</v>
      </c>
      <c r="I820">
        <v>0</v>
      </c>
      <c r="J820">
        <v>1</v>
      </c>
      <c r="K820">
        <v>0</v>
      </c>
      <c r="L820">
        <f t="shared" si="61"/>
        <v>0</v>
      </c>
      <c r="M820">
        <f t="shared" si="62"/>
        <v>38</v>
      </c>
      <c r="N820" t="str">
        <f t="shared" si="63"/>
        <v>Adult</v>
      </c>
      <c r="O820">
        <f t="shared" si="64"/>
        <v>0</v>
      </c>
    </row>
    <row r="821" spans="1:15" x14ac:dyDescent="0.3">
      <c r="A821">
        <v>820</v>
      </c>
      <c r="B821">
        <v>1</v>
      </c>
      <c r="C821" t="str">
        <f t="shared" si="60"/>
        <v>Yes</v>
      </c>
      <c r="D821" t="s">
        <v>958</v>
      </c>
      <c r="E821" t="s">
        <v>1792</v>
      </c>
      <c r="F821" t="str" cm="1">
        <f t="array" ref="F821">IF(OR(COUNTIF(D821,"*"&amp;$T$9:$T$15&amp;"*")),"Female","Male")</f>
        <v>Female</v>
      </c>
      <c r="G821">
        <v>27</v>
      </c>
      <c r="H821">
        <v>0</v>
      </c>
      <c r="I821">
        <v>1</v>
      </c>
      <c r="J821">
        <v>3</v>
      </c>
      <c r="K821">
        <v>12.475</v>
      </c>
      <c r="L821">
        <f t="shared" si="61"/>
        <v>1</v>
      </c>
      <c r="M821">
        <f t="shared" si="62"/>
        <v>27</v>
      </c>
      <c r="N821" t="str">
        <f t="shared" si="63"/>
        <v>Adult</v>
      </c>
      <c r="O821">
        <f t="shared" si="64"/>
        <v>12.48</v>
      </c>
    </row>
    <row r="822" spans="1:15" x14ac:dyDescent="0.3">
      <c r="A822">
        <v>821</v>
      </c>
      <c r="B822">
        <v>0</v>
      </c>
      <c r="C822" t="str">
        <f t="shared" si="60"/>
        <v>No</v>
      </c>
      <c r="D822" t="s">
        <v>966</v>
      </c>
      <c r="E822" t="s">
        <v>1793</v>
      </c>
      <c r="F822" t="str" cm="1">
        <f t="array" ref="F822">IF(OR(COUNTIF(D822,"*"&amp;$T$9:$T$15&amp;"*")),"Female","Male")</f>
        <v>Male</v>
      </c>
      <c r="G822">
        <v>2</v>
      </c>
      <c r="H822">
        <v>4</v>
      </c>
      <c r="I822">
        <v>1</v>
      </c>
      <c r="J822">
        <v>3</v>
      </c>
      <c r="K822">
        <v>39.6875</v>
      </c>
      <c r="L822">
        <f t="shared" si="61"/>
        <v>0</v>
      </c>
      <c r="M822">
        <f t="shared" si="62"/>
        <v>2</v>
      </c>
      <c r="N822" t="str">
        <f t="shared" si="63"/>
        <v>Child</v>
      </c>
      <c r="O822">
        <f t="shared" si="64"/>
        <v>39.69</v>
      </c>
    </row>
    <row r="823" spans="1:15" x14ac:dyDescent="0.3">
      <c r="A823">
        <v>822</v>
      </c>
      <c r="B823">
        <v>0</v>
      </c>
      <c r="C823" t="str">
        <f t="shared" si="60"/>
        <v>No</v>
      </c>
      <c r="D823" t="s">
        <v>956</v>
      </c>
      <c r="E823" t="s">
        <v>1794</v>
      </c>
      <c r="F823" t="str" cm="1">
        <f t="array" ref="F823">IF(OR(COUNTIF(D823,"*"&amp;$T$9:$T$15&amp;"*")),"Female","Male")</f>
        <v>Male</v>
      </c>
      <c r="G823">
        <v>36</v>
      </c>
      <c r="H823">
        <v>0</v>
      </c>
      <c r="I823">
        <v>0</v>
      </c>
      <c r="J823">
        <v>3</v>
      </c>
      <c r="K823">
        <v>6.95</v>
      </c>
      <c r="L823">
        <f t="shared" si="61"/>
        <v>0</v>
      </c>
      <c r="M823">
        <f t="shared" si="62"/>
        <v>36</v>
      </c>
      <c r="N823" t="str">
        <f t="shared" si="63"/>
        <v>Adult</v>
      </c>
      <c r="O823">
        <f t="shared" si="64"/>
        <v>6.95</v>
      </c>
    </row>
    <row r="824" spans="1:15" x14ac:dyDescent="0.3">
      <c r="A824">
        <v>823</v>
      </c>
      <c r="B824">
        <v>0</v>
      </c>
      <c r="C824" t="str">
        <f t="shared" si="60"/>
        <v>No</v>
      </c>
      <c r="D824" t="s">
        <v>956</v>
      </c>
      <c r="E824" t="s">
        <v>1795</v>
      </c>
      <c r="F824" t="str" cm="1">
        <f t="array" ref="F824">IF(OR(COUNTIF(D824,"*"&amp;$T$9:$T$15&amp;"*")),"Female","Male")</f>
        <v>Male</v>
      </c>
      <c r="G824">
        <v>23</v>
      </c>
      <c r="H824">
        <v>0</v>
      </c>
      <c r="I824">
        <v>0</v>
      </c>
      <c r="J824">
        <v>3</v>
      </c>
      <c r="K824">
        <v>56.495800000000003</v>
      </c>
      <c r="L824">
        <f t="shared" si="61"/>
        <v>0</v>
      </c>
      <c r="M824">
        <f t="shared" si="62"/>
        <v>23</v>
      </c>
      <c r="N824" t="str">
        <f t="shared" si="63"/>
        <v>Adult</v>
      </c>
      <c r="O824">
        <f t="shared" si="64"/>
        <v>56.5</v>
      </c>
    </row>
    <row r="825" spans="1:15" x14ac:dyDescent="0.3">
      <c r="A825">
        <v>824</v>
      </c>
      <c r="B825">
        <v>1</v>
      </c>
      <c r="C825" t="str">
        <f t="shared" si="60"/>
        <v>Yes</v>
      </c>
      <c r="D825" t="s">
        <v>966</v>
      </c>
      <c r="E825" t="s">
        <v>1796</v>
      </c>
      <c r="F825" t="str" cm="1">
        <f t="array" ref="F825">IF(OR(COUNTIF(D825,"*"&amp;$T$9:$T$15&amp;"*")),"Female","Male")</f>
        <v>Male</v>
      </c>
      <c r="G825">
        <v>1</v>
      </c>
      <c r="H825">
        <v>0</v>
      </c>
      <c r="I825">
        <v>2</v>
      </c>
      <c r="J825">
        <v>2</v>
      </c>
      <c r="K825">
        <v>37.004199999999997</v>
      </c>
      <c r="L825">
        <f t="shared" si="61"/>
        <v>0</v>
      </c>
      <c r="M825">
        <f t="shared" si="62"/>
        <v>1</v>
      </c>
      <c r="N825" t="str">
        <f t="shared" si="63"/>
        <v>Child</v>
      </c>
      <c r="O825">
        <f t="shared" si="64"/>
        <v>37</v>
      </c>
    </row>
    <row r="826" spans="1:15" x14ac:dyDescent="0.3">
      <c r="A826">
        <v>825</v>
      </c>
      <c r="B826">
        <v>1</v>
      </c>
      <c r="C826" t="str">
        <f t="shared" si="60"/>
        <v>Yes</v>
      </c>
      <c r="D826" t="s">
        <v>956</v>
      </c>
      <c r="E826" t="s">
        <v>1797</v>
      </c>
      <c r="F826" t="str" cm="1">
        <f t="array" ref="F826">IF(OR(COUNTIF(D826,"*"&amp;$T$9:$T$15&amp;"*")),"Female","Male")</f>
        <v>Male</v>
      </c>
      <c r="G826">
        <v>19</v>
      </c>
      <c r="H826">
        <v>0</v>
      </c>
      <c r="I826">
        <v>0</v>
      </c>
      <c r="J826">
        <v>3</v>
      </c>
      <c r="K826">
        <v>7.75</v>
      </c>
      <c r="L826">
        <f t="shared" si="61"/>
        <v>0</v>
      </c>
      <c r="M826">
        <f t="shared" si="62"/>
        <v>19</v>
      </c>
      <c r="N826" t="str">
        <f t="shared" si="63"/>
        <v>Adult</v>
      </c>
      <c r="O826">
        <f t="shared" si="64"/>
        <v>7.75</v>
      </c>
    </row>
    <row r="827" spans="1:15" x14ac:dyDescent="0.3">
      <c r="A827">
        <v>826</v>
      </c>
      <c r="B827">
        <v>1</v>
      </c>
      <c r="C827" t="str">
        <f t="shared" si="60"/>
        <v>Yes</v>
      </c>
      <c r="D827" t="s">
        <v>958</v>
      </c>
      <c r="E827" t="s">
        <v>1798</v>
      </c>
      <c r="F827" t="str" cm="1">
        <f t="array" ref="F827">IF(OR(COUNTIF(D827,"*"&amp;$T$9:$T$15&amp;"*")),"Female","Male")</f>
        <v>Female</v>
      </c>
      <c r="G827">
        <v>62</v>
      </c>
      <c r="H827">
        <v>0</v>
      </c>
      <c r="I827">
        <v>0</v>
      </c>
      <c r="J827">
        <v>1</v>
      </c>
      <c r="K827">
        <v>80</v>
      </c>
      <c r="L827">
        <f t="shared" si="61"/>
        <v>1</v>
      </c>
      <c r="M827">
        <f t="shared" si="62"/>
        <v>62</v>
      </c>
      <c r="N827" t="str">
        <f t="shared" si="63"/>
        <v>Adult</v>
      </c>
      <c r="O827">
        <f t="shared" si="64"/>
        <v>80</v>
      </c>
    </row>
    <row r="828" spans="1:15" x14ac:dyDescent="0.3">
      <c r="A828">
        <v>827</v>
      </c>
      <c r="B828">
        <v>1</v>
      </c>
      <c r="C828" t="str">
        <f t="shared" si="60"/>
        <v>Yes</v>
      </c>
      <c r="D828" t="s">
        <v>958</v>
      </c>
      <c r="E828" t="s">
        <v>1799</v>
      </c>
      <c r="F828" t="str" cm="1">
        <f t="array" ref="F828">IF(OR(COUNTIF(D828,"*"&amp;$T$9:$T$15&amp;"*")),"Female","Male")</f>
        <v>Female</v>
      </c>
      <c r="G828">
        <v>15</v>
      </c>
      <c r="H828">
        <v>1</v>
      </c>
      <c r="I828">
        <v>0</v>
      </c>
      <c r="J828">
        <v>3</v>
      </c>
      <c r="K828">
        <v>14.4542</v>
      </c>
      <c r="L828">
        <f t="shared" si="61"/>
        <v>1</v>
      </c>
      <c r="M828">
        <f t="shared" si="62"/>
        <v>15</v>
      </c>
      <c r="N828" t="str">
        <f t="shared" si="63"/>
        <v>Child</v>
      </c>
      <c r="O828">
        <f t="shared" si="64"/>
        <v>14.45</v>
      </c>
    </row>
    <row r="829" spans="1:15" x14ac:dyDescent="0.3">
      <c r="A829">
        <v>828</v>
      </c>
      <c r="B829">
        <v>1</v>
      </c>
      <c r="C829" t="str">
        <f t="shared" si="60"/>
        <v>Yes</v>
      </c>
      <c r="D829" t="s">
        <v>966</v>
      </c>
      <c r="E829" t="s">
        <v>1800</v>
      </c>
      <c r="F829" t="str" cm="1">
        <f t="array" ref="F829">IF(OR(COUNTIF(D829,"*"&amp;$T$9:$T$15&amp;"*")),"Female","Male")</f>
        <v>Male</v>
      </c>
      <c r="G829">
        <v>0.83</v>
      </c>
      <c r="H829">
        <v>1</v>
      </c>
      <c r="I829">
        <v>1</v>
      </c>
      <c r="J829">
        <v>2</v>
      </c>
      <c r="K829">
        <v>18.75</v>
      </c>
      <c r="L829">
        <f t="shared" si="61"/>
        <v>0</v>
      </c>
      <c r="M829">
        <f t="shared" si="62"/>
        <v>1</v>
      </c>
      <c r="N829" t="str">
        <f t="shared" si="63"/>
        <v>Child</v>
      </c>
      <c r="O829">
        <f t="shared" si="64"/>
        <v>18.75</v>
      </c>
    </row>
    <row r="830" spans="1:15" x14ac:dyDescent="0.3">
      <c r="A830">
        <v>829</v>
      </c>
      <c r="B830">
        <v>0</v>
      </c>
      <c r="C830" t="str">
        <f t="shared" si="60"/>
        <v>No</v>
      </c>
      <c r="D830" t="s">
        <v>956</v>
      </c>
      <c r="E830" t="s">
        <v>1801</v>
      </c>
      <c r="F830" t="str" cm="1">
        <f t="array" ref="F830">IF(OR(COUNTIF(D830,"*"&amp;$T$9:$T$15&amp;"*")),"Female","Male")</f>
        <v>Male</v>
      </c>
      <c r="G830">
        <v>30</v>
      </c>
      <c r="H830">
        <v>0</v>
      </c>
      <c r="I830">
        <v>0</v>
      </c>
      <c r="J830">
        <v>3</v>
      </c>
      <c r="K830">
        <v>7.2291999999999996</v>
      </c>
      <c r="L830">
        <f t="shared" si="61"/>
        <v>0</v>
      </c>
      <c r="M830">
        <f t="shared" si="62"/>
        <v>30</v>
      </c>
      <c r="N830" t="str">
        <f t="shared" si="63"/>
        <v>Adult</v>
      </c>
      <c r="O830">
        <f t="shared" si="64"/>
        <v>7.23</v>
      </c>
    </row>
    <row r="831" spans="1:15" x14ac:dyDescent="0.3">
      <c r="A831">
        <v>830</v>
      </c>
      <c r="B831">
        <v>0</v>
      </c>
      <c r="C831" t="str">
        <f t="shared" si="60"/>
        <v>No</v>
      </c>
      <c r="D831" t="s">
        <v>956</v>
      </c>
      <c r="E831" t="s">
        <v>1802</v>
      </c>
      <c r="F831" t="str" cm="1">
        <f t="array" ref="F831">IF(OR(COUNTIF(D831,"*"&amp;$T$9:$T$15&amp;"*")),"Female","Male")</f>
        <v>Male</v>
      </c>
      <c r="G831">
        <v>23</v>
      </c>
      <c r="H831">
        <v>0</v>
      </c>
      <c r="I831">
        <v>0</v>
      </c>
      <c r="J831">
        <v>3</v>
      </c>
      <c r="K831">
        <v>7.8541999999999996</v>
      </c>
      <c r="L831">
        <f t="shared" si="61"/>
        <v>0</v>
      </c>
      <c r="M831">
        <f t="shared" si="62"/>
        <v>23</v>
      </c>
      <c r="N831" t="str">
        <f t="shared" si="63"/>
        <v>Adult</v>
      </c>
      <c r="O831">
        <f t="shared" si="64"/>
        <v>7.85</v>
      </c>
    </row>
    <row r="832" spans="1:15" x14ac:dyDescent="0.3">
      <c r="A832">
        <v>831</v>
      </c>
      <c r="B832">
        <v>0</v>
      </c>
      <c r="C832" t="str">
        <f t="shared" si="60"/>
        <v>No</v>
      </c>
      <c r="D832" t="s">
        <v>956</v>
      </c>
      <c r="E832" t="s">
        <v>1803</v>
      </c>
      <c r="F832" t="str" cm="1">
        <f t="array" ref="F832">IF(OR(COUNTIF(D832,"*"&amp;$T$9:$T$15&amp;"*")),"Female","Male")</f>
        <v>Male</v>
      </c>
      <c r="G832">
        <v>18</v>
      </c>
      <c r="H832">
        <v>0</v>
      </c>
      <c r="I832">
        <v>0</v>
      </c>
      <c r="J832">
        <v>3</v>
      </c>
      <c r="K832">
        <v>8.3000000000000007</v>
      </c>
      <c r="L832">
        <f t="shared" si="61"/>
        <v>0</v>
      </c>
      <c r="M832">
        <f t="shared" si="62"/>
        <v>18</v>
      </c>
      <c r="N832" t="str">
        <f t="shared" si="63"/>
        <v>Adult</v>
      </c>
      <c r="O832">
        <f t="shared" si="64"/>
        <v>8.3000000000000007</v>
      </c>
    </row>
    <row r="833" spans="1:15" x14ac:dyDescent="0.3">
      <c r="A833">
        <v>832</v>
      </c>
      <c r="B833">
        <v>1</v>
      </c>
      <c r="C833" t="str">
        <f t="shared" si="60"/>
        <v>Yes</v>
      </c>
      <c r="D833" t="s">
        <v>960</v>
      </c>
      <c r="E833" t="s">
        <v>1804</v>
      </c>
      <c r="F833" t="str" cm="1">
        <f t="array" ref="F833">IF(OR(COUNTIF(D833,"*"&amp;$T$9:$T$15&amp;"*")),"Female","Male")</f>
        <v>Female</v>
      </c>
      <c r="G833">
        <v>39</v>
      </c>
      <c r="H833">
        <v>1</v>
      </c>
      <c r="I833">
        <v>1</v>
      </c>
      <c r="J833">
        <v>1</v>
      </c>
      <c r="K833">
        <v>83.158299999999997</v>
      </c>
      <c r="L833">
        <f t="shared" si="61"/>
        <v>1</v>
      </c>
      <c r="M833">
        <f t="shared" si="62"/>
        <v>39</v>
      </c>
      <c r="N833" t="str">
        <f t="shared" si="63"/>
        <v>Adult</v>
      </c>
      <c r="O833">
        <f t="shared" si="64"/>
        <v>83.16</v>
      </c>
    </row>
    <row r="834" spans="1:15" x14ac:dyDescent="0.3">
      <c r="A834">
        <v>833</v>
      </c>
      <c r="B834">
        <v>0</v>
      </c>
      <c r="C834" t="str">
        <f t="shared" si="60"/>
        <v>No</v>
      </c>
      <c r="D834" t="s">
        <v>956</v>
      </c>
      <c r="E834" t="s">
        <v>1805</v>
      </c>
      <c r="F834" t="str" cm="1">
        <f t="array" ref="F834">IF(OR(COUNTIF(D834,"*"&amp;$T$9:$T$15&amp;"*")),"Female","Male")</f>
        <v>Male</v>
      </c>
      <c r="G834">
        <v>21</v>
      </c>
      <c r="H834">
        <v>0</v>
      </c>
      <c r="I834">
        <v>0</v>
      </c>
      <c r="J834">
        <v>3</v>
      </c>
      <c r="K834">
        <v>8.6624999999999996</v>
      </c>
      <c r="L834">
        <f t="shared" si="61"/>
        <v>0</v>
      </c>
      <c r="M834">
        <f t="shared" si="62"/>
        <v>21</v>
      </c>
      <c r="N834" t="str">
        <f t="shared" si="63"/>
        <v>Adult</v>
      </c>
      <c r="O834">
        <f t="shared" si="64"/>
        <v>8.66</v>
      </c>
    </row>
    <row r="835" spans="1:15" x14ac:dyDescent="0.3">
      <c r="A835">
        <v>834</v>
      </c>
      <c r="B835">
        <v>0</v>
      </c>
      <c r="C835" t="str">
        <f t="shared" ref="C835:C888" si="65">IF(B835=0,"No","Yes")</f>
        <v>No</v>
      </c>
      <c r="D835" t="s">
        <v>956</v>
      </c>
      <c r="E835" t="s">
        <v>1806</v>
      </c>
      <c r="F835" t="str" cm="1">
        <f t="array" ref="F835">IF(OR(COUNTIF(D835,"*"&amp;$T$9:$T$15&amp;"*")),"Female","Male")</f>
        <v>Male</v>
      </c>
      <c r="G835">
        <v>20</v>
      </c>
      <c r="H835">
        <v>0</v>
      </c>
      <c r="I835">
        <v>0</v>
      </c>
      <c r="J835">
        <v>3</v>
      </c>
      <c r="K835">
        <v>8.0500000000000007</v>
      </c>
      <c r="L835">
        <f t="shared" ref="L835:L888" si="66">IF(F835 = "Male", 0, 1)</f>
        <v>0</v>
      </c>
      <c r="M835">
        <f t="shared" ref="M835:M888" si="67">ROUND(G835, 0)</f>
        <v>20</v>
      </c>
      <c r="N835" t="str">
        <f t="shared" ref="N835:N888" si="68">IF(G835&lt;=16,"Child","Adult")</f>
        <v>Adult</v>
      </c>
      <c r="O835">
        <f t="shared" ref="O835:O888" si="69">ROUND(K835, 2)</f>
        <v>8.0500000000000007</v>
      </c>
    </row>
    <row r="836" spans="1:15" x14ac:dyDescent="0.3">
      <c r="A836">
        <v>835</v>
      </c>
      <c r="B836">
        <v>1</v>
      </c>
      <c r="C836" t="str">
        <f t="shared" si="65"/>
        <v>Yes</v>
      </c>
      <c r="D836" t="s">
        <v>956</v>
      </c>
      <c r="E836" t="s">
        <v>1807</v>
      </c>
      <c r="F836" t="str" cm="1">
        <f t="array" ref="F836">IF(OR(COUNTIF(D836,"*"&amp;$T$9:$T$15&amp;"*")),"Female","Male")</f>
        <v>Male</v>
      </c>
      <c r="G836">
        <v>32</v>
      </c>
      <c r="H836">
        <v>0</v>
      </c>
      <c r="I836">
        <v>0</v>
      </c>
      <c r="J836">
        <v>3</v>
      </c>
      <c r="K836">
        <v>56.495800000000003</v>
      </c>
      <c r="L836">
        <f t="shared" si="66"/>
        <v>0</v>
      </c>
      <c r="M836">
        <f t="shared" si="67"/>
        <v>32</v>
      </c>
      <c r="N836" t="str">
        <f t="shared" si="68"/>
        <v>Adult</v>
      </c>
      <c r="O836">
        <f t="shared" si="69"/>
        <v>56.5</v>
      </c>
    </row>
    <row r="837" spans="1:15" x14ac:dyDescent="0.3">
      <c r="A837">
        <v>836</v>
      </c>
      <c r="B837">
        <v>1</v>
      </c>
      <c r="C837" t="str">
        <f t="shared" si="65"/>
        <v>Yes</v>
      </c>
      <c r="D837" t="s">
        <v>956</v>
      </c>
      <c r="E837" t="s">
        <v>1808</v>
      </c>
      <c r="F837" t="str" cm="1">
        <f t="array" ref="F837">IF(OR(COUNTIF(D837,"*"&amp;$T$9:$T$15&amp;"*")),"Female","Male")</f>
        <v>Male</v>
      </c>
      <c r="G837">
        <v>29</v>
      </c>
      <c r="H837">
        <v>0</v>
      </c>
      <c r="I837">
        <v>0</v>
      </c>
      <c r="J837">
        <v>1</v>
      </c>
      <c r="K837">
        <v>29.7</v>
      </c>
      <c r="L837">
        <f t="shared" si="66"/>
        <v>0</v>
      </c>
      <c r="M837">
        <f t="shared" si="67"/>
        <v>29</v>
      </c>
      <c r="N837" t="str">
        <f t="shared" si="68"/>
        <v>Adult</v>
      </c>
      <c r="O837">
        <f t="shared" si="69"/>
        <v>29.7</v>
      </c>
    </row>
    <row r="838" spans="1:15" x14ac:dyDescent="0.3">
      <c r="A838">
        <v>837</v>
      </c>
      <c r="B838">
        <v>0</v>
      </c>
      <c r="C838" t="str">
        <f t="shared" si="65"/>
        <v>No</v>
      </c>
      <c r="D838" t="s">
        <v>956</v>
      </c>
      <c r="E838" t="s">
        <v>1809</v>
      </c>
      <c r="F838" t="str" cm="1">
        <f t="array" ref="F838">IF(OR(COUNTIF(D838,"*"&amp;$T$9:$T$15&amp;"*")),"Female","Male")</f>
        <v>Male</v>
      </c>
      <c r="G838">
        <v>20</v>
      </c>
      <c r="H838">
        <v>0</v>
      </c>
      <c r="I838">
        <v>0</v>
      </c>
      <c r="J838">
        <v>3</v>
      </c>
      <c r="K838">
        <v>7.9249999999999998</v>
      </c>
      <c r="L838">
        <f t="shared" si="66"/>
        <v>0</v>
      </c>
      <c r="M838">
        <f t="shared" si="67"/>
        <v>20</v>
      </c>
      <c r="N838" t="str">
        <f t="shared" si="68"/>
        <v>Adult</v>
      </c>
      <c r="O838">
        <f t="shared" si="69"/>
        <v>7.93</v>
      </c>
    </row>
    <row r="839" spans="1:15" x14ac:dyDescent="0.3">
      <c r="A839">
        <v>838</v>
      </c>
      <c r="B839">
        <v>0</v>
      </c>
      <c r="C839" t="str">
        <f t="shared" si="65"/>
        <v>No</v>
      </c>
      <c r="D839" t="s">
        <v>956</v>
      </c>
      <c r="E839" t="s">
        <v>1810</v>
      </c>
      <c r="F839" t="str" cm="1">
        <f t="array" ref="F839">IF(OR(COUNTIF(D839,"*"&amp;$T$9:$T$15&amp;"*")),"Female","Male")</f>
        <v>Male</v>
      </c>
      <c r="G839">
        <v>16</v>
      </c>
      <c r="H839">
        <v>0</v>
      </c>
      <c r="I839">
        <v>0</v>
      </c>
      <c r="J839">
        <v>2</v>
      </c>
      <c r="K839">
        <v>10.5</v>
      </c>
      <c r="L839">
        <f t="shared" si="66"/>
        <v>0</v>
      </c>
      <c r="M839">
        <f t="shared" si="67"/>
        <v>16</v>
      </c>
      <c r="N839" t="str">
        <f t="shared" si="68"/>
        <v>Child</v>
      </c>
      <c r="O839">
        <f t="shared" si="69"/>
        <v>10.5</v>
      </c>
    </row>
    <row r="840" spans="1:15" x14ac:dyDescent="0.3">
      <c r="A840">
        <v>839</v>
      </c>
      <c r="B840">
        <v>1</v>
      </c>
      <c r="C840" t="str">
        <f t="shared" si="65"/>
        <v>Yes</v>
      </c>
      <c r="D840" t="s">
        <v>960</v>
      </c>
      <c r="E840" t="s">
        <v>1811</v>
      </c>
      <c r="F840" t="str" cm="1">
        <f t="array" ref="F840">IF(OR(COUNTIF(D840,"*"&amp;$T$9:$T$15&amp;"*")),"Female","Male")</f>
        <v>Female</v>
      </c>
      <c r="G840">
        <v>30</v>
      </c>
      <c r="H840">
        <v>0</v>
      </c>
      <c r="I840">
        <v>0</v>
      </c>
      <c r="J840">
        <v>1</v>
      </c>
      <c r="K840">
        <v>31</v>
      </c>
      <c r="L840">
        <f t="shared" si="66"/>
        <v>1</v>
      </c>
      <c r="M840">
        <f t="shared" si="67"/>
        <v>30</v>
      </c>
      <c r="N840" t="str">
        <f t="shared" si="68"/>
        <v>Adult</v>
      </c>
      <c r="O840">
        <f t="shared" si="69"/>
        <v>31</v>
      </c>
    </row>
    <row r="841" spans="1:15" x14ac:dyDescent="0.3">
      <c r="A841">
        <v>840</v>
      </c>
      <c r="B841">
        <v>0</v>
      </c>
      <c r="C841" t="str">
        <f t="shared" si="65"/>
        <v>No</v>
      </c>
      <c r="D841" t="s">
        <v>956</v>
      </c>
      <c r="E841" t="s">
        <v>1812</v>
      </c>
      <c r="F841" t="str" cm="1">
        <f t="array" ref="F841">IF(OR(COUNTIF(D841,"*"&amp;$T$9:$T$15&amp;"*")),"Female","Male")</f>
        <v>Male</v>
      </c>
      <c r="G841">
        <v>34.5</v>
      </c>
      <c r="H841">
        <v>0</v>
      </c>
      <c r="I841">
        <v>0</v>
      </c>
      <c r="J841">
        <v>3</v>
      </c>
      <c r="K841">
        <v>6.4375</v>
      </c>
      <c r="L841">
        <f t="shared" si="66"/>
        <v>0</v>
      </c>
      <c r="M841">
        <f t="shared" si="67"/>
        <v>35</v>
      </c>
      <c r="N841" t="str">
        <f t="shared" si="68"/>
        <v>Adult</v>
      </c>
      <c r="O841">
        <f t="shared" si="69"/>
        <v>6.44</v>
      </c>
    </row>
    <row r="842" spans="1:15" x14ac:dyDescent="0.3">
      <c r="A842">
        <v>841</v>
      </c>
      <c r="B842">
        <v>0</v>
      </c>
      <c r="C842" t="str">
        <f t="shared" si="65"/>
        <v>No</v>
      </c>
      <c r="D842" t="s">
        <v>956</v>
      </c>
      <c r="E842" t="s">
        <v>1813</v>
      </c>
      <c r="F842" t="str" cm="1">
        <f t="array" ref="F842">IF(OR(COUNTIF(D842,"*"&amp;$T$9:$T$15&amp;"*")),"Female","Male")</f>
        <v>Male</v>
      </c>
      <c r="G842">
        <v>17</v>
      </c>
      <c r="H842">
        <v>0</v>
      </c>
      <c r="I842">
        <v>0</v>
      </c>
      <c r="J842">
        <v>3</v>
      </c>
      <c r="K842">
        <v>8.6624999999999996</v>
      </c>
      <c r="L842">
        <f t="shared" si="66"/>
        <v>0</v>
      </c>
      <c r="M842">
        <f t="shared" si="67"/>
        <v>17</v>
      </c>
      <c r="N842" t="str">
        <f t="shared" si="68"/>
        <v>Adult</v>
      </c>
      <c r="O842">
        <f t="shared" si="69"/>
        <v>8.66</v>
      </c>
    </row>
    <row r="843" spans="1:15" x14ac:dyDescent="0.3">
      <c r="A843">
        <v>842</v>
      </c>
      <c r="B843">
        <v>0</v>
      </c>
      <c r="C843" t="str">
        <f t="shared" si="65"/>
        <v>No</v>
      </c>
      <c r="D843" t="s">
        <v>956</v>
      </c>
      <c r="E843" t="s">
        <v>1814</v>
      </c>
      <c r="F843" t="str" cm="1">
        <f t="array" ref="F843">IF(OR(COUNTIF(D843,"*"&amp;$T$9:$T$15&amp;"*")),"Female","Male")</f>
        <v>Male</v>
      </c>
      <c r="G843">
        <v>42</v>
      </c>
      <c r="H843">
        <v>0</v>
      </c>
      <c r="I843">
        <v>0</v>
      </c>
      <c r="J843">
        <v>3</v>
      </c>
      <c r="K843">
        <v>7.55</v>
      </c>
      <c r="L843">
        <f t="shared" si="66"/>
        <v>0</v>
      </c>
      <c r="M843">
        <f t="shared" si="67"/>
        <v>42</v>
      </c>
      <c r="N843" t="str">
        <f t="shared" si="68"/>
        <v>Adult</v>
      </c>
      <c r="O843">
        <f t="shared" si="69"/>
        <v>7.55</v>
      </c>
    </row>
    <row r="844" spans="1:15" x14ac:dyDescent="0.3">
      <c r="A844">
        <v>843</v>
      </c>
      <c r="B844">
        <v>0</v>
      </c>
      <c r="C844" t="str">
        <f t="shared" si="65"/>
        <v>No</v>
      </c>
      <c r="D844" t="s">
        <v>956</v>
      </c>
      <c r="E844" t="s">
        <v>1815</v>
      </c>
      <c r="F844" t="str" cm="1">
        <f t="array" ref="F844">IF(OR(COUNTIF(D844,"*"&amp;$T$9:$T$15&amp;"*")),"Female","Male")</f>
        <v>Male</v>
      </c>
      <c r="G844">
        <v>18</v>
      </c>
      <c r="H844">
        <v>8</v>
      </c>
      <c r="I844">
        <v>2</v>
      </c>
      <c r="J844">
        <v>3</v>
      </c>
      <c r="K844">
        <v>69.55</v>
      </c>
      <c r="L844">
        <f t="shared" si="66"/>
        <v>0</v>
      </c>
      <c r="M844">
        <f t="shared" si="67"/>
        <v>18</v>
      </c>
      <c r="N844" t="str">
        <f t="shared" si="68"/>
        <v>Adult</v>
      </c>
      <c r="O844">
        <f t="shared" si="69"/>
        <v>69.55</v>
      </c>
    </row>
    <row r="845" spans="1:15" x14ac:dyDescent="0.3">
      <c r="A845">
        <v>844</v>
      </c>
      <c r="B845">
        <v>0</v>
      </c>
      <c r="C845" t="str">
        <f t="shared" si="65"/>
        <v>No</v>
      </c>
      <c r="D845" t="s">
        <v>956</v>
      </c>
      <c r="E845" t="s">
        <v>1816</v>
      </c>
      <c r="F845" t="str" cm="1">
        <f t="array" ref="F845">IF(OR(COUNTIF(D845,"*"&amp;$T$9:$T$15&amp;"*")),"Female","Male")</f>
        <v>Male</v>
      </c>
      <c r="G845">
        <v>35</v>
      </c>
      <c r="H845">
        <v>0</v>
      </c>
      <c r="I845">
        <v>0</v>
      </c>
      <c r="J845">
        <v>3</v>
      </c>
      <c r="K845">
        <v>7.8958000000000004</v>
      </c>
      <c r="L845">
        <f t="shared" si="66"/>
        <v>0</v>
      </c>
      <c r="M845">
        <f t="shared" si="67"/>
        <v>35</v>
      </c>
      <c r="N845" t="str">
        <f t="shared" si="68"/>
        <v>Adult</v>
      </c>
      <c r="O845">
        <f t="shared" si="69"/>
        <v>7.9</v>
      </c>
    </row>
    <row r="846" spans="1:15" x14ac:dyDescent="0.3">
      <c r="A846">
        <v>845</v>
      </c>
      <c r="B846">
        <v>0</v>
      </c>
      <c r="C846" t="str">
        <f t="shared" si="65"/>
        <v>No</v>
      </c>
      <c r="D846" t="s">
        <v>1109</v>
      </c>
      <c r="E846" t="s">
        <v>1817</v>
      </c>
      <c r="F846" t="str" cm="1">
        <f t="array" ref="F846">IF(OR(COUNTIF(D846,"*"&amp;$T$9:$T$15&amp;"*")),"Female","Male")</f>
        <v>Male</v>
      </c>
      <c r="G846">
        <v>28</v>
      </c>
      <c r="H846">
        <v>0</v>
      </c>
      <c r="I846">
        <v>1</v>
      </c>
      <c r="J846">
        <v>2</v>
      </c>
      <c r="K846">
        <v>33</v>
      </c>
      <c r="L846">
        <f t="shared" si="66"/>
        <v>0</v>
      </c>
      <c r="M846">
        <f t="shared" si="67"/>
        <v>28</v>
      </c>
      <c r="N846" t="str">
        <f t="shared" si="68"/>
        <v>Adult</v>
      </c>
      <c r="O846">
        <f t="shared" si="69"/>
        <v>33</v>
      </c>
    </row>
    <row r="847" spans="1:15" x14ac:dyDescent="0.3">
      <c r="A847">
        <v>846</v>
      </c>
      <c r="B847">
        <v>1</v>
      </c>
      <c r="C847" t="str">
        <f t="shared" si="65"/>
        <v>Yes</v>
      </c>
      <c r="D847" t="s">
        <v>958</v>
      </c>
      <c r="E847" t="s">
        <v>1818</v>
      </c>
      <c r="F847" t="str" cm="1">
        <f t="array" ref="F847">IF(OR(COUNTIF(D847,"*"&amp;$T$9:$T$15&amp;"*")),"Female","Male")</f>
        <v>Female</v>
      </c>
      <c r="G847">
        <v>40</v>
      </c>
      <c r="H847">
        <v>1</v>
      </c>
      <c r="I847">
        <v>0</v>
      </c>
      <c r="J847">
        <v>1</v>
      </c>
      <c r="K847">
        <v>89.104200000000006</v>
      </c>
      <c r="L847">
        <f t="shared" si="66"/>
        <v>1</v>
      </c>
      <c r="M847">
        <f t="shared" si="67"/>
        <v>40</v>
      </c>
      <c r="N847" t="str">
        <f t="shared" si="68"/>
        <v>Adult</v>
      </c>
      <c r="O847">
        <f t="shared" si="69"/>
        <v>89.1</v>
      </c>
    </row>
    <row r="848" spans="1:15" x14ac:dyDescent="0.3">
      <c r="A848">
        <v>847</v>
      </c>
      <c r="B848">
        <v>0</v>
      </c>
      <c r="C848" t="str">
        <f t="shared" si="65"/>
        <v>No</v>
      </c>
      <c r="D848" t="s">
        <v>966</v>
      </c>
      <c r="E848" t="s">
        <v>1819</v>
      </c>
      <c r="F848" t="str" cm="1">
        <f t="array" ref="F848">IF(OR(COUNTIF(D848,"*"&amp;$T$9:$T$15&amp;"*")),"Female","Male")</f>
        <v>Male</v>
      </c>
      <c r="G848">
        <v>4</v>
      </c>
      <c r="H848">
        <v>4</v>
      </c>
      <c r="I848">
        <v>2</v>
      </c>
      <c r="J848">
        <v>3</v>
      </c>
      <c r="K848">
        <v>31.274999999999999</v>
      </c>
      <c r="L848">
        <f t="shared" si="66"/>
        <v>0</v>
      </c>
      <c r="M848">
        <f t="shared" si="67"/>
        <v>4</v>
      </c>
      <c r="N848" t="str">
        <f t="shared" si="68"/>
        <v>Child</v>
      </c>
      <c r="O848">
        <f t="shared" si="69"/>
        <v>31.28</v>
      </c>
    </row>
    <row r="849" spans="1:15" x14ac:dyDescent="0.3">
      <c r="A849">
        <v>848</v>
      </c>
      <c r="B849">
        <v>0</v>
      </c>
      <c r="C849" t="str">
        <f t="shared" si="65"/>
        <v>No</v>
      </c>
      <c r="D849" t="s">
        <v>956</v>
      </c>
      <c r="E849" t="s">
        <v>1820</v>
      </c>
      <c r="F849" t="str" cm="1">
        <f t="array" ref="F849">IF(OR(COUNTIF(D849,"*"&amp;$T$9:$T$15&amp;"*")),"Female","Male")</f>
        <v>Male</v>
      </c>
      <c r="G849">
        <v>74</v>
      </c>
      <c r="H849">
        <v>0</v>
      </c>
      <c r="I849">
        <v>0</v>
      </c>
      <c r="J849">
        <v>3</v>
      </c>
      <c r="K849">
        <v>7.7750000000000004</v>
      </c>
      <c r="L849">
        <f t="shared" si="66"/>
        <v>0</v>
      </c>
      <c r="M849">
        <f t="shared" si="67"/>
        <v>74</v>
      </c>
      <c r="N849" t="str">
        <f t="shared" si="68"/>
        <v>Adult</v>
      </c>
      <c r="O849">
        <f t="shared" si="69"/>
        <v>7.78</v>
      </c>
    </row>
    <row r="850" spans="1:15" x14ac:dyDescent="0.3">
      <c r="A850">
        <v>849</v>
      </c>
      <c r="B850">
        <v>0</v>
      </c>
      <c r="C850" t="str">
        <f t="shared" si="65"/>
        <v>No</v>
      </c>
      <c r="D850" t="s">
        <v>960</v>
      </c>
      <c r="E850" t="s">
        <v>1821</v>
      </c>
      <c r="F850" t="str" cm="1">
        <f t="array" ref="F850">IF(OR(COUNTIF(D850,"*"&amp;$T$9:$T$15&amp;"*")),"Female","Male")</f>
        <v>Female</v>
      </c>
      <c r="G850">
        <v>9</v>
      </c>
      <c r="H850">
        <v>1</v>
      </c>
      <c r="I850">
        <v>1</v>
      </c>
      <c r="J850">
        <v>3</v>
      </c>
      <c r="K850">
        <v>15.245799999999999</v>
      </c>
      <c r="L850">
        <f t="shared" si="66"/>
        <v>1</v>
      </c>
      <c r="M850">
        <f t="shared" si="67"/>
        <v>9</v>
      </c>
      <c r="N850" t="str">
        <f t="shared" si="68"/>
        <v>Child</v>
      </c>
      <c r="O850">
        <f t="shared" si="69"/>
        <v>15.25</v>
      </c>
    </row>
    <row r="851" spans="1:15" x14ac:dyDescent="0.3">
      <c r="A851">
        <v>850</v>
      </c>
      <c r="B851">
        <v>1</v>
      </c>
      <c r="C851" t="str">
        <f t="shared" si="65"/>
        <v>Yes</v>
      </c>
      <c r="D851" t="s">
        <v>960</v>
      </c>
      <c r="E851" t="s">
        <v>1822</v>
      </c>
      <c r="F851" t="str" cm="1">
        <f t="array" ref="F851">IF(OR(COUNTIF(D851,"*"&amp;$T$9:$T$15&amp;"*")),"Female","Male")</f>
        <v>Female</v>
      </c>
      <c r="G851">
        <v>16</v>
      </c>
      <c r="H851">
        <v>0</v>
      </c>
      <c r="I851">
        <v>1</v>
      </c>
      <c r="J851">
        <v>1</v>
      </c>
      <c r="K851">
        <v>39.4</v>
      </c>
      <c r="L851">
        <f t="shared" si="66"/>
        <v>1</v>
      </c>
      <c r="M851">
        <f t="shared" si="67"/>
        <v>16</v>
      </c>
      <c r="N851" t="str">
        <f t="shared" si="68"/>
        <v>Child</v>
      </c>
      <c r="O851">
        <f t="shared" si="69"/>
        <v>39.4</v>
      </c>
    </row>
    <row r="852" spans="1:15" x14ac:dyDescent="0.3">
      <c r="A852">
        <v>851</v>
      </c>
      <c r="B852">
        <v>0</v>
      </c>
      <c r="C852" t="str">
        <f t="shared" si="65"/>
        <v>No</v>
      </c>
      <c r="D852" t="s">
        <v>958</v>
      </c>
      <c r="E852" t="s">
        <v>1823</v>
      </c>
      <c r="F852" t="str" cm="1">
        <f t="array" ref="F852">IF(OR(COUNTIF(D852,"*"&amp;$T$9:$T$15&amp;"*")),"Female","Male")</f>
        <v>Female</v>
      </c>
      <c r="G852">
        <v>44</v>
      </c>
      <c r="H852">
        <v>1</v>
      </c>
      <c r="I852">
        <v>0</v>
      </c>
      <c r="J852">
        <v>2</v>
      </c>
      <c r="K852">
        <v>26</v>
      </c>
      <c r="L852">
        <f t="shared" si="66"/>
        <v>1</v>
      </c>
      <c r="M852">
        <f t="shared" si="67"/>
        <v>44</v>
      </c>
      <c r="N852" t="str">
        <f t="shared" si="68"/>
        <v>Adult</v>
      </c>
      <c r="O852">
        <f t="shared" si="69"/>
        <v>26</v>
      </c>
    </row>
    <row r="853" spans="1:15" x14ac:dyDescent="0.3">
      <c r="A853">
        <v>852</v>
      </c>
      <c r="B853">
        <v>1</v>
      </c>
      <c r="C853" t="str">
        <f t="shared" si="65"/>
        <v>Yes</v>
      </c>
      <c r="D853" t="s">
        <v>958</v>
      </c>
      <c r="E853" t="s">
        <v>1824</v>
      </c>
      <c r="F853" t="str" cm="1">
        <f t="array" ref="F853">IF(OR(COUNTIF(D853,"*"&amp;$T$9:$T$15&amp;"*")),"Female","Male")</f>
        <v>Female</v>
      </c>
      <c r="G853">
        <v>18</v>
      </c>
      <c r="H853">
        <v>0</v>
      </c>
      <c r="I853">
        <v>1</v>
      </c>
      <c r="J853">
        <v>3</v>
      </c>
      <c r="K853">
        <v>9.35</v>
      </c>
      <c r="L853">
        <f t="shared" si="66"/>
        <v>1</v>
      </c>
      <c r="M853">
        <f t="shared" si="67"/>
        <v>18</v>
      </c>
      <c r="N853" t="str">
        <f t="shared" si="68"/>
        <v>Adult</v>
      </c>
      <c r="O853">
        <f t="shared" si="69"/>
        <v>9.35</v>
      </c>
    </row>
    <row r="854" spans="1:15" x14ac:dyDescent="0.3">
      <c r="A854">
        <v>853</v>
      </c>
      <c r="B854">
        <v>1</v>
      </c>
      <c r="C854" t="str">
        <f t="shared" si="65"/>
        <v>Yes</v>
      </c>
      <c r="D854" t="s">
        <v>958</v>
      </c>
      <c r="E854" t="s">
        <v>1825</v>
      </c>
      <c r="F854" t="str" cm="1">
        <f t="array" ref="F854">IF(OR(COUNTIF(D854,"*"&amp;$T$9:$T$15&amp;"*")),"Female","Male")</f>
        <v>Female</v>
      </c>
      <c r="G854">
        <v>45</v>
      </c>
      <c r="H854">
        <v>1</v>
      </c>
      <c r="I854">
        <v>1</v>
      </c>
      <c r="J854">
        <v>1</v>
      </c>
      <c r="K854">
        <v>164.86670000000001</v>
      </c>
      <c r="L854">
        <f t="shared" si="66"/>
        <v>1</v>
      </c>
      <c r="M854">
        <f t="shared" si="67"/>
        <v>45</v>
      </c>
      <c r="N854" t="str">
        <f t="shared" si="68"/>
        <v>Adult</v>
      </c>
      <c r="O854">
        <f t="shared" si="69"/>
        <v>164.87</v>
      </c>
    </row>
    <row r="855" spans="1:15" x14ac:dyDescent="0.3">
      <c r="A855">
        <v>854</v>
      </c>
      <c r="B855">
        <v>1</v>
      </c>
      <c r="C855" t="str">
        <f t="shared" si="65"/>
        <v>Yes</v>
      </c>
      <c r="D855" t="s">
        <v>956</v>
      </c>
      <c r="E855" t="s">
        <v>1826</v>
      </c>
      <c r="F855" t="str" cm="1">
        <f t="array" ref="F855">IF(OR(COUNTIF(D855,"*"&amp;$T$9:$T$15&amp;"*")),"Female","Male")</f>
        <v>Male</v>
      </c>
      <c r="G855">
        <v>51</v>
      </c>
      <c r="H855">
        <v>0</v>
      </c>
      <c r="I855">
        <v>0</v>
      </c>
      <c r="J855">
        <v>1</v>
      </c>
      <c r="K855">
        <v>26.55</v>
      </c>
      <c r="L855">
        <f t="shared" si="66"/>
        <v>0</v>
      </c>
      <c r="M855">
        <f t="shared" si="67"/>
        <v>51</v>
      </c>
      <c r="N855" t="str">
        <f t="shared" si="68"/>
        <v>Adult</v>
      </c>
      <c r="O855">
        <f t="shared" si="69"/>
        <v>26.55</v>
      </c>
    </row>
    <row r="856" spans="1:15" x14ac:dyDescent="0.3">
      <c r="A856">
        <v>855</v>
      </c>
      <c r="B856">
        <v>1</v>
      </c>
      <c r="C856" t="str">
        <f t="shared" si="65"/>
        <v>Yes</v>
      </c>
      <c r="D856" t="s">
        <v>958</v>
      </c>
      <c r="E856" t="s">
        <v>1827</v>
      </c>
      <c r="F856" t="str" cm="1">
        <f t="array" ref="F856">IF(OR(COUNTIF(D856,"*"&amp;$T$9:$T$15&amp;"*")),"Female","Male")</f>
        <v>Female</v>
      </c>
      <c r="G856">
        <v>24</v>
      </c>
      <c r="H856">
        <v>0</v>
      </c>
      <c r="I856">
        <v>3</v>
      </c>
      <c r="J856">
        <v>3</v>
      </c>
      <c r="K856">
        <v>19.258299999999998</v>
      </c>
      <c r="L856">
        <f t="shared" si="66"/>
        <v>1</v>
      </c>
      <c r="M856">
        <f t="shared" si="67"/>
        <v>24</v>
      </c>
      <c r="N856" t="str">
        <f t="shared" si="68"/>
        <v>Adult</v>
      </c>
      <c r="O856">
        <f t="shared" si="69"/>
        <v>19.260000000000002</v>
      </c>
    </row>
    <row r="857" spans="1:15" x14ac:dyDescent="0.3">
      <c r="A857">
        <v>856</v>
      </c>
      <c r="B857">
        <v>0</v>
      </c>
      <c r="C857" t="str">
        <f t="shared" si="65"/>
        <v>No</v>
      </c>
      <c r="D857" t="s">
        <v>956</v>
      </c>
      <c r="E857" t="s">
        <v>1828</v>
      </c>
      <c r="F857" t="str" cm="1">
        <f t="array" ref="F857">IF(OR(COUNTIF(D857,"*"&amp;$T$9:$T$15&amp;"*")),"Female","Male")</f>
        <v>Male</v>
      </c>
      <c r="G857">
        <v>30</v>
      </c>
      <c r="H857">
        <v>0</v>
      </c>
      <c r="I857">
        <v>0</v>
      </c>
      <c r="J857">
        <v>3</v>
      </c>
      <c r="K857">
        <v>7.2291999999999996</v>
      </c>
      <c r="L857">
        <f t="shared" si="66"/>
        <v>0</v>
      </c>
      <c r="M857">
        <f t="shared" si="67"/>
        <v>30</v>
      </c>
      <c r="N857" t="str">
        <f t="shared" si="68"/>
        <v>Adult</v>
      </c>
      <c r="O857">
        <f t="shared" si="69"/>
        <v>7.23</v>
      </c>
    </row>
    <row r="858" spans="1:15" x14ac:dyDescent="0.3">
      <c r="A858">
        <v>857</v>
      </c>
      <c r="B858">
        <v>0</v>
      </c>
      <c r="C858" t="str">
        <f t="shared" si="65"/>
        <v>No</v>
      </c>
      <c r="D858" t="s">
        <v>956</v>
      </c>
      <c r="E858" t="s">
        <v>1829</v>
      </c>
      <c r="F858" t="str" cm="1">
        <f t="array" ref="F858">IF(OR(COUNTIF(D858,"*"&amp;$T$9:$T$15&amp;"*")),"Female","Male")</f>
        <v>Male</v>
      </c>
      <c r="G858">
        <v>41</v>
      </c>
      <c r="H858">
        <v>2</v>
      </c>
      <c r="I858">
        <v>0</v>
      </c>
      <c r="J858">
        <v>3</v>
      </c>
      <c r="K858">
        <v>14.1083</v>
      </c>
      <c r="L858">
        <f t="shared" si="66"/>
        <v>0</v>
      </c>
      <c r="M858">
        <f t="shared" si="67"/>
        <v>41</v>
      </c>
      <c r="N858" t="str">
        <f t="shared" si="68"/>
        <v>Adult</v>
      </c>
      <c r="O858">
        <f t="shared" si="69"/>
        <v>14.11</v>
      </c>
    </row>
    <row r="859" spans="1:15" x14ac:dyDescent="0.3">
      <c r="A859">
        <v>858</v>
      </c>
      <c r="B859">
        <v>0</v>
      </c>
      <c r="C859" t="str">
        <f t="shared" si="65"/>
        <v>No</v>
      </c>
      <c r="D859" t="s">
        <v>956</v>
      </c>
      <c r="E859" t="s">
        <v>1830</v>
      </c>
      <c r="F859" t="str" cm="1">
        <f t="array" ref="F859">IF(OR(COUNTIF(D859,"*"&amp;$T$9:$T$15&amp;"*")),"Female","Male")</f>
        <v>Male</v>
      </c>
      <c r="G859">
        <v>21</v>
      </c>
      <c r="H859">
        <v>1</v>
      </c>
      <c r="I859">
        <v>0</v>
      </c>
      <c r="J859">
        <v>2</v>
      </c>
      <c r="K859">
        <v>11.5</v>
      </c>
      <c r="L859">
        <f t="shared" si="66"/>
        <v>0</v>
      </c>
      <c r="M859">
        <f t="shared" si="67"/>
        <v>21</v>
      </c>
      <c r="N859" t="str">
        <f t="shared" si="68"/>
        <v>Adult</v>
      </c>
      <c r="O859">
        <f t="shared" si="69"/>
        <v>11.5</v>
      </c>
    </row>
    <row r="860" spans="1:15" x14ac:dyDescent="0.3">
      <c r="A860">
        <v>859</v>
      </c>
      <c r="B860">
        <v>1</v>
      </c>
      <c r="C860" t="str">
        <f t="shared" si="65"/>
        <v>Yes</v>
      </c>
      <c r="D860" t="s">
        <v>958</v>
      </c>
      <c r="E860" t="s">
        <v>1831</v>
      </c>
      <c r="F860" t="str" cm="1">
        <f t="array" ref="F860">IF(OR(COUNTIF(D860,"*"&amp;$T$9:$T$15&amp;"*")),"Female","Male")</f>
        <v>Female</v>
      </c>
      <c r="G860">
        <v>48</v>
      </c>
      <c r="H860">
        <v>0</v>
      </c>
      <c r="I860">
        <v>0</v>
      </c>
      <c r="J860">
        <v>1</v>
      </c>
      <c r="K860">
        <v>25.929200000000002</v>
      </c>
      <c r="L860">
        <f t="shared" si="66"/>
        <v>1</v>
      </c>
      <c r="M860">
        <f t="shared" si="67"/>
        <v>48</v>
      </c>
      <c r="N860" t="str">
        <f t="shared" si="68"/>
        <v>Adult</v>
      </c>
      <c r="O860">
        <f t="shared" si="69"/>
        <v>25.93</v>
      </c>
    </row>
    <row r="861" spans="1:15" x14ac:dyDescent="0.3">
      <c r="A861">
        <v>860</v>
      </c>
      <c r="B861">
        <v>0</v>
      </c>
      <c r="C861" t="str">
        <f t="shared" si="65"/>
        <v>No</v>
      </c>
      <c r="D861" t="s">
        <v>960</v>
      </c>
      <c r="E861" t="s">
        <v>1832</v>
      </c>
      <c r="F861" t="str" cm="1">
        <f t="array" ref="F861">IF(OR(COUNTIF(D861,"*"&amp;$T$9:$T$15&amp;"*")),"Female","Male")</f>
        <v>Female</v>
      </c>
      <c r="G861">
        <v>14</v>
      </c>
      <c r="H861">
        <v>8</v>
      </c>
      <c r="I861">
        <v>2</v>
      </c>
      <c r="J861">
        <v>3</v>
      </c>
      <c r="K861">
        <v>69.55</v>
      </c>
      <c r="L861">
        <f t="shared" si="66"/>
        <v>1</v>
      </c>
      <c r="M861">
        <f t="shared" si="67"/>
        <v>14</v>
      </c>
      <c r="N861" t="str">
        <f t="shared" si="68"/>
        <v>Child</v>
      </c>
      <c r="O861">
        <f t="shared" si="69"/>
        <v>69.55</v>
      </c>
    </row>
    <row r="862" spans="1:15" x14ac:dyDescent="0.3">
      <c r="A862">
        <v>861</v>
      </c>
      <c r="B862">
        <v>0</v>
      </c>
      <c r="C862" t="str">
        <f t="shared" si="65"/>
        <v>No</v>
      </c>
      <c r="D862" t="s">
        <v>956</v>
      </c>
      <c r="E862" t="s">
        <v>1833</v>
      </c>
      <c r="F862" t="str" cm="1">
        <f t="array" ref="F862">IF(OR(COUNTIF(D862,"*"&amp;$T$9:$T$15&amp;"*")),"Female","Male")</f>
        <v>Male</v>
      </c>
      <c r="G862">
        <v>24</v>
      </c>
      <c r="H862">
        <v>0</v>
      </c>
      <c r="I862">
        <v>0</v>
      </c>
      <c r="J862">
        <v>2</v>
      </c>
      <c r="K862">
        <v>13</v>
      </c>
      <c r="L862">
        <f t="shared" si="66"/>
        <v>0</v>
      </c>
      <c r="M862">
        <f t="shared" si="67"/>
        <v>24</v>
      </c>
      <c r="N862" t="str">
        <f t="shared" si="68"/>
        <v>Adult</v>
      </c>
      <c r="O862">
        <f t="shared" si="69"/>
        <v>13</v>
      </c>
    </row>
    <row r="863" spans="1:15" x14ac:dyDescent="0.3">
      <c r="A863">
        <v>862</v>
      </c>
      <c r="B863">
        <v>1</v>
      </c>
      <c r="C863" t="str">
        <f t="shared" si="65"/>
        <v>Yes</v>
      </c>
      <c r="D863" t="s">
        <v>958</v>
      </c>
      <c r="E863" t="s">
        <v>1834</v>
      </c>
      <c r="F863" t="str" cm="1">
        <f t="array" ref="F863">IF(OR(COUNTIF(D863,"*"&amp;$T$9:$T$15&amp;"*")),"Female","Male")</f>
        <v>Female</v>
      </c>
      <c r="G863">
        <v>42</v>
      </c>
      <c r="H863">
        <v>0</v>
      </c>
      <c r="I863">
        <v>0</v>
      </c>
      <c r="J863">
        <v>2</v>
      </c>
      <c r="K863">
        <v>13</v>
      </c>
      <c r="L863">
        <f t="shared" si="66"/>
        <v>1</v>
      </c>
      <c r="M863">
        <f t="shared" si="67"/>
        <v>42</v>
      </c>
      <c r="N863" t="str">
        <f t="shared" si="68"/>
        <v>Adult</v>
      </c>
      <c r="O863">
        <f t="shared" si="69"/>
        <v>13</v>
      </c>
    </row>
    <row r="864" spans="1:15" x14ac:dyDescent="0.3">
      <c r="A864">
        <v>863</v>
      </c>
      <c r="B864">
        <v>1</v>
      </c>
      <c r="C864" t="str">
        <f t="shared" si="65"/>
        <v>Yes</v>
      </c>
      <c r="D864" t="s">
        <v>960</v>
      </c>
      <c r="E864" t="s">
        <v>1835</v>
      </c>
      <c r="F864" t="str" cm="1">
        <f t="array" ref="F864">IF(OR(COUNTIF(D864,"*"&amp;$T$9:$T$15&amp;"*")),"Female","Male")</f>
        <v>Female</v>
      </c>
      <c r="G864">
        <v>27</v>
      </c>
      <c r="H864">
        <v>1</v>
      </c>
      <c r="I864">
        <v>0</v>
      </c>
      <c r="J864">
        <v>2</v>
      </c>
      <c r="K864">
        <v>13.8583</v>
      </c>
      <c r="L864">
        <f t="shared" si="66"/>
        <v>1</v>
      </c>
      <c r="M864">
        <f t="shared" si="67"/>
        <v>27</v>
      </c>
      <c r="N864" t="str">
        <f t="shared" si="68"/>
        <v>Adult</v>
      </c>
      <c r="O864">
        <f t="shared" si="69"/>
        <v>13.86</v>
      </c>
    </row>
    <row r="865" spans="1:15" x14ac:dyDescent="0.3">
      <c r="A865">
        <v>864</v>
      </c>
      <c r="B865">
        <v>0</v>
      </c>
      <c r="C865" t="str">
        <f t="shared" si="65"/>
        <v>No</v>
      </c>
      <c r="D865" t="s">
        <v>956</v>
      </c>
      <c r="E865" t="s">
        <v>1836</v>
      </c>
      <c r="F865" t="str" cm="1">
        <f t="array" ref="F865">IF(OR(COUNTIF(D865,"*"&amp;$T$9:$T$15&amp;"*")),"Female","Male")</f>
        <v>Male</v>
      </c>
      <c r="G865">
        <v>31</v>
      </c>
      <c r="H865">
        <v>0</v>
      </c>
      <c r="I865">
        <v>0</v>
      </c>
      <c r="J865">
        <v>1</v>
      </c>
      <c r="K865">
        <v>50.495800000000003</v>
      </c>
      <c r="L865">
        <f t="shared" si="66"/>
        <v>0</v>
      </c>
      <c r="M865">
        <f t="shared" si="67"/>
        <v>31</v>
      </c>
      <c r="N865" t="str">
        <f t="shared" si="68"/>
        <v>Adult</v>
      </c>
      <c r="O865">
        <f t="shared" si="69"/>
        <v>50.5</v>
      </c>
    </row>
    <row r="866" spans="1:15" x14ac:dyDescent="0.3">
      <c r="A866">
        <v>865</v>
      </c>
      <c r="B866">
        <v>0</v>
      </c>
      <c r="C866" t="str">
        <f t="shared" si="65"/>
        <v>No</v>
      </c>
      <c r="D866" t="s">
        <v>956</v>
      </c>
      <c r="E866" t="s">
        <v>1837</v>
      </c>
      <c r="F866" t="str" cm="1">
        <f t="array" ref="F866">IF(OR(COUNTIF(D866,"*"&amp;$T$9:$T$15&amp;"*")),"Female","Male")</f>
        <v>Male</v>
      </c>
      <c r="G866">
        <v>23</v>
      </c>
      <c r="H866">
        <v>0</v>
      </c>
      <c r="I866">
        <v>0</v>
      </c>
      <c r="J866">
        <v>3</v>
      </c>
      <c r="K866">
        <v>9.5</v>
      </c>
      <c r="L866">
        <f t="shared" si="66"/>
        <v>0</v>
      </c>
      <c r="M866">
        <f t="shared" si="67"/>
        <v>23</v>
      </c>
      <c r="N866" t="str">
        <f t="shared" si="68"/>
        <v>Adult</v>
      </c>
      <c r="O866">
        <f t="shared" si="69"/>
        <v>9.5</v>
      </c>
    </row>
    <row r="867" spans="1:15" x14ac:dyDescent="0.3">
      <c r="A867">
        <v>866</v>
      </c>
      <c r="B867">
        <v>1</v>
      </c>
      <c r="C867" t="str">
        <f t="shared" si="65"/>
        <v>Yes</v>
      </c>
      <c r="D867" t="s">
        <v>966</v>
      </c>
      <c r="E867" t="s">
        <v>1838</v>
      </c>
      <c r="F867" t="str" cm="1">
        <f t="array" ref="F867">IF(OR(COUNTIF(D867,"*"&amp;$T$9:$T$15&amp;"*")),"Female","Male")</f>
        <v>Male</v>
      </c>
      <c r="G867">
        <v>4</v>
      </c>
      <c r="H867">
        <v>1</v>
      </c>
      <c r="I867">
        <v>1</v>
      </c>
      <c r="J867">
        <v>3</v>
      </c>
      <c r="K867">
        <v>11.1333</v>
      </c>
      <c r="L867">
        <f t="shared" si="66"/>
        <v>0</v>
      </c>
      <c r="M867">
        <f t="shared" si="67"/>
        <v>4</v>
      </c>
      <c r="N867" t="str">
        <f t="shared" si="68"/>
        <v>Child</v>
      </c>
      <c r="O867">
        <f t="shared" si="69"/>
        <v>11.13</v>
      </c>
    </row>
    <row r="868" spans="1:15" x14ac:dyDescent="0.3">
      <c r="A868">
        <v>867</v>
      </c>
      <c r="B868">
        <v>0</v>
      </c>
      <c r="C868" t="str">
        <f t="shared" si="65"/>
        <v>No</v>
      </c>
      <c r="D868" t="s">
        <v>956</v>
      </c>
      <c r="E868" t="s">
        <v>1839</v>
      </c>
      <c r="F868" t="str" cm="1">
        <f t="array" ref="F868">IF(OR(COUNTIF(D868,"*"&amp;$T$9:$T$15&amp;"*")),"Female","Male")</f>
        <v>Male</v>
      </c>
      <c r="G868">
        <v>26</v>
      </c>
      <c r="H868">
        <v>0</v>
      </c>
      <c r="I868">
        <v>0</v>
      </c>
      <c r="J868">
        <v>3</v>
      </c>
      <c r="K868">
        <v>7.8958000000000004</v>
      </c>
      <c r="L868">
        <f t="shared" si="66"/>
        <v>0</v>
      </c>
      <c r="M868">
        <f t="shared" si="67"/>
        <v>26</v>
      </c>
      <c r="N868" t="str">
        <f t="shared" si="68"/>
        <v>Adult</v>
      </c>
      <c r="O868">
        <f t="shared" si="69"/>
        <v>7.9</v>
      </c>
    </row>
    <row r="869" spans="1:15" x14ac:dyDescent="0.3">
      <c r="A869">
        <v>868</v>
      </c>
      <c r="B869">
        <v>1</v>
      </c>
      <c r="C869" t="str">
        <f t="shared" si="65"/>
        <v>Yes</v>
      </c>
      <c r="D869" t="s">
        <v>958</v>
      </c>
      <c r="E869" t="s">
        <v>1840</v>
      </c>
      <c r="F869" t="str" cm="1">
        <f t="array" ref="F869">IF(OR(COUNTIF(D869,"*"&amp;$T$9:$T$15&amp;"*")),"Female","Male")</f>
        <v>Female</v>
      </c>
      <c r="G869">
        <v>47</v>
      </c>
      <c r="H869">
        <v>1</v>
      </c>
      <c r="I869">
        <v>1</v>
      </c>
      <c r="J869">
        <v>1</v>
      </c>
      <c r="K869">
        <v>52.554200000000002</v>
      </c>
      <c r="L869">
        <f t="shared" si="66"/>
        <v>1</v>
      </c>
      <c r="M869">
        <f t="shared" si="67"/>
        <v>47</v>
      </c>
      <c r="N869" t="str">
        <f t="shared" si="68"/>
        <v>Adult</v>
      </c>
      <c r="O869">
        <f t="shared" si="69"/>
        <v>52.55</v>
      </c>
    </row>
    <row r="870" spans="1:15" x14ac:dyDescent="0.3">
      <c r="A870">
        <v>869</v>
      </c>
      <c r="B870">
        <v>0</v>
      </c>
      <c r="C870" t="str">
        <f t="shared" si="65"/>
        <v>No</v>
      </c>
      <c r="D870" t="s">
        <v>956</v>
      </c>
      <c r="E870" t="s">
        <v>1841</v>
      </c>
      <c r="F870" t="str" cm="1">
        <f t="array" ref="F870">IF(OR(COUNTIF(D870,"*"&amp;$T$9:$T$15&amp;"*")),"Female","Male")</f>
        <v>Male</v>
      </c>
      <c r="G870">
        <v>33</v>
      </c>
      <c r="H870">
        <v>0</v>
      </c>
      <c r="I870">
        <v>0</v>
      </c>
      <c r="J870">
        <v>1</v>
      </c>
      <c r="K870">
        <v>5</v>
      </c>
      <c r="L870">
        <f t="shared" si="66"/>
        <v>0</v>
      </c>
      <c r="M870">
        <f t="shared" si="67"/>
        <v>33</v>
      </c>
      <c r="N870" t="str">
        <f t="shared" si="68"/>
        <v>Adult</v>
      </c>
      <c r="O870">
        <f t="shared" si="69"/>
        <v>5</v>
      </c>
    </row>
    <row r="871" spans="1:15" x14ac:dyDescent="0.3">
      <c r="A871">
        <v>870</v>
      </c>
      <c r="B871">
        <v>0</v>
      </c>
      <c r="C871" t="str">
        <f t="shared" si="65"/>
        <v>No</v>
      </c>
      <c r="D871" t="s">
        <v>956</v>
      </c>
      <c r="E871" t="s">
        <v>1842</v>
      </c>
      <c r="F871" t="str" cm="1">
        <f t="array" ref="F871">IF(OR(COUNTIF(D871,"*"&amp;$T$9:$T$15&amp;"*")),"Female","Male")</f>
        <v>Male</v>
      </c>
      <c r="G871">
        <v>47</v>
      </c>
      <c r="H871">
        <v>0</v>
      </c>
      <c r="I871">
        <v>0</v>
      </c>
      <c r="J871">
        <v>3</v>
      </c>
      <c r="K871">
        <v>9</v>
      </c>
      <c r="L871">
        <f t="shared" si="66"/>
        <v>0</v>
      </c>
      <c r="M871">
        <f t="shared" si="67"/>
        <v>47</v>
      </c>
      <c r="N871" t="str">
        <f t="shared" si="68"/>
        <v>Adult</v>
      </c>
      <c r="O871">
        <f t="shared" si="69"/>
        <v>9</v>
      </c>
    </row>
    <row r="872" spans="1:15" x14ac:dyDescent="0.3">
      <c r="A872">
        <v>871</v>
      </c>
      <c r="B872">
        <v>1</v>
      </c>
      <c r="C872" t="str">
        <f t="shared" si="65"/>
        <v>Yes</v>
      </c>
      <c r="D872" t="s">
        <v>958</v>
      </c>
      <c r="E872" t="s">
        <v>1843</v>
      </c>
      <c r="F872" t="str" cm="1">
        <f t="array" ref="F872">IF(OR(COUNTIF(D872,"*"&amp;$T$9:$T$15&amp;"*")),"Female","Male")</f>
        <v>Female</v>
      </c>
      <c r="G872">
        <v>28</v>
      </c>
      <c r="H872">
        <v>1</v>
      </c>
      <c r="I872">
        <v>0</v>
      </c>
      <c r="J872">
        <v>2</v>
      </c>
      <c r="K872">
        <v>24</v>
      </c>
      <c r="L872">
        <f t="shared" si="66"/>
        <v>1</v>
      </c>
      <c r="M872">
        <f t="shared" si="67"/>
        <v>28</v>
      </c>
      <c r="N872" t="str">
        <f t="shared" si="68"/>
        <v>Adult</v>
      </c>
      <c r="O872">
        <f t="shared" si="69"/>
        <v>24</v>
      </c>
    </row>
    <row r="873" spans="1:15" x14ac:dyDescent="0.3">
      <c r="A873">
        <v>872</v>
      </c>
      <c r="B873">
        <v>1</v>
      </c>
      <c r="C873" t="str">
        <f t="shared" si="65"/>
        <v>Yes</v>
      </c>
      <c r="D873" t="s">
        <v>960</v>
      </c>
      <c r="E873" t="s">
        <v>1844</v>
      </c>
      <c r="F873" t="str" cm="1">
        <f t="array" ref="F873">IF(OR(COUNTIF(D873,"*"&amp;$T$9:$T$15&amp;"*")),"Female","Male")</f>
        <v>Female</v>
      </c>
      <c r="G873">
        <v>15</v>
      </c>
      <c r="H873">
        <v>0</v>
      </c>
      <c r="I873">
        <v>0</v>
      </c>
      <c r="J873">
        <v>3</v>
      </c>
      <c r="K873">
        <v>7.2249999999999996</v>
      </c>
      <c r="L873">
        <f t="shared" si="66"/>
        <v>1</v>
      </c>
      <c r="M873">
        <f t="shared" si="67"/>
        <v>15</v>
      </c>
      <c r="N873" t="str">
        <f t="shared" si="68"/>
        <v>Child</v>
      </c>
      <c r="O873">
        <f t="shared" si="69"/>
        <v>7.23</v>
      </c>
    </row>
    <row r="874" spans="1:15" x14ac:dyDescent="0.3">
      <c r="A874">
        <v>873</v>
      </c>
      <c r="B874">
        <v>0</v>
      </c>
      <c r="C874" t="str">
        <f t="shared" si="65"/>
        <v>No</v>
      </c>
      <c r="D874" t="s">
        <v>956</v>
      </c>
      <c r="E874" t="s">
        <v>1845</v>
      </c>
      <c r="F874" t="str" cm="1">
        <f t="array" ref="F874">IF(OR(COUNTIF(D874,"*"&amp;$T$9:$T$15&amp;"*")),"Female","Male")</f>
        <v>Male</v>
      </c>
      <c r="G874">
        <v>20</v>
      </c>
      <c r="H874">
        <v>0</v>
      </c>
      <c r="I874">
        <v>0</v>
      </c>
      <c r="J874">
        <v>3</v>
      </c>
      <c r="K874">
        <v>9.8458000000000006</v>
      </c>
      <c r="L874">
        <f t="shared" si="66"/>
        <v>0</v>
      </c>
      <c r="M874">
        <f t="shared" si="67"/>
        <v>20</v>
      </c>
      <c r="N874" t="str">
        <f t="shared" si="68"/>
        <v>Adult</v>
      </c>
      <c r="O874">
        <f t="shared" si="69"/>
        <v>9.85</v>
      </c>
    </row>
    <row r="875" spans="1:15" x14ac:dyDescent="0.3">
      <c r="A875">
        <v>874</v>
      </c>
      <c r="B875">
        <v>0</v>
      </c>
      <c r="C875" t="str">
        <f t="shared" si="65"/>
        <v>No</v>
      </c>
      <c r="D875" t="s">
        <v>956</v>
      </c>
      <c r="E875" t="s">
        <v>1846</v>
      </c>
      <c r="F875" t="str" cm="1">
        <f t="array" ref="F875">IF(OR(COUNTIF(D875,"*"&amp;$T$9:$T$15&amp;"*")),"Female","Male")</f>
        <v>Male</v>
      </c>
      <c r="G875">
        <v>19</v>
      </c>
      <c r="H875">
        <v>0</v>
      </c>
      <c r="I875">
        <v>0</v>
      </c>
      <c r="J875">
        <v>3</v>
      </c>
      <c r="K875">
        <v>7.8958000000000004</v>
      </c>
      <c r="L875">
        <f t="shared" si="66"/>
        <v>0</v>
      </c>
      <c r="M875">
        <f t="shared" si="67"/>
        <v>19</v>
      </c>
      <c r="N875" t="str">
        <f t="shared" si="68"/>
        <v>Adult</v>
      </c>
      <c r="O875">
        <f t="shared" si="69"/>
        <v>7.9</v>
      </c>
    </row>
    <row r="876" spans="1:15" x14ac:dyDescent="0.3">
      <c r="A876">
        <v>875</v>
      </c>
      <c r="B876">
        <v>0</v>
      </c>
      <c r="C876" t="str">
        <f t="shared" si="65"/>
        <v>No</v>
      </c>
      <c r="D876" t="s">
        <v>956</v>
      </c>
      <c r="E876" t="s">
        <v>1847</v>
      </c>
      <c r="F876" t="str" cm="1">
        <f t="array" ref="F876">IF(OR(COUNTIF(D876,"*"&amp;$T$9:$T$15&amp;"*")),"Female","Male")</f>
        <v>Male</v>
      </c>
      <c r="G876">
        <v>23</v>
      </c>
      <c r="H876">
        <v>0</v>
      </c>
      <c r="I876">
        <v>0</v>
      </c>
      <c r="J876">
        <v>3</v>
      </c>
      <c r="K876">
        <v>7.8958000000000004</v>
      </c>
      <c r="L876">
        <f t="shared" si="66"/>
        <v>0</v>
      </c>
      <c r="M876">
        <f t="shared" si="67"/>
        <v>23</v>
      </c>
      <c r="N876" t="str">
        <f t="shared" si="68"/>
        <v>Adult</v>
      </c>
      <c r="O876">
        <f t="shared" si="69"/>
        <v>7.9</v>
      </c>
    </row>
    <row r="877" spans="1:15" x14ac:dyDescent="0.3">
      <c r="A877">
        <v>876</v>
      </c>
      <c r="B877">
        <v>1</v>
      </c>
      <c r="C877" t="str">
        <f t="shared" si="65"/>
        <v>Yes</v>
      </c>
      <c r="D877" t="s">
        <v>958</v>
      </c>
      <c r="E877" t="s">
        <v>1848</v>
      </c>
      <c r="F877" t="str" cm="1">
        <f t="array" ref="F877">IF(OR(COUNTIF(D877,"*"&amp;$T$9:$T$15&amp;"*")),"Female","Male")</f>
        <v>Female</v>
      </c>
      <c r="G877">
        <v>56</v>
      </c>
      <c r="H877">
        <v>0</v>
      </c>
      <c r="I877">
        <v>1</v>
      </c>
      <c r="J877">
        <v>1</v>
      </c>
      <c r="K877">
        <v>83.158299999999997</v>
      </c>
      <c r="L877">
        <f t="shared" si="66"/>
        <v>1</v>
      </c>
      <c r="M877">
        <f t="shared" si="67"/>
        <v>56</v>
      </c>
      <c r="N877" t="str">
        <f t="shared" si="68"/>
        <v>Adult</v>
      </c>
      <c r="O877">
        <f t="shared" si="69"/>
        <v>83.16</v>
      </c>
    </row>
    <row r="878" spans="1:15" x14ac:dyDescent="0.3">
      <c r="A878">
        <v>877</v>
      </c>
      <c r="B878">
        <v>1</v>
      </c>
      <c r="C878" t="str">
        <f t="shared" si="65"/>
        <v>Yes</v>
      </c>
      <c r="D878" t="s">
        <v>958</v>
      </c>
      <c r="E878" t="s">
        <v>1849</v>
      </c>
      <c r="F878" t="str" cm="1">
        <f t="array" ref="F878">IF(OR(COUNTIF(D878,"*"&amp;$T$9:$T$15&amp;"*")),"Female","Male")</f>
        <v>Female</v>
      </c>
      <c r="G878">
        <v>25</v>
      </c>
      <c r="H878">
        <v>0</v>
      </c>
      <c r="I878">
        <v>1</v>
      </c>
      <c r="J878">
        <v>2</v>
      </c>
      <c r="K878">
        <v>26</v>
      </c>
      <c r="L878">
        <f t="shared" si="66"/>
        <v>1</v>
      </c>
      <c r="M878">
        <f t="shared" si="67"/>
        <v>25</v>
      </c>
      <c r="N878" t="str">
        <f t="shared" si="68"/>
        <v>Adult</v>
      </c>
      <c r="O878">
        <f t="shared" si="69"/>
        <v>26</v>
      </c>
    </row>
    <row r="879" spans="1:15" x14ac:dyDescent="0.3">
      <c r="A879">
        <v>878</v>
      </c>
      <c r="B879">
        <v>0</v>
      </c>
      <c r="C879" t="str">
        <f t="shared" si="65"/>
        <v>No</v>
      </c>
      <c r="D879" t="s">
        <v>956</v>
      </c>
      <c r="E879" t="s">
        <v>1850</v>
      </c>
      <c r="F879" t="str" cm="1">
        <f t="array" ref="F879">IF(OR(COUNTIF(D879,"*"&amp;$T$9:$T$15&amp;"*")),"Female","Male")</f>
        <v>Male</v>
      </c>
      <c r="G879">
        <v>33</v>
      </c>
      <c r="H879">
        <v>0</v>
      </c>
      <c r="I879">
        <v>0</v>
      </c>
      <c r="J879">
        <v>3</v>
      </c>
      <c r="K879">
        <v>7.8958000000000004</v>
      </c>
      <c r="L879">
        <f t="shared" si="66"/>
        <v>0</v>
      </c>
      <c r="M879">
        <f t="shared" si="67"/>
        <v>33</v>
      </c>
      <c r="N879" t="str">
        <f t="shared" si="68"/>
        <v>Adult</v>
      </c>
      <c r="O879">
        <f t="shared" si="69"/>
        <v>7.9</v>
      </c>
    </row>
    <row r="880" spans="1:15" x14ac:dyDescent="0.3">
      <c r="A880">
        <v>879</v>
      </c>
      <c r="B880">
        <v>0</v>
      </c>
      <c r="C880" t="str">
        <f t="shared" si="65"/>
        <v>No</v>
      </c>
      <c r="D880" t="s">
        <v>960</v>
      </c>
      <c r="E880" t="s">
        <v>1851</v>
      </c>
      <c r="F880" t="str" cm="1">
        <f t="array" ref="F880">IF(OR(COUNTIF(D880,"*"&amp;$T$9:$T$15&amp;"*")),"Female","Male")</f>
        <v>Female</v>
      </c>
      <c r="G880">
        <v>22</v>
      </c>
      <c r="H880">
        <v>0</v>
      </c>
      <c r="I880">
        <v>0</v>
      </c>
      <c r="J880">
        <v>3</v>
      </c>
      <c r="K880">
        <v>10.5167</v>
      </c>
      <c r="L880">
        <f t="shared" si="66"/>
        <v>1</v>
      </c>
      <c r="M880">
        <f t="shared" si="67"/>
        <v>22</v>
      </c>
      <c r="N880" t="str">
        <f t="shared" si="68"/>
        <v>Adult</v>
      </c>
      <c r="O880">
        <f t="shared" si="69"/>
        <v>10.52</v>
      </c>
    </row>
    <row r="881" spans="1:15" x14ac:dyDescent="0.3">
      <c r="A881">
        <v>880</v>
      </c>
      <c r="B881">
        <v>0</v>
      </c>
      <c r="C881" t="str">
        <f t="shared" si="65"/>
        <v>No</v>
      </c>
      <c r="D881" t="s">
        <v>956</v>
      </c>
      <c r="E881" t="s">
        <v>1852</v>
      </c>
      <c r="F881" t="str" cm="1">
        <f t="array" ref="F881">IF(OR(COUNTIF(D881,"*"&amp;$T$9:$T$15&amp;"*")),"Female","Male")</f>
        <v>Male</v>
      </c>
      <c r="G881">
        <v>28</v>
      </c>
      <c r="H881">
        <v>0</v>
      </c>
      <c r="I881">
        <v>0</v>
      </c>
      <c r="J881">
        <v>2</v>
      </c>
      <c r="K881">
        <v>10.5</v>
      </c>
      <c r="L881">
        <f t="shared" si="66"/>
        <v>0</v>
      </c>
      <c r="M881">
        <f t="shared" si="67"/>
        <v>28</v>
      </c>
      <c r="N881" t="str">
        <f t="shared" si="68"/>
        <v>Adult</v>
      </c>
      <c r="O881">
        <f t="shared" si="69"/>
        <v>10.5</v>
      </c>
    </row>
    <row r="882" spans="1:15" x14ac:dyDescent="0.3">
      <c r="A882">
        <v>881</v>
      </c>
      <c r="B882">
        <v>0</v>
      </c>
      <c r="C882" t="str">
        <f t="shared" si="65"/>
        <v>No</v>
      </c>
      <c r="D882" t="s">
        <v>956</v>
      </c>
      <c r="E882" t="s">
        <v>1853</v>
      </c>
      <c r="F882" t="str" cm="1">
        <f t="array" ref="F882">IF(OR(COUNTIF(D882,"*"&amp;$T$9:$T$15&amp;"*")),"Female","Male")</f>
        <v>Male</v>
      </c>
      <c r="G882">
        <v>25</v>
      </c>
      <c r="H882">
        <v>0</v>
      </c>
      <c r="I882">
        <v>0</v>
      </c>
      <c r="J882">
        <v>3</v>
      </c>
      <c r="K882">
        <v>7.05</v>
      </c>
      <c r="L882">
        <f t="shared" si="66"/>
        <v>0</v>
      </c>
      <c r="M882">
        <f t="shared" si="67"/>
        <v>25</v>
      </c>
      <c r="N882" t="str">
        <f t="shared" si="68"/>
        <v>Adult</v>
      </c>
      <c r="O882">
        <f t="shared" si="69"/>
        <v>7.05</v>
      </c>
    </row>
    <row r="883" spans="1:15" x14ac:dyDescent="0.3">
      <c r="A883">
        <v>882</v>
      </c>
      <c r="B883">
        <v>0</v>
      </c>
      <c r="C883" t="str">
        <f t="shared" si="65"/>
        <v>No</v>
      </c>
      <c r="D883" t="s">
        <v>958</v>
      </c>
      <c r="E883" t="s">
        <v>1854</v>
      </c>
      <c r="F883" t="str" cm="1">
        <f t="array" ref="F883">IF(OR(COUNTIF(D883,"*"&amp;$T$9:$T$15&amp;"*")),"Female","Male")</f>
        <v>Female</v>
      </c>
      <c r="G883">
        <v>39</v>
      </c>
      <c r="H883">
        <v>0</v>
      </c>
      <c r="I883">
        <v>5</v>
      </c>
      <c r="J883">
        <v>3</v>
      </c>
      <c r="K883">
        <v>29.125</v>
      </c>
      <c r="L883">
        <f t="shared" si="66"/>
        <v>1</v>
      </c>
      <c r="M883">
        <f t="shared" si="67"/>
        <v>39</v>
      </c>
      <c r="N883" t="str">
        <f t="shared" si="68"/>
        <v>Adult</v>
      </c>
      <c r="O883">
        <f t="shared" si="69"/>
        <v>29.13</v>
      </c>
    </row>
    <row r="884" spans="1:15" x14ac:dyDescent="0.3">
      <c r="A884">
        <v>883</v>
      </c>
      <c r="B884">
        <v>0</v>
      </c>
      <c r="C884" t="str">
        <f t="shared" si="65"/>
        <v>No</v>
      </c>
      <c r="D884" t="s">
        <v>1109</v>
      </c>
      <c r="E884" t="s">
        <v>1855</v>
      </c>
      <c r="F884" t="str" cm="1">
        <f t="array" ref="F884">IF(OR(COUNTIF(D884,"*"&amp;$T$9:$T$15&amp;"*")),"Female","Male")</f>
        <v>Male</v>
      </c>
      <c r="G884">
        <v>27</v>
      </c>
      <c r="H884">
        <v>0</v>
      </c>
      <c r="I884">
        <v>0</v>
      </c>
      <c r="J884">
        <v>2</v>
      </c>
      <c r="K884">
        <v>13</v>
      </c>
      <c r="L884">
        <f t="shared" si="66"/>
        <v>0</v>
      </c>
      <c r="M884">
        <f t="shared" si="67"/>
        <v>27</v>
      </c>
      <c r="N884" t="str">
        <f t="shared" si="68"/>
        <v>Adult</v>
      </c>
      <c r="O884">
        <f t="shared" si="69"/>
        <v>13</v>
      </c>
    </row>
    <row r="885" spans="1:15" x14ac:dyDescent="0.3">
      <c r="A885">
        <v>884</v>
      </c>
      <c r="B885">
        <v>1</v>
      </c>
      <c r="C885" t="str">
        <f t="shared" si="65"/>
        <v>Yes</v>
      </c>
      <c r="D885" t="s">
        <v>960</v>
      </c>
      <c r="E885" t="s">
        <v>1856</v>
      </c>
      <c r="F885" t="str" cm="1">
        <f t="array" ref="F885">IF(OR(COUNTIF(D885,"*"&amp;$T$9:$T$15&amp;"*")),"Female","Male")</f>
        <v>Female</v>
      </c>
      <c r="G885">
        <v>19</v>
      </c>
      <c r="H885">
        <v>0</v>
      </c>
      <c r="I885">
        <v>0</v>
      </c>
      <c r="J885">
        <v>1</v>
      </c>
      <c r="K885">
        <v>30</v>
      </c>
      <c r="L885">
        <f t="shared" si="66"/>
        <v>1</v>
      </c>
      <c r="M885">
        <f t="shared" si="67"/>
        <v>19</v>
      </c>
      <c r="N885" t="str">
        <f t="shared" si="68"/>
        <v>Adult</v>
      </c>
      <c r="O885">
        <f t="shared" si="69"/>
        <v>30</v>
      </c>
    </row>
    <row r="886" spans="1:15" x14ac:dyDescent="0.3">
      <c r="A886">
        <v>885</v>
      </c>
      <c r="B886">
        <v>0</v>
      </c>
      <c r="C886" t="str">
        <f t="shared" si="65"/>
        <v>No</v>
      </c>
      <c r="D886" t="s">
        <v>960</v>
      </c>
      <c r="E886" t="s">
        <v>1857</v>
      </c>
      <c r="F886" t="str" cm="1">
        <f t="array" ref="F886">IF(OR(COUNTIF(D886,"*"&amp;$T$9:$T$15&amp;"*")),"Female","Male")</f>
        <v>Female</v>
      </c>
      <c r="G886">
        <v>7</v>
      </c>
      <c r="H886">
        <v>1</v>
      </c>
      <c r="I886">
        <v>2</v>
      </c>
      <c r="J886">
        <v>3</v>
      </c>
      <c r="K886">
        <v>23.45</v>
      </c>
      <c r="L886">
        <f t="shared" si="66"/>
        <v>1</v>
      </c>
      <c r="M886">
        <f t="shared" si="67"/>
        <v>7</v>
      </c>
      <c r="N886" t="str">
        <f t="shared" si="68"/>
        <v>Child</v>
      </c>
      <c r="O886">
        <f t="shared" si="69"/>
        <v>23.45</v>
      </c>
    </row>
    <row r="887" spans="1:15" x14ac:dyDescent="0.3">
      <c r="A887">
        <v>886</v>
      </c>
      <c r="B887">
        <v>1</v>
      </c>
      <c r="C887" t="str">
        <f t="shared" si="65"/>
        <v>Yes</v>
      </c>
      <c r="D887" t="s">
        <v>956</v>
      </c>
      <c r="E887" t="s">
        <v>1858</v>
      </c>
      <c r="F887" t="str" cm="1">
        <f t="array" ref="F887">IF(OR(COUNTIF(D887,"*"&amp;$T$9:$T$15&amp;"*")),"Female","Male")</f>
        <v>Male</v>
      </c>
      <c r="G887">
        <v>26</v>
      </c>
      <c r="H887">
        <v>0</v>
      </c>
      <c r="I887">
        <v>0</v>
      </c>
      <c r="J887">
        <v>1</v>
      </c>
      <c r="K887">
        <v>30</v>
      </c>
      <c r="L887">
        <f t="shared" si="66"/>
        <v>0</v>
      </c>
      <c r="M887">
        <f t="shared" si="67"/>
        <v>26</v>
      </c>
      <c r="N887" t="str">
        <f t="shared" si="68"/>
        <v>Adult</v>
      </c>
      <c r="O887">
        <f t="shared" si="69"/>
        <v>30</v>
      </c>
    </row>
    <row r="888" spans="1:15" x14ac:dyDescent="0.3">
      <c r="A888">
        <v>887</v>
      </c>
      <c r="B888">
        <v>0</v>
      </c>
      <c r="C888" t="str">
        <f t="shared" si="65"/>
        <v>No</v>
      </c>
      <c r="D888" t="s">
        <v>956</v>
      </c>
      <c r="E888" t="s">
        <v>1859</v>
      </c>
      <c r="F888" t="str" cm="1">
        <f t="array" ref="F888">IF(OR(COUNTIF(D888,"*"&amp;$T$9:$T$15&amp;"*")),"Female","Male")</f>
        <v>Male</v>
      </c>
      <c r="G888">
        <v>32</v>
      </c>
      <c r="H888">
        <v>0</v>
      </c>
      <c r="I888">
        <v>0</v>
      </c>
      <c r="J888">
        <v>3</v>
      </c>
      <c r="K888">
        <v>7.75</v>
      </c>
      <c r="L888">
        <f t="shared" si="66"/>
        <v>0</v>
      </c>
      <c r="M888">
        <f t="shared" si="67"/>
        <v>32</v>
      </c>
      <c r="N888" t="str">
        <f t="shared" si="68"/>
        <v>Adult</v>
      </c>
      <c r="O888">
        <f t="shared" si="69"/>
        <v>7.75</v>
      </c>
    </row>
  </sheetData>
  <hyperlinks>
    <hyperlink ref="Q1" r:id="rId1" xr:uid="{86ADBCCE-DD5E-472A-A242-2F35AC5C4460}"/>
    <hyperlink ref="Q2" r:id="rId2" xr:uid="{7887E683-C890-4D6B-9944-E3FCEC1F7808}"/>
    <hyperlink ref="Q3" r:id="rId3" xr:uid="{CC967450-8545-4181-9B8A-963B8B88DF4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CF82F-2A05-4847-BE44-80861D867D36}">
  <dimension ref="A1:Q888"/>
  <sheetViews>
    <sheetView topLeftCell="B1" workbookViewId="0">
      <selection activeCell="F2" sqref="F2"/>
    </sheetView>
  </sheetViews>
  <sheetFormatPr defaultRowHeight="14.4" x14ac:dyDescent="0.3"/>
  <cols>
    <col min="2" max="2" width="9.6640625" customWidth="1"/>
    <col min="3" max="3" width="13.6640625" customWidth="1"/>
    <col min="4" max="4" width="10" customWidth="1"/>
    <col min="8" max="8" width="22.44140625" customWidth="1"/>
    <col min="9" max="9" width="22.77734375" customWidth="1"/>
    <col min="12" max="12" width="9.5546875" customWidth="1"/>
    <col min="13" max="13" width="13.5546875" customWidth="1"/>
    <col min="14" max="14" width="11.5546875" customWidth="1"/>
    <col min="15" max="15" width="14.109375" customWidth="1"/>
  </cols>
  <sheetData>
    <row r="1" spans="1:17" x14ac:dyDescent="0.3">
      <c r="A1" t="s">
        <v>4</v>
      </c>
      <c r="B1" t="s">
        <v>1883</v>
      </c>
      <c r="C1" t="s">
        <v>5</v>
      </c>
      <c r="D1" t="s">
        <v>1861</v>
      </c>
      <c r="E1" t="s">
        <v>6</v>
      </c>
      <c r="F1" t="s">
        <v>7</v>
      </c>
      <c r="G1" t="s">
        <v>8</v>
      </c>
      <c r="H1" t="s">
        <v>9</v>
      </c>
      <c r="I1" t="s">
        <v>10</v>
      </c>
      <c r="J1" t="s">
        <v>11</v>
      </c>
      <c r="K1" t="s">
        <v>12</v>
      </c>
      <c r="L1" t="s">
        <v>1867</v>
      </c>
      <c r="M1" t="s">
        <v>1869</v>
      </c>
      <c r="N1" t="s">
        <v>1870</v>
      </c>
      <c r="O1" t="s">
        <v>1871</v>
      </c>
    </row>
    <row r="2" spans="1:17" x14ac:dyDescent="0.3">
      <c r="A2">
        <v>1</v>
      </c>
      <c r="B2">
        <v>0</v>
      </c>
      <c r="C2" t="str">
        <f>IF(B2=0,"No","Yes")</f>
        <v>No</v>
      </c>
      <c r="D2" t="s">
        <v>956</v>
      </c>
      <c r="E2" t="s">
        <v>957</v>
      </c>
      <c r="F2" t="str" cm="1">
        <f t="array" ref="F2">IF(OR(COUNTIF(D2,"*"&amp;Preprocessing!$T$9:$T$15&amp;"*")),"Female","Male")</f>
        <v>Male</v>
      </c>
      <c r="G2">
        <v>22</v>
      </c>
      <c r="H2">
        <v>1</v>
      </c>
      <c r="I2">
        <v>0</v>
      </c>
      <c r="J2">
        <v>3</v>
      </c>
      <c r="K2">
        <v>7.25</v>
      </c>
      <c r="L2">
        <f>IF(F2 = "Male", 0, 1)</f>
        <v>0</v>
      </c>
      <c r="M2">
        <f>ROUND(G2, 0)</f>
        <v>22</v>
      </c>
      <c r="N2" t="str">
        <f>IF(G2&lt;=16,"Child","Adult")</f>
        <v>Adult</v>
      </c>
      <c r="O2">
        <f>ROUND(K2, 2)</f>
        <v>7.25</v>
      </c>
      <c r="Q2" t="s">
        <v>1881</v>
      </c>
    </row>
    <row r="3" spans="1:17" x14ac:dyDescent="0.3">
      <c r="A3">
        <v>2</v>
      </c>
      <c r="B3">
        <v>1</v>
      </c>
      <c r="C3" t="str">
        <f t="shared" ref="C3:C66" si="0">IF(B3=0,"No","Yes")</f>
        <v>Yes</v>
      </c>
      <c r="D3" t="s">
        <v>958</v>
      </c>
      <c r="E3" t="s">
        <v>959</v>
      </c>
      <c r="F3" t="str" cm="1">
        <f t="array" ref="F3">IF(OR(COUNTIF(D3,"*"&amp;Preprocessing!$T$9:$T$15&amp;"*")),"Female","Male")</f>
        <v>Female</v>
      </c>
      <c r="G3">
        <v>38</v>
      </c>
      <c r="H3">
        <v>1</v>
      </c>
      <c r="I3">
        <v>0</v>
      </c>
      <c r="J3">
        <v>1</v>
      </c>
      <c r="K3">
        <v>71.283299999999997</v>
      </c>
      <c r="L3">
        <f t="shared" ref="L3:L66" si="1">IF(F3 = "Male", 0, 1)</f>
        <v>1</v>
      </c>
      <c r="M3">
        <f t="shared" ref="M3:M66" si="2">ROUND(G3, 0)</f>
        <v>38</v>
      </c>
      <c r="N3" t="str">
        <f t="shared" ref="N3:N66" si="3">IF(G3&lt;=16,"Child","Adult")</f>
        <v>Adult</v>
      </c>
      <c r="O3">
        <f t="shared" ref="O3:O66" si="4">ROUND(K3, 2)</f>
        <v>71.28</v>
      </c>
      <c r="Q3" t="s">
        <v>1882</v>
      </c>
    </row>
    <row r="4" spans="1:17" x14ac:dyDescent="0.3">
      <c r="A4">
        <v>3</v>
      </c>
      <c r="B4">
        <v>1</v>
      </c>
      <c r="C4" t="str">
        <f t="shared" si="0"/>
        <v>Yes</v>
      </c>
      <c r="D4" t="s">
        <v>960</v>
      </c>
      <c r="E4" t="s">
        <v>961</v>
      </c>
      <c r="F4" t="str" cm="1">
        <f t="array" ref="F4">IF(OR(COUNTIF(D4,"*"&amp;Preprocessing!$T$9:$T$15&amp;"*")),"Female","Male")</f>
        <v>Female</v>
      </c>
      <c r="G4">
        <v>26</v>
      </c>
      <c r="H4">
        <v>0</v>
      </c>
      <c r="I4">
        <v>0</v>
      </c>
      <c r="J4">
        <v>3</v>
      </c>
      <c r="K4">
        <v>7.9249999999999998</v>
      </c>
      <c r="L4">
        <f t="shared" si="1"/>
        <v>1</v>
      </c>
      <c r="M4">
        <f t="shared" si="2"/>
        <v>26</v>
      </c>
      <c r="N4" t="str">
        <f t="shared" si="3"/>
        <v>Adult</v>
      </c>
      <c r="O4">
        <f t="shared" si="4"/>
        <v>7.93</v>
      </c>
    </row>
    <row r="5" spans="1:17" x14ac:dyDescent="0.3">
      <c r="A5">
        <v>4</v>
      </c>
      <c r="B5">
        <v>1</v>
      </c>
      <c r="C5" t="str">
        <f t="shared" si="0"/>
        <v>Yes</v>
      </c>
      <c r="D5" t="s">
        <v>958</v>
      </c>
      <c r="E5" t="s">
        <v>962</v>
      </c>
      <c r="F5" t="str" cm="1">
        <f t="array" ref="F5">IF(OR(COUNTIF(D5,"*"&amp;Preprocessing!$T$9:$T$15&amp;"*")),"Female","Male")</f>
        <v>Female</v>
      </c>
      <c r="G5">
        <v>35</v>
      </c>
      <c r="H5">
        <v>1</v>
      </c>
      <c r="I5">
        <v>0</v>
      </c>
      <c r="J5">
        <v>1</v>
      </c>
      <c r="K5">
        <v>53.1</v>
      </c>
      <c r="L5">
        <f t="shared" si="1"/>
        <v>1</v>
      </c>
      <c r="M5">
        <f t="shared" si="2"/>
        <v>35</v>
      </c>
      <c r="N5" t="str">
        <f t="shared" si="3"/>
        <v>Adult</v>
      </c>
      <c r="O5">
        <f t="shared" si="4"/>
        <v>53.1</v>
      </c>
      <c r="Q5">
        <f>COUNTIF(N:N,"Child")</f>
        <v>114</v>
      </c>
    </row>
    <row r="6" spans="1:17" x14ac:dyDescent="0.3">
      <c r="A6">
        <v>5</v>
      </c>
      <c r="B6">
        <v>0</v>
      </c>
      <c r="C6" t="str">
        <f t="shared" si="0"/>
        <v>No</v>
      </c>
      <c r="D6" t="s">
        <v>956</v>
      </c>
      <c r="E6" t="s">
        <v>963</v>
      </c>
      <c r="F6" t="str" cm="1">
        <f t="array" ref="F6">IF(OR(COUNTIF(D6,"*"&amp;Preprocessing!$T$9:$T$15&amp;"*")),"Female","Male")</f>
        <v>Male</v>
      </c>
      <c r="G6">
        <v>35</v>
      </c>
      <c r="H6">
        <v>0</v>
      </c>
      <c r="I6">
        <v>0</v>
      </c>
      <c r="J6">
        <v>3</v>
      </c>
      <c r="K6">
        <v>8.0500000000000007</v>
      </c>
      <c r="L6">
        <f t="shared" si="1"/>
        <v>0</v>
      </c>
      <c r="M6">
        <f t="shared" si="2"/>
        <v>35</v>
      </c>
      <c r="N6" t="str">
        <f t="shared" si="3"/>
        <v>Adult</v>
      </c>
      <c r="O6">
        <f t="shared" si="4"/>
        <v>8.0500000000000007</v>
      </c>
    </row>
    <row r="7" spans="1:17" x14ac:dyDescent="0.3">
      <c r="A7">
        <v>6</v>
      </c>
      <c r="B7">
        <v>0</v>
      </c>
      <c r="C7" t="str">
        <f t="shared" si="0"/>
        <v>No</v>
      </c>
      <c r="D7" t="s">
        <v>956</v>
      </c>
      <c r="E7" t="s">
        <v>964</v>
      </c>
      <c r="F7" t="str" cm="1">
        <f t="array" ref="F7">IF(OR(COUNTIF(D7,"*"&amp;Preprocessing!$T$9:$T$15&amp;"*")),"Female","Male")</f>
        <v>Male</v>
      </c>
      <c r="G7">
        <v>27</v>
      </c>
      <c r="H7">
        <v>0</v>
      </c>
      <c r="I7">
        <v>0</v>
      </c>
      <c r="J7">
        <v>3</v>
      </c>
      <c r="K7">
        <v>8.4582999999999995</v>
      </c>
      <c r="L7">
        <f t="shared" si="1"/>
        <v>0</v>
      </c>
      <c r="M7">
        <f t="shared" si="2"/>
        <v>27</v>
      </c>
      <c r="N7" t="str">
        <f t="shared" si="3"/>
        <v>Adult</v>
      </c>
      <c r="O7">
        <f t="shared" si="4"/>
        <v>8.4600000000000009</v>
      </c>
    </row>
    <row r="8" spans="1:17" x14ac:dyDescent="0.3">
      <c r="A8">
        <v>7</v>
      </c>
      <c r="B8">
        <v>0</v>
      </c>
      <c r="C8" t="str">
        <f t="shared" si="0"/>
        <v>No</v>
      </c>
      <c r="D8" t="s">
        <v>956</v>
      </c>
      <c r="E8" t="s">
        <v>965</v>
      </c>
      <c r="F8" t="str" cm="1">
        <f t="array" ref="F8">IF(OR(COUNTIF(D8,"*"&amp;Preprocessing!$T$9:$T$15&amp;"*")),"Female","Male")</f>
        <v>Male</v>
      </c>
      <c r="G8">
        <v>54</v>
      </c>
      <c r="H8">
        <v>0</v>
      </c>
      <c r="I8">
        <v>0</v>
      </c>
      <c r="J8">
        <v>1</v>
      </c>
      <c r="K8">
        <v>51.862499999999997</v>
      </c>
      <c r="L8">
        <f t="shared" si="1"/>
        <v>0</v>
      </c>
      <c r="M8">
        <f t="shared" si="2"/>
        <v>54</v>
      </c>
      <c r="N8" t="str">
        <f t="shared" si="3"/>
        <v>Adult</v>
      </c>
      <c r="O8">
        <f t="shared" si="4"/>
        <v>51.86</v>
      </c>
    </row>
    <row r="9" spans="1:17" x14ac:dyDescent="0.3">
      <c r="A9">
        <v>8</v>
      </c>
      <c r="B9">
        <v>0</v>
      </c>
      <c r="C9" t="str">
        <f t="shared" si="0"/>
        <v>No</v>
      </c>
      <c r="D9" t="s">
        <v>966</v>
      </c>
      <c r="E9" t="s">
        <v>967</v>
      </c>
      <c r="F9" t="str" cm="1">
        <f t="array" ref="F9">IF(OR(COUNTIF(D9,"*"&amp;Preprocessing!$T$9:$T$15&amp;"*")),"Female","Male")</f>
        <v>Male</v>
      </c>
      <c r="G9">
        <v>2</v>
      </c>
      <c r="H9">
        <v>3</v>
      </c>
      <c r="I9">
        <v>1</v>
      </c>
      <c r="J9">
        <v>3</v>
      </c>
      <c r="K9">
        <v>21.074999999999999</v>
      </c>
      <c r="L9">
        <f t="shared" si="1"/>
        <v>0</v>
      </c>
      <c r="M9">
        <f t="shared" si="2"/>
        <v>2</v>
      </c>
      <c r="N9" t="str">
        <f t="shared" si="3"/>
        <v>Child</v>
      </c>
      <c r="O9">
        <f t="shared" si="4"/>
        <v>21.08</v>
      </c>
    </row>
    <row r="10" spans="1:17" x14ac:dyDescent="0.3">
      <c r="A10">
        <v>9</v>
      </c>
      <c r="B10">
        <v>1</v>
      </c>
      <c r="C10" t="str">
        <f t="shared" si="0"/>
        <v>Yes</v>
      </c>
      <c r="D10" t="s">
        <v>958</v>
      </c>
      <c r="E10" t="s">
        <v>968</v>
      </c>
      <c r="F10" t="str" cm="1">
        <f t="array" ref="F10">IF(OR(COUNTIF(D10,"*"&amp;Preprocessing!$T$9:$T$15&amp;"*")),"Female","Male")</f>
        <v>Female</v>
      </c>
      <c r="G10">
        <v>27</v>
      </c>
      <c r="H10">
        <v>0</v>
      </c>
      <c r="I10">
        <v>2</v>
      </c>
      <c r="J10">
        <v>3</v>
      </c>
      <c r="K10">
        <v>11.1333</v>
      </c>
      <c r="L10">
        <f t="shared" si="1"/>
        <v>1</v>
      </c>
      <c r="M10">
        <f t="shared" si="2"/>
        <v>27</v>
      </c>
      <c r="N10" t="str">
        <f t="shared" si="3"/>
        <v>Adult</v>
      </c>
      <c r="O10">
        <f t="shared" si="4"/>
        <v>11.13</v>
      </c>
    </row>
    <row r="11" spans="1:17" x14ac:dyDescent="0.3">
      <c r="A11">
        <v>10</v>
      </c>
      <c r="B11">
        <v>1</v>
      </c>
      <c r="C11" t="str">
        <f t="shared" si="0"/>
        <v>Yes</v>
      </c>
      <c r="D11" t="s">
        <v>958</v>
      </c>
      <c r="E11" t="s">
        <v>969</v>
      </c>
      <c r="F11" t="str" cm="1">
        <f t="array" ref="F11">IF(OR(COUNTIF(D11,"*"&amp;Preprocessing!$T$9:$T$15&amp;"*")),"Female","Male")</f>
        <v>Female</v>
      </c>
      <c r="G11">
        <v>14</v>
      </c>
      <c r="H11">
        <v>1</v>
      </c>
      <c r="I11">
        <v>0</v>
      </c>
      <c r="J11">
        <v>2</v>
      </c>
      <c r="K11">
        <v>30.070799999999998</v>
      </c>
      <c r="L11">
        <f t="shared" si="1"/>
        <v>1</v>
      </c>
      <c r="M11">
        <f t="shared" si="2"/>
        <v>14</v>
      </c>
      <c r="N11" t="str">
        <f t="shared" si="3"/>
        <v>Child</v>
      </c>
      <c r="O11">
        <f t="shared" si="4"/>
        <v>30.07</v>
      </c>
    </row>
    <row r="12" spans="1:17" x14ac:dyDescent="0.3">
      <c r="A12">
        <v>11</v>
      </c>
      <c r="B12">
        <v>1</v>
      </c>
      <c r="C12" t="str">
        <f t="shared" si="0"/>
        <v>Yes</v>
      </c>
      <c r="D12" t="s">
        <v>960</v>
      </c>
      <c r="E12" t="s">
        <v>970</v>
      </c>
      <c r="F12" t="str" cm="1">
        <f t="array" ref="F12">IF(OR(COUNTIF(D12,"*"&amp;Preprocessing!$T$9:$T$15&amp;"*")),"Female","Male")</f>
        <v>Female</v>
      </c>
      <c r="G12">
        <v>4</v>
      </c>
      <c r="H12">
        <v>1</v>
      </c>
      <c r="I12">
        <v>1</v>
      </c>
      <c r="J12">
        <v>3</v>
      </c>
      <c r="K12">
        <v>16.7</v>
      </c>
      <c r="L12">
        <f t="shared" si="1"/>
        <v>1</v>
      </c>
      <c r="M12">
        <f t="shared" si="2"/>
        <v>4</v>
      </c>
      <c r="N12" t="str">
        <f t="shared" si="3"/>
        <v>Child</v>
      </c>
      <c r="O12">
        <f t="shared" si="4"/>
        <v>16.7</v>
      </c>
    </row>
    <row r="13" spans="1:17" x14ac:dyDescent="0.3">
      <c r="A13">
        <v>12</v>
      </c>
      <c r="B13">
        <v>1</v>
      </c>
      <c r="C13" t="str">
        <f t="shared" si="0"/>
        <v>Yes</v>
      </c>
      <c r="D13" t="s">
        <v>960</v>
      </c>
      <c r="E13" t="s">
        <v>971</v>
      </c>
      <c r="F13" t="str" cm="1">
        <f t="array" ref="F13">IF(OR(COUNTIF(D13,"*"&amp;Preprocessing!$T$9:$T$15&amp;"*")),"Female","Male")</f>
        <v>Female</v>
      </c>
      <c r="G13">
        <v>58</v>
      </c>
      <c r="H13">
        <v>0</v>
      </c>
      <c r="I13">
        <v>0</v>
      </c>
      <c r="J13">
        <v>1</v>
      </c>
      <c r="K13">
        <v>26.55</v>
      </c>
      <c r="L13">
        <f t="shared" si="1"/>
        <v>1</v>
      </c>
      <c r="M13">
        <f t="shared" si="2"/>
        <v>58</v>
      </c>
      <c r="N13" t="str">
        <f t="shared" si="3"/>
        <v>Adult</v>
      </c>
      <c r="O13">
        <f t="shared" si="4"/>
        <v>26.55</v>
      </c>
    </row>
    <row r="14" spans="1:17" x14ac:dyDescent="0.3">
      <c r="A14">
        <v>13</v>
      </c>
      <c r="B14">
        <v>0</v>
      </c>
      <c r="C14" t="str">
        <f t="shared" si="0"/>
        <v>No</v>
      </c>
      <c r="D14" t="s">
        <v>956</v>
      </c>
      <c r="E14" t="s">
        <v>972</v>
      </c>
      <c r="F14" t="str" cm="1">
        <f t="array" ref="F14">IF(OR(COUNTIF(D14,"*"&amp;Preprocessing!$T$9:$T$15&amp;"*")),"Female","Male")</f>
        <v>Male</v>
      </c>
      <c r="G14">
        <v>20</v>
      </c>
      <c r="H14">
        <v>0</v>
      </c>
      <c r="I14">
        <v>0</v>
      </c>
      <c r="J14">
        <v>3</v>
      </c>
      <c r="K14">
        <v>8.0500000000000007</v>
      </c>
      <c r="L14">
        <f t="shared" si="1"/>
        <v>0</v>
      </c>
      <c r="M14">
        <f t="shared" si="2"/>
        <v>20</v>
      </c>
      <c r="N14" t="str">
        <f t="shared" si="3"/>
        <v>Adult</v>
      </c>
      <c r="O14">
        <f t="shared" si="4"/>
        <v>8.0500000000000007</v>
      </c>
    </row>
    <row r="15" spans="1:17" x14ac:dyDescent="0.3">
      <c r="A15">
        <v>14</v>
      </c>
      <c r="B15">
        <v>0</v>
      </c>
      <c r="C15" t="str">
        <f t="shared" si="0"/>
        <v>No</v>
      </c>
      <c r="D15" t="s">
        <v>956</v>
      </c>
      <c r="E15" t="s">
        <v>973</v>
      </c>
      <c r="F15" t="str" cm="1">
        <f t="array" ref="F15">IF(OR(COUNTIF(D15,"*"&amp;Preprocessing!$T$9:$T$15&amp;"*")),"Female","Male")</f>
        <v>Male</v>
      </c>
      <c r="G15">
        <v>39</v>
      </c>
      <c r="H15">
        <v>1</v>
      </c>
      <c r="I15">
        <v>5</v>
      </c>
      <c r="J15">
        <v>3</v>
      </c>
      <c r="K15">
        <v>31.274999999999999</v>
      </c>
      <c r="L15">
        <f t="shared" si="1"/>
        <v>0</v>
      </c>
      <c r="M15">
        <f t="shared" si="2"/>
        <v>39</v>
      </c>
      <c r="N15" t="str">
        <f t="shared" si="3"/>
        <v>Adult</v>
      </c>
      <c r="O15">
        <f t="shared" si="4"/>
        <v>31.28</v>
      </c>
    </row>
    <row r="16" spans="1:17" x14ac:dyDescent="0.3">
      <c r="A16">
        <v>15</v>
      </c>
      <c r="B16">
        <v>0</v>
      </c>
      <c r="C16" t="str">
        <f t="shared" si="0"/>
        <v>No</v>
      </c>
      <c r="D16" t="s">
        <v>960</v>
      </c>
      <c r="E16" t="s">
        <v>974</v>
      </c>
      <c r="F16" t="str" cm="1">
        <f t="array" ref="F16">IF(OR(COUNTIF(D16,"*"&amp;Preprocessing!$T$9:$T$15&amp;"*")),"Female","Male")</f>
        <v>Female</v>
      </c>
      <c r="G16">
        <v>14</v>
      </c>
      <c r="H16">
        <v>0</v>
      </c>
      <c r="I16">
        <v>0</v>
      </c>
      <c r="J16">
        <v>3</v>
      </c>
      <c r="K16">
        <v>7.8541999999999996</v>
      </c>
      <c r="L16">
        <f t="shared" si="1"/>
        <v>1</v>
      </c>
      <c r="M16">
        <f t="shared" si="2"/>
        <v>14</v>
      </c>
      <c r="N16" t="str">
        <f t="shared" si="3"/>
        <v>Child</v>
      </c>
      <c r="O16">
        <f t="shared" si="4"/>
        <v>7.85</v>
      </c>
    </row>
    <row r="17" spans="1:15" x14ac:dyDescent="0.3">
      <c r="A17">
        <v>16</v>
      </c>
      <c r="B17">
        <v>1</v>
      </c>
      <c r="C17" t="str">
        <f t="shared" si="0"/>
        <v>Yes</v>
      </c>
      <c r="D17" t="s">
        <v>958</v>
      </c>
      <c r="E17" t="s">
        <v>975</v>
      </c>
      <c r="F17" t="str" cm="1">
        <f t="array" ref="F17">IF(OR(COUNTIF(D17,"*"&amp;Preprocessing!$T$9:$T$15&amp;"*")),"Female","Male")</f>
        <v>Female</v>
      </c>
      <c r="G17">
        <v>55</v>
      </c>
      <c r="H17">
        <v>0</v>
      </c>
      <c r="I17">
        <v>0</v>
      </c>
      <c r="J17">
        <v>2</v>
      </c>
      <c r="K17">
        <v>16</v>
      </c>
      <c r="L17">
        <f t="shared" si="1"/>
        <v>1</v>
      </c>
      <c r="M17">
        <f t="shared" si="2"/>
        <v>55</v>
      </c>
      <c r="N17" t="str">
        <f t="shared" si="3"/>
        <v>Adult</v>
      </c>
      <c r="O17">
        <f t="shared" si="4"/>
        <v>16</v>
      </c>
    </row>
    <row r="18" spans="1:15" x14ac:dyDescent="0.3">
      <c r="A18">
        <v>17</v>
      </c>
      <c r="B18">
        <v>0</v>
      </c>
      <c r="C18" t="str">
        <f t="shared" si="0"/>
        <v>No</v>
      </c>
      <c r="D18" t="s">
        <v>966</v>
      </c>
      <c r="E18" t="s">
        <v>976</v>
      </c>
      <c r="F18" t="str" cm="1">
        <f t="array" ref="F18">IF(OR(COUNTIF(D18,"*"&amp;Preprocessing!$T$9:$T$15&amp;"*")),"Female","Male")</f>
        <v>Male</v>
      </c>
      <c r="G18">
        <v>2</v>
      </c>
      <c r="H18">
        <v>4</v>
      </c>
      <c r="I18">
        <v>1</v>
      </c>
      <c r="J18">
        <v>3</v>
      </c>
      <c r="K18">
        <v>29.125</v>
      </c>
      <c r="L18">
        <f t="shared" si="1"/>
        <v>0</v>
      </c>
      <c r="M18">
        <f t="shared" si="2"/>
        <v>2</v>
      </c>
      <c r="N18" t="str">
        <f t="shared" si="3"/>
        <v>Child</v>
      </c>
      <c r="O18">
        <f t="shared" si="4"/>
        <v>29.13</v>
      </c>
    </row>
    <row r="19" spans="1:15" x14ac:dyDescent="0.3">
      <c r="A19">
        <v>18</v>
      </c>
      <c r="B19">
        <v>1</v>
      </c>
      <c r="C19" t="str">
        <f t="shared" si="0"/>
        <v>Yes</v>
      </c>
      <c r="D19" t="s">
        <v>956</v>
      </c>
      <c r="E19" t="s">
        <v>977</v>
      </c>
      <c r="F19" t="str" cm="1">
        <f t="array" ref="F19">IF(OR(COUNTIF(D19,"*"&amp;Preprocessing!$T$9:$T$15&amp;"*")),"Female","Male")</f>
        <v>Male</v>
      </c>
      <c r="G19">
        <v>23</v>
      </c>
      <c r="H19">
        <v>0</v>
      </c>
      <c r="I19">
        <v>0</v>
      </c>
      <c r="J19">
        <v>2</v>
      </c>
      <c r="K19">
        <v>13</v>
      </c>
      <c r="L19">
        <f t="shared" si="1"/>
        <v>0</v>
      </c>
      <c r="M19">
        <f t="shared" si="2"/>
        <v>23</v>
      </c>
      <c r="N19" t="str">
        <f t="shared" si="3"/>
        <v>Adult</v>
      </c>
      <c r="O19">
        <f t="shared" si="4"/>
        <v>13</v>
      </c>
    </row>
    <row r="20" spans="1:15" x14ac:dyDescent="0.3">
      <c r="A20">
        <v>19</v>
      </c>
      <c r="B20">
        <v>0</v>
      </c>
      <c r="C20" t="str">
        <f t="shared" si="0"/>
        <v>No</v>
      </c>
      <c r="D20" t="s">
        <v>958</v>
      </c>
      <c r="E20" t="s">
        <v>978</v>
      </c>
      <c r="F20" t="str" cm="1">
        <f t="array" ref="F20">IF(OR(COUNTIF(D20,"*"&amp;Preprocessing!$T$9:$T$15&amp;"*")),"Female","Male")</f>
        <v>Female</v>
      </c>
      <c r="G20">
        <v>31</v>
      </c>
      <c r="H20">
        <v>1</v>
      </c>
      <c r="I20">
        <v>0</v>
      </c>
      <c r="J20">
        <v>3</v>
      </c>
      <c r="K20">
        <v>18</v>
      </c>
      <c r="L20">
        <f t="shared" si="1"/>
        <v>1</v>
      </c>
      <c r="M20">
        <f t="shared" si="2"/>
        <v>31</v>
      </c>
      <c r="N20" t="str">
        <f t="shared" si="3"/>
        <v>Adult</v>
      </c>
      <c r="O20">
        <f t="shared" si="4"/>
        <v>18</v>
      </c>
    </row>
    <row r="21" spans="1:15" x14ac:dyDescent="0.3">
      <c r="A21">
        <v>20</v>
      </c>
      <c r="B21">
        <v>1</v>
      </c>
      <c r="C21" t="str">
        <f t="shared" si="0"/>
        <v>Yes</v>
      </c>
      <c r="D21" t="s">
        <v>958</v>
      </c>
      <c r="E21" t="s">
        <v>979</v>
      </c>
      <c r="F21" t="str" cm="1">
        <f t="array" ref="F21">IF(OR(COUNTIF(D21,"*"&amp;Preprocessing!$T$9:$T$15&amp;"*")),"Female","Male")</f>
        <v>Female</v>
      </c>
      <c r="G21">
        <v>22</v>
      </c>
      <c r="H21">
        <v>0</v>
      </c>
      <c r="I21">
        <v>0</v>
      </c>
      <c r="J21">
        <v>3</v>
      </c>
      <c r="K21">
        <v>7.2249999999999996</v>
      </c>
      <c r="L21">
        <f t="shared" si="1"/>
        <v>1</v>
      </c>
      <c r="M21">
        <f t="shared" si="2"/>
        <v>22</v>
      </c>
      <c r="N21" t="str">
        <f t="shared" si="3"/>
        <v>Adult</v>
      </c>
      <c r="O21">
        <f t="shared" si="4"/>
        <v>7.23</v>
      </c>
    </row>
    <row r="22" spans="1:15" x14ac:dyDescent="0.3">
      <c r="A22">
        <v>21</v>
      </c>
      <c r="B22">
        <v>0</v>
      </c>
      <c r="C22" t="str">
        <f t="shared" si="0"/>
        <v>No</v>
      </c>
      <c r="D22" t="s">
        <v>956</v>
      </c>
      <c r="E22" t="s">
        <v>980</v>
      </c>
      <c r="F22" t="str" cm="1">
        <f t="array" ref="F22">IF(OR(COUNTIF(D22,"*"&amp;Preprocessing!$T$9:$T$15&amp;"*")),"Female","Male")</f>
        <v>Male</v>
      </c>
      <c r="G22">
        <v>35</v>
      </c>
      <c r="H22">
        <v>0</v>
      </c>
      <c r="I22">
        <v>0</v>
      </c>
      <c r="J22">
        <v>2</v>
      </c>
      <c r="K22">
        <v>26</v>
      </c>
      <c r="L22">
        <f t="shared" si="1"/>
        <v>0</v>
      </c>
      <c r="M22">
        <f t="shared" si="2"/>
        <v>35</v>
      </c>
      <c r="N22" t="str">
        <f t="shared" si="3"/>
        <v>Adult</v>
      </c>
      <c r="O22">
        <f t="shared" si="4"/>
        <v>26</v>
      </c>
    </row>
    <row r="23" spans="1:15" x14ac:dyDescent="0.3">
      <c r="A23">
        <v>22</v>
      </c>
      <c r="B23">
        <v>1</v>
      </c>
      <c r="C23" t="str">
        <f t="shared" si="0"/>
        <v>Yes</v>
      </c>
      <c r="D23" t="s">
        <v>956</v>
      </c>
      <c r="E23" t="s">
        <v>981</v>
      </c>
      <c r="F23" t="str" cm="1">
        <f t="array" ref="F23">IF(OR(COUNTIF(D23,"*"&amp;Preprocessing!$T$9:$T$15&amp;"*")),"Female","Male")</f>
        <v>Male</v>
      </c>
      <c r="G23">
        <v>34</v>
      </c>
      <c r="H23">
        <v>0</v>
      </c>
      <c r="I23">
        <v>0</v>
      </c>
      <c r="J23">
        <v>2</v>
      </c>
      <c r="K23">
        <v>13</v>
      </c>
      <c r="L23">
        <f t="shared" si="1"/>
        <v>0</v>
      </c>
      <c r="M23">
        <f t="shared" si="2"/>
        <v>34</v>
      </c>
      <c r="N23" t="str">
        <f t="shared" si="3"/>
        <v>Adult</v>
      </c>
      <c r="O23">
        <f t="shared" si="4"/>
        <v>13</v>
      </c>
    </row>
    <row r="24" spans="1:15" x14ac:dyDescent="0.3">
      <c r="A24">
        <v>23</v>
      </c>
      <c r="B24">
        <v>1</v>
      </c>
      <c r="C24" t="str">
        <f t="shared" si="0"/>
        <v>Yes</v>
      </c>
      <c r="D24" t="s">
        <v>960</v>
      </c>
      <c r="E24" t="s">
        <v>982</v>
      </c>
      <c r="F24" t="str" cm="1">
        <f t="array" ref="F24">IF(OR(COUNTIF(D24,"*"&amp;Preprocessing!$T$9:$T$15&amp;"*")),"Female","Male")</f>
        <v>Female</v>
      </c>
      <c r="G24">
        <v>15</v>
      </c>
      <c r="H24">
        <v>0</v>
      </c>
      <c r="I24">
        <v>0</v>
      </c>
      <c r="J24">
        <v>3</v>
      </c>
      <c r="K24">
        <v>8.0291999999999994</v>
      </c>
      <c r="L24">
        <f t="shared" si="1"/>
        <v>1</v>
      </c>
      <c r="M24">
        <f t="shared" si="2"/>
        <v>15</v>
      </c>
      <c r="N24" t="str">
        <f t="shared" si="3"/>
        <v>Child</v>
      </c>
      <c r="O24">
        <f t="shared" si="4"/>
        <v>8.0299999999999994</v>
      </c>
    </row>
    <row r="25" spans="1:15" x14ac:dyDescent="0.3">
      <c r="A25">
        <v>24</v>
      </c>
      <c r="B25">
        <v>1</v>
      </c>
      <c r="C25" t="str">
        <f t="shared" si="0"/>
        <v>Yes</v>
      </c>
      <c r="D25" t="s">
        <v>956</v>
      </c>
      <c r="E25" t="s">
        <v>983</v>
      </c>
      <c r="F25" t="str" cm="1">
        <f t="array" ref="F25">IF(OR(COUNTIF(D25,"*"&amp;Preprocessing!$T$9:$T$15&amp;"*")),"Female","Male")</f>
        <v>Male</v>
      </c>
      <c r="G25">
        <v>28</v>
      </c>
      <c r="H25">
        <v>0</v>
      </c>
      <c r="I25">
        <v>0</v>
      </c>
      <c r="J25">
        <v>1</v>
      </c>
      <c r="K25">
        <v>35.5</v>
      </c>
      <c r="L25">
        <f t="shared" si="1"/>
        <v>0</v>
      </c>
      <c r="M25">
        <f t="shared" si="2"/>
        <v>28</v>
      </c>
      <c r="N25" t="str">
        <f t="shared" si="3"/>
        <v>Adult</v>
      </c>
      <c r="O25">
        <f t="shared" si="4"/>
        <v>35.5</v>
      </c>
    </row>
    <row r="26" spans="1:15" x14ac:dyDescent="0.3">
      <c r="A26">
        <v>25</v>
      </c>
      <c r="B26">
        <v>0</v>
      </c>
      <c r="C26" t="str">
        <f t="shared" si="0"/>
        <v>No</v>
      </c>
      <c r="D26" t="s">
        <v>960</v>
      </c>
      <c r="E26" t="s">
        <v>984</v>
      </c>
      <c r="F26" t="str" cm="1">
        <f t="array" ref="F26">IF(OR(COUNTIF(D26,"*"&amp;Preprocessing!$T$9:$T$15&amp;"*")),"Female","Male")</f>
        <v>Female</v>
      </c>
      <c r="G26">
        <v>8</v>
      </c>
      <c r="H26">
        <v>3</v>
      </c>
      <c r="I26">
        <v>1</v>
      </c>
      <c r="J26">
        <v>3</v>
      </c>
      <c r="K26">
        <v>21.074999999999999</v>
      </c>
      <c r="L26">
        <f t="shared" si="1"/>
        <v>1</v>
      </c>
      <c r="M26">
        <f t="shared" si="2"/>
        <v>8</v>
      </c>
      <c r="N26" t="str">
        <f t="shared" si="3"/>
        <v>Child</v>
      </c>
      <c r="O26">
        <f t="shared" si="4"/>
        <v>21.08</v>
      </c>
    </row>
    <row r="27" spans="1:15" x14ac:dyDescent="0.3">
      <c r="A27">
        <v>26</v>
      </c>
      <c r="B27">
        <v>1</v>
      </c>
      <c r="C27" t="str">
        <f t="shared" si="0"/>
        <v>Yes</v>
      </c>
      <c r="D27" t="s">
        <v>958</v>
      </c>
      <c r="E27" t="s">
        <v>985</v>
      </c>
      <c r="F27" t="str" cm="1">
        <f t="array" ref="F27">IF(OR(COUNTIF(D27,"*"&amp;Preprocessing!$T$9:$T$15&amp;"*")),"Female","Male")</f>
        <v>Female</v>
      </c>
      <c r="G27">
        <v>38</v>
      </c>
      <c r="H27">
        <v>1</v>
      </c>
      <c r="I27">
        <v>5</v>
      </c>
      <c r="J27">
        <v>3</v>
      </c>
      <c r="K27">
        <v>31.387499999999999</v>
      </c>
      <c r="L27">
        <f t="shared" si="1"/>
        <v>1</v>
      </c>
      <c r="M27">
        <f t="shared" si="2"/>
        <v>38</v>
      </c>
      <c r="N27" t="str">
        <f t="shared" si="3"/>
        <v>Adult</v>
      </c>
      <c r="O27">
        <f t="shared" si="4"/>
        <v>31.39</v>
      </c>
    </row>
    <row r="28" spans="1:15" x14ac:dyDescent="0.3">
      <c r="A28">
        <v>27</v>
      </c>
      <c r="B28">
        <v>0</v>
      </c>
      <c r="C28" t="str">
        <f t="shared" si="0"/>
        <v>No</v>
      </c>
      <c r="D28" t="s">
        <v>956</v>
      </c>
      <c r="E28" t="s">
        <v>986</v>
      </c>
      <c r="F28" t="str" cm="1">
        <f t="array" ref="F28">IF(OR(COUNTIF(D28,"*"&amp;Preprocessing!$T$9:$T$15&amp;"*")),"Female","Male")</f>
        <v>Male</v>
      </c>
      <c r="G28">
        <v>26</v>
      </c>
      <c r="H28">
        <v>0</v>
      </c>
      <c r="I28">
        <v>0</v>
      </c>
      <c r="J28">
        <v>3</v>
      </c>
      <c r="K28">
        <v>7.2249999999999996</v>
      </c>
      <c r="L28">
        <f t="shared" si="1"/>
        <v>0</v>
      </c>
      <c r="M28">
        <f t="shared" si="2"/>
        <v>26</v>
      </c>
      <c r="N28" t="str">
        <f t="shared" si="3"/>
        <v>Adult</v>
      </c>
      <c r="O28">
        <f t="shared" si="4"/>
        <v>7.23</v>
      </c>
    </row>
    <row r="29" spans="1:15" x14ac:dyDescent="0.3">
      <c r="A29">
        <v>28</v>
      </c>
      <c r="B29">
        <v>0</v>
      </c>
      <c r="C29" t="str">
        <f t="shared" si="0"/>
        <v>No</v>
      </c>
      <c r="D29" t="s">
        <v>956</v>
      </c>
      <c r="E29" t="s">
        <v>987</v>
      </c>
      <c r="F29" t="str" cm="1">
        <f t="array" ref="F29">IF(OR(COUNTIF(D29,"*"&amp;Preprocessing!$T$9:$T$15&amp;"*")),"Female","Male")</f>
        <v>Male</v>
      </c>
      <c r="G29">
        <v>19</v>
      </c>
      <c r="H29">
        <v>3</v>
      </c>
      <c r="I29">
        <v>2</v>
      </c>
      <c r="J29">
        <v>1</v>
      </c>
      <c r="K29">
        <v>263</v>
      </c>
      <c r="L29">
        <f t="shared" si="1"/>
        <v>0</v>
      </c>
      <c r="M29">
        <f t="shared" si="2"/>
        <v>19</v>
      </c>
      <c r="N29" t="str">
        <f t="shared" si="3"/>
        <v>Adult</v>
      </c>
      <c r="O29">
        <f t="shared" si="4"/>
        <v>263</v>
      </c>
    </row>
    <row r="30" spans="1:15" x14ac:dyDescent="0.3">
      <c r="A30">
        <v>29</v>
      </c>
      <c r="B30">
        <v>1</v>
      </c>
      <c r="C30" t="str">
        <f t="shared" si="0"/>
        <v>Yes</v>
      </c>
      <c r="D30" t="s">
        <v>960</v>
      </c>
      <c r="E30" t="s">
        <v>988</v>
      </c>
      <c r="F30" t="str" cm="1">
        <f t="array" ref="F30">IF(OR(COUNTIF(D30,"*"&amp;Preprocessing!$T$9:$T$15&amp;"*")),"Female","Male")</f>
        <v>Female</v>
      </c>
      <c r="G30">
        <v>24</v>
      </c>
      <c r="H30">
        <v>0</v>
      </c>
      <c r="I30">
        <v>0</v>
      </c>
      <c r="J30">
        <v>3</v>
      </c>
      <c r="K30">
        <v>7.8792</v>
      </c>
      <c r="L30">
        <f t="shared" si="1"/>
        <v>1</v>
      </c>
      <c r="M30">
        <f t="shared" si="2"/>
        <v>24</v>
      </c>
      <c r="N30" t="str">
        <f t="shared" si="3"/>
        <v>Adult</v>
      </c>
      <c r="O30">
        <f t="shared" si="4"/>
        <v>7.88</v>
      </c>
    </row>
    <row r="31" spans="1:15" x14ac:dyDescent="0.3">
      <c r="A31">
        <v>30</v>
      </c>
      <c r="B31">
        <v>0</v>
      </c>
      <c r="C31" t="str">
        <f t="shared" si="0"/>
        <v>No</v>
      </c>
      <c r="D31" t="s">
        <v>956</v>
      </c>
      <c r="E31" t="s">
        <v>989</v>
      </c>
      <c r="F31" t="str" cm="1">
        <f t="array" ref="F31">IF(OR(COUNTIF(D31,"*"&amp;Preprocessing!$T$9:$T$15&amp;"*")),"Female","Male")</f>
        <v>Male</v>
      </c>
      <c r="G31">
        <v>23</v>
      </c>
      <c r="H31">
        <v>0</v>
      </c>
      <c r="I31">
        <v>0</v>
      </c>
      <c r="J31">
        <v>3</v>
      </c>
      <c r="K31">
        <v>7.8958000000000004</v>
      </c>
      <c r="L31">
        <f t="shared" si="1"/>
        <v>0</v>
      </c>
      <c r="M31">
        <f t="shared" si="2"/>
        <v>23</v>
      </c>
      <c r="N31" t="str">
        <f t="shared" si="3"/>
        <v>Adult</v>
      </c>
      <c r="O31">
        <f t="shared" si="4"/>
        <v>7.9</v>
      </c>
    </row>
    <row r="32" spans="1:15" x14ac:dyDescent="0.3">
      <c r="A32">
        <v>31</v>
      </c>
      <c r="B32">
        <v>0</v>
      </c>
      <c r="C32" t="str">
        <f t="shared" si="0"/>
        <v>No</v>
      </c>
      <c r="D32" t="s">
        <v>990</v>
      </c>
      <c r="E32" t="s">
        <v>991</v>
      </c>
      <c r="F32" t="str" cm="1">
        <f t="array" ref="F32">IF(OR(COUNTIF(D32,"*"&amp;Preprocessing!$T$9:$T$15&amp;"*")),"Female","Male")</f>
        <v>Male</v>
      </c>
      <c r="G32">
        <v>40</v>
      </c>
      <c r="H32">
        <v>0</v>
      </c>
      <c r="I32">
        <v>0</v>
      </c>
      <c r="J32">
        <v>1</v>
      </c>
      <c r="K32">
        <v>27.720800000000001</v>
      </c>
      <c r="L32">
        <f t="shared" si="1"/>
        <v>0</v>
      </c>
      <c r="M32">
        <f t="shared" si="2"/>
        <v>40</v>
      </c>
      <c r="N32" t="str">
        <f t="shared" si="3"/>
        <v>Adult</v>
      </c>
      <c r="O32">
        <f t="shared" si="4"/>
        <v>27.72</v>
      </c>
    </row>
    <row r="33" spans="1:15" x14ac:dyDescent="0.3">
      <c r="A33">
        <v>32</v>
      </c>
      <c r="B33">
        <v>1</v>
      </c>
      <c r="C33" t="str">
        <f t="shared" si="0"/>
        <v>Yes</v>
      </c>
      <c r="D33" t="s">
        <v>958</v>
      </c>
      <c r="E33" t="s">
        <v>992</v>
      </c>
      <c r="F33" t="str" cm="1">
        <f t="array" ref="F33">IF(OR(COUNTIF(D33,"*"&amp;Preprocessing!$T$9:$T$15&amp;"*")),"Female","Male")</f>
        <v>Female</v>
      </c>
      <c r="G33">
        <v>48</v>
      </c>
      <c r="H33">
        <v>1</v>
      </c>
      <c r="I33">
        <v>0</v>
      </c>
      <c r="J33">
        <v>1</v>
      </c>
      <c r="K33">
        <v>146.52080000000001</v>
      </c>
      <c r="L33">
        <f t="shared" si="1"/>
        <v>1</v>
      </c>
      <c r="M33">
        <f t="shared" si="2"/>
        <v>48</v>
      </c>
      <c r="N33" t="str">
        <f t="shared" si="3"/>
        <v>Adult</v>
      </c>
      <c r="O33">
        <f t="shared" si="4"/>
        <v>146.52000000000001</v>
      </c>
    </row>
    <row r="34" spans="1:15" x14ac:dyDescent="0.3">
      <c r="A34">
        <v>33</v>
      </c>
      <c r="B34">
        <v>1</v>
      </c>
      <c r="C34" t="str">
        <f t="shared" si="0"/>
        <v>Yes</v>
      </c>
      <c r="D34" t="s">
        <v>960</v>
      </c>
      <c r="E34" t="s">
        <v>993</v>
      </c>
      <c r="F34" t="str" cm="1">
        <f t="array" ref="F34">IF(OR(COUNTIF(D34,"*"&amp;Preprocessing!$T$9:$T$15&amp;"*")),"Female","Male")</f>
        <v>Female</v>
      </c>
      <c r="G34">
        <v>18</v>
      </c>
      <c r="H34">
        <v>0</v>
      </c>
      <c r="I34">
        <v>0</v>
      </c>
      <c r="J34">
        <v>3</v>
      </c>
      <c r="K34">
        <v>7.75</v>
      </c>
      <c r="L34">
        <f t="shared" si="1"/>
        <v>1</v>
      </c>
      <c r="M34">
        <f t="shared" si="2"/>
        <v>18</v>
      </c>
      <c r="N34" t="str">
        <f t="shared" si="3"/>
        <v>Adult</v>
      </c>
      <c r="O34">
        <f t="shared" si="4"/>
        <v>7.75</v>
      </c>
    </row>
    <row r="35" spans="1:15" x14ac:dyDescent="0.3">
      <c r="A35">
        <v>34</v>
      </c>
      <c r="B35">
        <v>0</v>
      </c>
      <c r="C35" t="str">
        <f t="shared" si="0"/>
        <v>No</v>
      </c>
      <c r="D35" t="s">
        <v>956</v>
      </c>
      <c r="E35" t="s">
        <v>994</v>
      </c>
      <c r="F35" t="str" cm="1">
        <f t="array" ref="F35">IF(OR(COUNTIF(D35,"*"&amp;Preprocessing!$T$9:$T$15&amp;"*")),"Female","Male")</f>
        <v>Male</v>
      </c>
      <c r="G35">
        <v>66</v>
      </c>
      <c r="H35">
        <v>0</v>
      </c>
      <c r="I35">
        <v>0</v>
      </c>
      <c r="J35">
        <v>2</v>
      </c>
      <c r="K35">
        <v>10.5</v>
      </c>
      <c r="L35">
        <f t="shared" si="1"/>
        <v>0</v>
      </c>
      <c r="M35">
        <f t="shared" si="2"/>
        <v>66</v>
      </c>
      <c r="N35" t="str">
        <f t="shared" si="3"/>
        <v>Adult</v>
      </c>
      <c r="O35">
        <f t="shared" si="4"/>
        <v>10.5</v>
      </c>
    </row>
    <row r="36" spans="1:15" x14ac:dyDescent="0.3">
      <c r="A36">
        <v>35</v>
      </c>
      <c r="B36">
        <v>0</v>
      </c>
      <c r="C36" t="str">
        <f t="shared" si="0"/>
        <v>No</v>
      </c>
      <c r="D36" t="s">
        <v>956</v>
      </c>
      <c r="E36" t="s">
        <v>995</v>
      </c>
      <c r="F36" t="str" cm="1">
        <f t="array" ref="F36">IF(OR(COUNTIF(D36,"*"&amp;Preprocessing!$T$9:$T$15&amp;"*")),"Female","Male")</f>
        <v>Male</v>
      </c>
      <c r="G36">
        <v>28</v>
      </c>
      <c r="H36">
        <v>1</v>
      </c>
      <c r="I36">
        <v>0</v>
      </c>
      <c r="J36">
        <v>1</v>
      </c>
      <c r="K36">
        <v>82.1708</v>
      </c>
      <c r="L36">
        <f t="shared" si="1"/>
        <v>0</v>
      </c>
      <c r="M36">
        <f t="shared" si="2"/>
        <v>28</v>
      </c>
      <c r="N36" t="str">
        <f t="shared" si="3"/>
        <v>Adult</v>
      </c>
      <c r="O36">
        <f t="shared" si="4"/>
        <v>82.17</v>
      </c>
    </row>
    <row r="37" spans="1:15" x14ac:dyDescent="0.3">
      <c r="A37">
        <v>36</v>
      </c>
      <c r="B37">
        <v>0</v>
      </c>
      <c r="C37" t="str">
        <f t="shared" si="0"/>
        <v>No</v>
      </c>
      <c r="D37" t="s">
        <v>956</v>
      </c>
      <c r="E37" t="s">
        <v>996</v>
      </c>
      <c r="F37" t="str" cm="1">
        <f t="array" ref="F37">IF(OR(COUNTIF(D37,"*"&amp;Preprocessing!$T$9:$T$15&amp;"*")),"Female","Male")</f>
        <v>Male</v>
      </c>
      <c r="G37">
        <v>42</v>
      </c>
      <c r="H37">
        <v>1</v>
      </c>
      <c r="I37">
        <v>0</v>
      </c>
      <c r="J37">
        <v>1</v>
      </c>
      <c r="K37">
        <v>52</v>
      </c>
      <c r="L37">
        <f t="shared" si="1"/>
        <v>0</v>
      </c>
      <c r="M37">
        <f t="shared" si="2"/>
        <v>42</v>
      </c>
      <c r="N37" t="str">
        <f t="shared" si="3"/>
        <v>Adult</v>
      </c>
      <c r="O37">
        <f t="shared" si="4"/>
        <v>52</v>
      </c>
    </row>
    <row r="38" spans="1:15" x14ac:dyDescent="0.3">
      <c r="A38">
        <v>37</v>
      </c>
      <c r="B38">
        <v>1</v>
      </c>
      <c r="C38" t="str">
        <f t="shared" si="0"/>
        <v>Yes</v>
      </c>
      <c r="D38" t="s">
        <v>956</v>
      </c>
      <c r="E38" t="s">
        <v>997</v>
      </c>
      <c r="F38" t="str" cm="1">
        <f t="array" ref="F38">IF(OR(COUNTIF(D38,"*"&amp;Preprocessing!$T$9:$T$15&amp;"*")),"Female","Male")</f>
        <v>Male</v>
      </c>
      <c r="G38">
        <v>18</v>
      </c>
      <c r="H38">
        <v>0</v>
      </c>
      <c r="I38">
        <v>0</v>
      </c>
      <c r="J38">
        <v>3</v>
      </c>
      <c r="K38">
        <v>7.2291999999999996</v>
      </c>
      <c r="L38">
        <f t="shared" si="1"/>
        <v>0</v>
      </c>
      <c r="M38">
        <f t="shared" si="2"/>
        <v>18</v>
      </c>
      <c r="N38" t="str">
        <f t="shared" si="3"/>
        <v>Adult</v>
      </c>
      <c r="O38">
        <f t="shared" si="4"/>
        <v>7.23</v>
      </c>
    </row>
    <row r="39" spans="1:15" x14ac:dyDescent="0.3">
      <c r="A39">
        <v>38</v>
      </c>
      <c r="B39">
        <v>0</v>
      </c>
      <c r="C39" t="str">
        <f t="shared" si="0"/>
        <v>No</v>
      </c>
      <c r="D39" t="s">
        <v>956</v>
      </c>
      <c r="E39" t="s">
        <v>998</v>
      </c>
      <c r="F39" t="str" cm="1">
        <f t="array" ref="F39">IF(OR(COUNTIF(D39,"*"&amp;Preprocessing!$T$9:$T$15&amp;"*")),"Female","Male")</f>
        <v>Male</v>
      </c>
      <c r="G39">
        <v>21</v>
      </c>
      <c r="H39">
        <v>0</v>
      </c>
      <c r="I39">
        <v>0</v>
      </c>
      <c r="J39">
        <v>3</v>
      </c>
      <c r="K39">
        <v>8.0500000000000007</v>
      </c>
      <c r="L39">
        <f t="shared" si="1"/>
        <v>0</v>
      </c>
      <c r="M39">
        <f t="shared" si="2"/>
        <v>21</v>
      </c>
      <c r="N39" t="str">
        <f t="shared" si="3"/>
        <v>Adult</v>
      </c>
      <c r="O39">
        <f t="shared" si="4"/>
        <v>8.0500000000000007</v>
      </c>
    </row>
    <row r="40" spans="1:15" x14ac:dyDescent="0.3">
      <c r="A40">
        <v>39</v>
      </c>
      <c r="B40">
        <v>0</v>
      </c>
      <c r="C40" t="str">
        <f t="shared" si="0"/>
        <v>No</v>
      </c>
      <c r="D40" t="s">
        <v>960</v>
      </c>
      <c r="E40" t="s">
        <v>999</v>
      </c>
      <c r="F40" t="str" cm="1">
        <f t="array" ref="F40">IF(OR(COUNTIF(D40,"*"&amp;Preprocessing!$T$9:$T$15&amp;"*")),"Female","Male")</f>
        <v>Female</v>
      </c>
      <c r="G40">
        <v>18</v>
      </c>
      <c r="H40">
        <v>2</v>
      </c>
      <c r="I40">
        <v>0</v>
      </c>
      <c r="J40">
        <v>3</v>
      </c>
      <c r="K40">
        <v>18</v>
      </c>
      <c r="L40">
        <f t="shared" si="1"/>
        <v>1</v>
      </c>
      <c r="M40">
        <f t="shared" si="2"/>
        <v>18</v>
      </c>
      <c r="N40" t="str">
        <f t="shared" si="3"/>
        <v>Adult</v>
      </c>
      <c r="O40">
        <f t="shared" si="4"/>
        <v>18</v>
      </c>
    </row>
    <row r="41" spans="1:15" x14ac:dyDescent="0.3">
      <c r="A41">
        <v>40</v>
      </c>
      <c r="B41">
        <v>1</v>
      </c>
      <c r="C41" t="str">
        <f t="shared" si="0"/>
        <v>Yes</v>
      </c>
      <c r="D41" t="s">
        <v>960</v>
      </c>
      <c r="E41" t="s">
        <v>1000</v>
      </c>
      <c r="F41" t="str" cm="1">
        <f t="array" ref="F41">IF(OR(COUNTIF(D41,"*"&amp;Preprocessing!$T$9:$T$15&amp;"*")),"Female","Male")</f>
        <v>Female</v>
      </c>
      <c r="G41">
        <v>14</v>
      </c>
      <c r="H41">
        <v>1</v>
      </c>
      <c r="I41">
        <v>0</v>
      </c>
      <c r="J41">
        <v>3</v>
      </c>
      <c r="K41">
        <v>11.2417</v>
      </c>
      <c r="L41">
        <f t="shared" si="1"/>
        <v>1</v>
      </c>
      <c r="M41">
        <f t="shared" si="2"/>
        <v>14</v>
      </c>
      <c r="N41" t="str">
        <f t="shared" si="3"/>
        <v>Child</v>
      </c>
      <c r="O41">
        <f t="shared" si="4"/>
        <v>11.24</v>
      </c>
    </row>
    <row r="42" spans="1:15" x14ac:dyDescent="0.3">
      <c r="A42">
        <v>41</v>
      </c>
      <c r="B42">
        <v>0</v>
      </c>
      <c r="C42" t="str">
        <f t="shared" si="0"/>
        <v>No</v>
      </c>
      <c r="D42" t="s">
        <v>958</v>
      </c>
      <c r="E42" t="s">
        <v>1001</v>
      </c>
      <c r="F42" t="str" cm="1">
        <f t="array" ref="F42">IF(OR(COUNTIF(D42,"*"&amp;Preprocessing!$T$9:$T$15&amp;"*")),"Female","Male")</f>
        <v>Female</v>
      </c>
      <c r="G42">
        <v>40</v>
      </c>
      <c r="H42">
        <v>1</v>
      </c>
      <c r="I42">
        <v>0</v>
      </c>
      <c r="J42">
        <v>3</v>
      </c>
      <c r="K42">
        <v>9.4749999999999996</v>
      </c>
      <c r="L42">
        <f t="shared" si="1"/>
        <v>1</v>
      </c>
      <c r="M42">
        <f t="shared" si="2"/>
        <v>40</v>
      </c>
      <c r="N42" t="str">
        <f t="shared" si="3"/>
        <v>Adult</v>
      </c>
      <c r="O42">
        <f t="shared" si="4"/>
        <v>9.48</v>
      </c>
    </row>
    <row r="43" spans="1:15" x14ac:dyDescent="0.3">
      <c r="A43">
        <v>42</v>
      </c>
      <c r="B43">
        <v>0</v>
      </c>
      <c r="C43" t="str">
        <f t="shared" si="0"/>
        <v>No</v>
      </c>
      <c r="D43" t="s">
        <v>958</v>
      </c>
      <c r="E43" t="s">
        <v>1002</v>
      </c>
      <c r="F43" t="str" cm="1">
        <f t="array" ref="F43">IF(OR(COUNTIF(D43,"*"&amp;Preprocessing!$T$9:$T$15&amp;"*")),"Female","Male")</f>
        <v>Female</v>
      </c>
      <c r="G43">
        <v>27</v>
      </c>
      <c r="H43">
        <v>1</v>
      </c>
      <c r="I43">
        <v>0</v>
      </c>
      <c r="J43">
        <v>2</v>
      </c>
      <c r="K43">
        <v>21</v>
      </c>
      <c r="L43">
        <f t="shared" si="1"/>
        <v>1</v>
      </c>
      <c r="M43">
        <f t="shared" si="2"/>
        <v>27</v>
      </c>
      <c r="N43" t="str">
        <f t="shared" si="3"/>
        <v>Adult</v>
      </c>
      <c r="O43">
        <f t="shared" si="4"/>
        <v>21</v>
      </c>
    </row>
    <row r="44" spans="1:15" x14ac:dyDescent="0.3">
      <c r="A44">
        <v>43</v>
      </c>
      <c r="B44">
        <v>1</v>
      </c>
      <c r="C44" t="str">
        <f t="shared" si="0"/>
        <v>Yes</v>
      </c>
      <c r="D44" t="s">
        <v>960</v>
      </c>
      <c r="E44" t="s">
        <v>1003</v>
      </c>
      <c r="F44" t="str" cm="1">
        <f t="array" ref="F44">IF(OR(COUNTIF(D44,"*"&amp;Preprocessing!$T$9:$T$15&amp;"*")),"Female","Male")</f>
        <v>Female</v>
      </c>
      <c r="G44">
        <v>3</v>
      </c>
      <c r="H44">
        <v>1</v>
      </c>
      <c r="I44">
        <v>2</v>
      </c>
      <c r="J44">
        <v>2</v>
      </c>
      <c r="K44">
        <v>41.5792</v>
      </c>
      <c r="L44">
        <f t="shared" si="1"/>
        <v>1</v>
      </c>
      <c r="M44">
        <f t="shared" si="2"/>
        <v>3</v>
      </c>
      <c r="N44" t="str">
        <f t="shared" si="3"/>
        <v>Child</v>
      </c>
      <c r="O44">
        <f t="shared" si="4"/>
        <v>41.58</v>
      </c>
    </row>
    <row r="45" spans="1:15" x14ac:dyDescent="0.3">
      <c r="A45">
        <v>44</v>
      </c>
      <c r="B45">
        <v>1</v>
      </c>
      <c r="C45" t="str">
        <f t="shared" si="0"/>
        <v>Yes</v>
      </c>
      <c r="D45" t="s">
        <v>960</v>
      </c>
      <c r="E45" t="s">
        <v>1004</v>
      </c>
      <c r="F45" t="str" cm="1">
        <f t="array" ref="F45">IF(OR(COUNTIF(D45,"*"&amp;Preprocessing!$T$9:$T$15&amp;"*")),"Female","Male")</f>
        <v>Female</v>
      </c>
      <c r="G45">
        <v>19</v>
      </c>
      <c r="H45">
        <v>0</v>
      </c>
      <c r="I45">
        <v>0</v>
      </c>
      <c r="J45">
        <v>3</v>
      </c>
      <c r="K45">
        <v>7.8792</v>
      </c>
      <c r="L45">
        <f t="shared" si="1"/>
        <v>1</v>
      </c>
      <c r="M45">
        <f t="shared" si="2"/>
        <v>19</v>
      </c>
      <c r="N45" t="str">
        <f t="shared" si="3"/>
        <v>Adult</v>
      </c>
      <c r="O45">
        <f t="shared" si="4"/>
        <v>7.88</v>
      </c>
    </row>
    <row r="46" spans="1:15" x14ac:dyDescent="0.3">
      <c r="A46">
        <v>45</v>
      </c>
      <c r="B46">
        <v>0</v>
      </c>
      <c r="C46" t="str">
        <f t="shared" si="0"/>
        <v>No</v>
      </c>
      <c r="D46" t="s">
        <v>956</v>
      </c>
      <c r="E46" t="s">
        <v>1005</v>
      </c>
      <c r="F46" t="str" cm="1">
        <f t="array" ref="F46">IF(OR(COUNTIF(D46,"*"&amp;Preprocessing!$T$9:$T$15&amp;"*")),"Female","Male")</f>
        <v>Male</v>
      </c>
      <c r="G46">
        <v>30</v>
      </c>
      <c r="H46">
        <v>0</v>
      </c>
      <c r="I46">
        <v>0</v>
      </c>
      <c r="J46">
        <v>3</v>
      </c>
      <c r="K46">
        <v>8.0500000000000007</v>
      </c>
      <c r="L46">
        <f t="shared" si="1"/>
        <v>0</v>
      </c>
      <c r="M46">
        <f t="shared" si="2"/>
        <v>30</v>
      </c>
      <c r="N46" t="str">
        <f t="shared" si="3"/>
        <v>Adult</v>
      </c>
      <c r="O46">
        <f t="shared" si="4"/>
        <v>8.0500000000000007</v>
      </c>
    </row>
    <row r="47" spans="1:15" x14ac:dyDescent="0.3">
      <c r="A47">
        <v>46</v>
      </c>
      <c r="B47">
        <v>0</v>
      </c>
      <c r="C47" t="str">
        <f t="shared" si="0"/>
        <v>No</v>
      </c>
      <c r="D47" t="s">
        <v>956</v>
      </c>
      <c r="E47" t="s">
        <v>1006</v>
      </c>
      <c r="F47" t="str" cm="1">
        <f t="array" ref="F47">IF(OR(COUNTIF(D47,"*"&amp;Preprocessing!$T$9:$T$15&amp;"*")),"Female","Male")</f>
        <v>Male</v>
      </c>
      <c r="G47">
        <v>20</v>
      </c>
      <c r="H47">
        <v>1</v>
      </c>
      <c r="I47">
        <v>0</v>
      </c>
      <c r="J47">
        <v>3</v>
      </c>
      <c r="K47">
        <v>15.5</v>
      </c>
      <c r="L47">
        <f t="shared" si="1"/>
        <v>0</v>
      </c>
      <c r="M47">
        <f t="shared" si="2"/>
        <v>20</v>
      </c>
      <c r="N47" t="str">
        <f t="shared" si="3"/>
        <v>Adult</v>
      </c>
      <c r="O47">
        <f t="shared" si="4"/>
        <v>15.5</v>
      </c>
    </row>
    <row r="48" spans="1:15" x14ac:dyDescent="0.3">
      <c r="A48">
        <v>47</v>
      </c>
      <c r="B48">
        <v>1</v>
      </c>
      <c r="C48" t="str">
        <f t="shared" si="0"/>
        <v>Yes</v>
      </c>
      <c r="D48" t="s">
        <v>960</v>
      </c>
      <c r="E48" t="s">
        <v>1007</v>
      </c>
      <c r="F48" t="str" cm="1">
        <f t="array" ref="F48">IF(OR(COUNTIF(D48,"*"&amp;Preprocessing!$T$9:$T$15&amp;"*")),"Female","Male")</f>
        <v>Female</v>
      </c>
      <c r="G48">
        <v>27</v>
      </c>
      <c r="H48">
        <v>0</v>
      </c>
      <c r="I48">
        <v>0</v>
      </c>
      <c r="J48">
        <v>3</v>
      </c>
      <c r="K48">
        <v>7.75</v>
      </c>
      <c r="L48">
        <f t="shared" si="1"/>
        <v>1</v>
      </c>
      <c r="M48">
        <f t="shared" si="2"/>
        <v>27</v>
      </c>
      <c r="N48" t="str">
        <f t="shared" si="3"/>
        <v>Adult</v>
      </c>
      <c r="O48">
        <f t="shared" si="4"/>
        <v>7.75</v>
      </c>
    </row>
    <row r="49" spans="1:15" x14ac:dyDescent="0.3">
      <c r="A49">
        <v>48</v>
      </c>
      <c r="B49">
        <v>0</v>
      </c>
      <c r="C49" t="str">
        <f t="shared" si="0"/>
        <v>No</v>
      </c>
      <c r="D49" t="s">
        <v>956</v>
      </c>
      <c r="E49" t="s">
        <v>1008</v>
      </c>
      <c r="F49" t="str" cm="1">
        <f t="array" ref="F49">IF(OR(COUNTIF(D49,"*"&amp;Preprocessing!$T$9:$T$15&amp;"*")),"Female","Male")</f>
        <v>Male</v>
      </c>
      <c r="G49">
        <v>16</v>
      </c>
      <c r="H49">
        <v>2</v>
      </c>
      <c r="I49">
        <v>0</v>
      </c>
      <c r="J49">
        <v>3</v>
      </c>
      <c r="K49">
        <v>21.679200000000002</v>
      </c>
      <c r="L49">
        <f t="shared" si="1"/>
        <v>0</v>
      </c>
      <c r="M49">
        <f t="shared" si="2"/>
        <v>16</v>
      </c>
      <c r="N49" t="str">
        <f t="shared" si="3"/>
        <v>Child</v>
      </c>
      <c r="O49">
        <f t="shared" si="4"/>
        <v>21.68</v>
      </c>
    </row>
    <row r="50" spans="1:15" x14ac:dyDescent="0.3">
      <c r="A50">
        <v>49</v>
      </c>
      <c r="B50">
        <v>0</v>
      </c>
      <c r="C50" t="str">
        <f t="shared" si="0"/>
        <v>No</v>
      </c>
      <c r="D50" t="s">
        <v>958</v>
      </c>
      <c r="E50" t="s">
        <v>1009</v>
      </c>
      <c r="F50" t="str" cm="1">
        <f t="array" ref="F50">IF(OR(COUNTIF(D50,"*"&amp;Preprocessing!$T$9:$T$15&amp;"*")),"Female","Male")</f>
        <v>Female</v>
      </c>
      <c r="G50">
        <v>18</v>
      </c>
      <c r="H50">
        <v>1</v>
      </c>
      <c r="I50">
        <v>0</v>
      </c>
      <c r="J50">
        <v>3</v>
      </c>
      <c r="K50">
        <v>17.8</v>
      </c>
      <c r="L50">
        <f t="shared" si="1"/>
        <v>1</v>
      </c>
      <c r="M50">
        <f t="shared" si="2"/>
        <v>18</v>
      </c>
      <c r="N50" t="str">
        <f t="shared" si="3"/>
        <v>Adult</v>
      </c>
      <c r="O50">
        <f t="shared" si="4"/>
        <v>17.8</v>
      </c>
    </row>
    <row r="51" spans="1:15" x14ac:dyDescent="0.3">
      <c r="A51">
        <v>50</v>
      </c>
      <c r="B51">
        <v>0</v>
      </c>
      <c r="C51" t="str">
        <f t="shared" si="0"/>
        <v>No</v>
      </c>
      <c r="D51" t="s">
        <v>966</v>
      </c>
      <c r="E51" t="s">
        <v>1010</v>
      </c>
      <c r="F51" t="str" cm="1">
        <f t="array" ref="F51">IF(OR(COUNTIF(D51,"*"&amp;Preprocessing!$T$9:$T$15&amp;"*")),"Female","Male")</f>
        <v>Male</v>
      </c>
      <c r="G51">
        <v>7</v>
      </c>
      <c r="H51">
        <v>4</v>
      </c>
      <c r="I51">
        <v>1</v>
      </c>
      <c r="J51">
        <v>3</v>
      </c>
      <c r="K51">
        <v>39.6875</v>
      </c>
      <c r="L51">
        <f t="shared" si="1"/>
        <v>0</v>
      </c>
      <c r="M51">
        <f t="shared" si="2"/>
        <v>7</v>
      </c>
      <c r="N51" t="str">
        <f t="shared" si="3"/>
        <v>Child</v>
      </c>
      <c r="O51">
        <f t="shared" si="4"/>
        <v>39.69</v>
      </c>
    </row>
    <row r="52" spans="1:15" x14ac:dyDescent="0.3">
      <c r="A52">
        <v>51</v>
      </c>
      <c r="B52">
        <v>0</v>
      </c>
      <c r="C52" t="str">
        <f t="shared" si="0"/>
        <v>No</v>
      </c>
      <c r="D52" t="s">
        <v>956</v>
      </c>
      <c r="E52" t="s">
        <v>1011</v>
      </c>
      <c r="F52" t="str" cm="1">
        <f t="array" ref="F52">IF(OR(COUNTIF(D52,"*"&amp;Preprocessing!$T$9:$T$15&amp;"*")),"Female","Male")</f>
        <v>Male</v>
      </c>
      <c r="G52">
        <v>21</v>
      </c>
      <c r="H52">
        <v>0</v>
      </c>
      <c r="I52">
        <v>0</v>
      </c>
      <c r="J52">
        <v>3</v>
      </c>
      <c r="K52">
        <v>7.8</v>
      </c>
      <c r="L52">
        <f t="shared" si="1"/>
        <v>0</v>
      </c>
      <c r="M52">
        <f t="shared" si="2"/>
        <v>21</v>
      </c>
      <c r="N52" t="str">
        <f t="shared" si="3"/>
        <v>Adult</v>
      </c>
      <c r="O52">
        <f t="shared" si="4"/>
        <v>7.8</v>
      </c>
    </row>
    <row r="53" spans="1:15" x14ac:dyDescent="0.3">
      <c r="A53">
        <v>52</v>
      </c>
      <c r="B53">
        <v>1</v>
      </c>
      <c r="C53" t="str">
        <f t="shared" si="0"/>
        <v>Yes</v>
      </c>
      <c r="D53" t="s">
        <v>958</v>
      </c>
      <c r="E53" t="s">
        <v>1012</v>
      </c>
      <c r="F53" t="str" cm="1">
        <f t="array" ref="F53">IF(OR(COUNTIF(D53,"*"&amp;Preprocessing!$T$9:$T$15&amp;"*")),"Female","Male")</f>
        <v>Female</v>
      </c>
      <c r="G53">
        <v>49</v>
      </c>
      <c r="H53">
        <v>1</v>
      </c>
      <c r="I53">
        <v>0</v>
      </c>
      <c r="J53">
        <v>1</v>
      </c>
      <c r="K53">
        <v>76.729200000000006</v>
      </c>
      <c r="L53">
        <f t="shared" si="1"/>
        <v>1</v>
      </c>
      <c r="M53">
        <f t="shared" si="2"/>
        <v>49</v>
      </c>
      <c r="N53" t="str">
        <f t="shared" si="3"/>
        <v>Adult</v>
      </c>
      <c r="O53">
        <f t="shared" si="4"/>
        <v>76.73</v>
      </c>
    </row>
    <row r="54" spans="1:15" x14ac:dyDescent="0.3">
      <c r="A54">
        <v>53</v>
      </c>
      <c r="B54">
        <v>1</v>
      </c>
      <c r="C54" t="str">
        <f t="shared" si="0"/>
        <v>Yes</v>
      </c>
      <c r="D54" t="s">
        <v>958</v>
      </c>
      <c r="E54" t="s">
        <v>1013</v>
      </c>
      <c r="F54" t="str" cm="1">
        <f t="array" ref="F54">IF(OR(COUNTIF(D54,"*"&amp;Preprocessing!$T$9:$T$15&amp;"*")),"Female","Male")</f>
        <v>Female</v>
      </c>
      <c r="G54">
        <v>29</v>
      </c>
      <c r="H54">
        <v>1</v>
      </c>
      <c r="I54">
        <v>0</v>
      </c>
      <c r="J54">
        <v>2</v>
      </c>
      <c r="K54">
        <v>26</v>
      </c>
      <c r="L54">
        <f t="shared" si="1"/>
        <v>1</v>
      </c>
      <c r="M54">
        <f t="shared" si="2"/>
        <v>29</v>
      </c>
      <c r="N54" t="str">
        <f t="shared" si="3"/>
        <v>Adult</v>
      </c>
      <c r="O54">
        <f t="shared" si="4"/>
        <v>26</v>
      </c>
    </row>
    <row r="55" spans="1:15" x14ac:dyDescent="0.3">
      <c r="A55">
        <v>54</v>
      </c>
      <c r="B55">
        <v>0</v>
      </c>
      <c r="C55" t="str">
        <f t="shared" si="0"/>
        <v>No</v>
      </c>
      <c r="D55" t="s">
        <v>956</v>
      </c>
      <c r="E55" t="s">
        <v>1014</v>
      </c>
      <c r="F55" t="str" cm="1">
        <f t="array" ref="F55">IF(OR(COUNTIF(D55,"*"&amp;Preprocessing!$T$9:$T$15&amp;"*")),"Female","Male")</f>
        <v>Male</v>
      </c>
      <c r="G55">
        <v>65</v>
      </c>
      <c r="H55">
        <v>0</v>
      </c>
      <c r="I55">
        <v>1</v>
      </c>
      <c r="J55">
        <v>1</v>
      </c>
      <c r="K55">
        <v>61.979199999999999</v>
      </c>
      <c r="L55">
        <f t="shared" si="1"/>
        <v>0</v>
      </c>
      <c r="M55">
        <f t="shared" si="2"/>
        <v>65</v>
      </c>
      <c r="N55" t="str">
        <f t="shared" si="3"/>
        <v>Adult</v>
      </c>
      <c r="O55">
        <f t="shared" si="4"/>
        <v>61.98</v>
      </c>
    </row>
    <row r="56" spans="1:15" x14ac:dyDescent="0.3">
      <c r="A56">
        <v>55</v>
      </c>
      <c r="B56">
        <v>1</v>
      </c>
      <c r="C56" t="str">
        <f t="shared" si="0"/>
        <v>Yes</v>
      </c>
      <c r="D56" t="s">
        <v>956</v>
      </c>
      <c r="E56" t="s">
        <v>1015</v>
      </c>
      <c r="F56" t="str" cm="1">
        <f t="array" ref="F56">IF(OR(COUNTIF(D56,"*"&amp;Preprocessing!$T$9:$T$15&amp;"*")),"Female","Male")</f>
        <v>Male</v>
      </c>
      <c r="G56">
        <v>46</v>
      </c>
      <c r="H56">
        <v>0</v>
      </c>
      <c r="I56">
        <v>0</v>
      </c>
      <c r="J56">
        <v>1</v>
      </c>
      <c r="K56">
        <v>35.5</v>
      </c>
      <c r="L56">
        <f t="shared" si="1"/>
        <v>0</v>
      </c>
      <c r="M56">
        <f t="shared" si="2"/>
        <v>46</v>
      </c>
      <c r="N56" t="str">
        <f t="shared" si="3"/>
        <v>Adult</v>
      </c>
      <c r="O56">
        <f t="shared" si="4"/>
        <v>35.5</v>
      </c>
    </row>
    <row r="57" spans="1:15" x14ac:dyDescent="0.3">
      <c r="A57">
        <v>56</v>
      </c>
      <c r="B57">
        <v>1</v>
      </c>
      <c r="C57" t="str">
        <f t="shared" si="0"/>
        <v>Yes</v>
      </c>
      <c r="D57" t="s">
        <v>960</v>
      </c>
      <c r="E57" t="s">
        <v>1016</v>
      </c>
      <c r="F57" t="str" cm="1">
        <f t="array" ref="F57">IF(OR(COUNTIF(D57,"*"&amp;Preprocessing!$T$9:$T$15&amp;"*")),"Female","Male")</f>
        <v>Female</v>
      </c>
      <c r="G57">
        <v>21</v>
      </c>
      <c r="H57">
        <v>0</v>
      </c>
      <c r="I57">
        <v>0</v>
      </c>
      <c r="J57">
        <v>2</v>
      </c>
      <c r="K57">
        <v>10.5</v>
      </c>
      <c r="L57">
        <f t="shared" si="1"/>
        <v>1</v>
      </c>
      <c r="M57">
        <f t="shared" si="2"/>
        <v>21</v>
      </c>
      <c r="N57" t="str">
        <f t="shared" si="3"/>
        <v>Adult</v>
      </c>
      <c r="O57">
        <f t="shared" si="4"/>
        <v>10.5</v>
      </c>
    </row>
    <row r="58" spans="1:15" x14ac:dyDescent="0.3">
      <c r="A58">
        <v>57</v>
      </c>
      <c r="B58">
        <v>0</v>
      </c>
      <c r="C58" t="str">
        <f t="shared" si="0"/>
        <v>No</v>
      </c>
      <c r="D58" t="s">
        <v>956</v>
      </c>
      <c r="E58" t="s">
        <v>1017</v>
      </c>
      <c r="F58" t="str" cm="1">
        <f t="array" ref="F58">IF(OR(COUNTIF(D58,"*"&amp;Preprocessing!$T$9:$T$15&amp;"*")),"Female","Male")</f>
        <v>Male</v>
      </c>
      <c r="G58">
        <v>28.5</v>
      </c>
      <c r="H58">
        <v>0</v>
      </c>
      <c r="I58">
        <v>0</v>
      </c>
      <c r="J58">
        <v>3</v>
      </c>
      <c r="K58">
        <v>7.2291999999999996</v>
      </c>
      <c r="L58">
        <f t="shared" si="1"/>
        <v>0</v>
      </c>
      <c r="M58">
        <f t="shared" si="2"/>
        <v>29</v>
      </c>
      <c r="N58" t="str">
        <f t="shared" si="3"/>
        <v>Adult</v>
      </c>
      <c r="O58">
        <f t="shared" si="4"/>
        <v>7.23</v>
      </c>
    </row>
    <row r="59" spans="1:15" x14ac:dyDescent="0.3">
      <c r="A59">
        <v>58</v>
      </c>
      <c r="B59">
        <v>1</v>
      </c>
      <c r="C59" t="str">
        <f t="shared" si="0"/>
        <v>Yes</v>
      </c>
      <c r="D59" t="s">
        <v>960</v>
      </c>
      <c r="E59" t="s">
        <v>1018</v>
      </c>
      <c r="F59" t="str" cm="1">
        <f t="array" ref="F59">IF(OR(COUNTIF(D59,"*"&amp;Preprocessing!$T$9:$T$15&amp;"*")),"Female","Male")</f>
        <v>Female</v>
      </c>
      <c r="G59">
        <v>5</v>
      </c>
      <c r="H59">
        <v>1</v>
      </c>
      <c r="I59">
        <v>2</v>
      </c>
      <c r="J59">
        <v>2</v>
      </c>
      <c r="K59">
        <v>27.75</v>
      </c>
      <c r="L59">
        <f t="shared" si="1"/>
        <v>1</v>
      </c>
      <c r="M59">
        <f t="shared" si="2"/>
        <v>5</v>
      </c>
      <c r="N59" t="str">
        <f t="shared" si="3"/>
        <v>Child</v>
      </c>
      <c r="O59">
        <f t="shared" si="4"/>
        <v>27.75</v>
      </c>
    </row>
    <row r="60" spans="1:15" x14ac:dyDescent="0.3">
      <c r="A60">
        <v>59</v>
      </c>
      <c r="B60">
        <v>0</v>
      </c>
      <c r="C60" t="str">
        <f t="shared" si="0"/>
        <v>No</v>
      </c>
      <c r="D60" t="s">
        <v>966</v>
      </c>
      <c r="E60" t="s">
        <v>1019</v>
      </c>
      <c r="F60" t="str" cm="1">
        <f t="array" ref="F60">IF(OR(COUNTIF(D60,"*"&amp;Preprocessing!$T$9:$T$15&amp;"*")),"Female","Male")</f>
        <v>Male</v>
      </c>
      <c r="G60">
        <v>11</v>
      </c>
      <c r="H60">
        <v>5</v>
      </c>
      <c r="I60">
        <v>2</v>
      </c>
      <c r="J60">
        <v>3</v>
      </c>
      <c r="K60">
        <v>46.9</v>
      </c>
      <c r="L60">
        <f t="shared" si="1"/>
        <v>0</v>
      </c>
      <c r="M60">
        <f t="shared" si="2"/>
        <v>11</v>
      </c>
      <c r="N60" t="str">
        <f t="shared" si="3"/>
        <v>Child</v>
      </c>
      <c r="O60">
        <f t="shared" si="4"/>
        <v>46.9</v>
      </c>
    </row>
    <row r="61" spans="1:15" x14ac:dyDescent="0.3">
      <c r="A61">
        <v>60</v>
      </c>
      <c r="B61">
        <v>0</v>
      </c>
      <c r="C61" t="str">
        <f t="shared" si="0"/>
        <v>No</v>
      </c>
      <c r="D61" t="s">
        <v>956</v>
      </c>
      <c r="E61" t="s">
        <v>1020</v>
      </c>
      <c r="F61" t="str" cm="1">
        <f t="array" ref="F61">IF(OR(COUNTIF(D61,"*"&amp;Preprocessing!$T$9:$T$15&amp;"*")),"Female","Male")</f>
        <v>Male</v>
      </c>
      <c r="G61">
        <v>22</v>
      </c>
      <c r="H61">
        <v>0</v>
      </c>
      <c r="I61">
        <v>0</v>
      </c>
      <c r="J61">
        <v>3</v>
      </c>
      <c r="K61">
        <v>7.2291999999999996</v>
      </c>
      <c r="L61">
        <f t="shared" si="1"/>
        <v>0</v>
      </c>
      <c r="M61">
        <f t="shared" si="2"/>
        <v>22</v>
      </c>
      <c r="N61" t="str">
        <f t="shared" si="3"/>
        <v>Adult</v>
      </c>
      <c r="O61">
        <f t="shared" si="4"/>
        <v>7.23</v>
      </c>
    </row>
    <row r="62" spans="1:15" x14ac:dyDescent="0.3">
      <c r="A62">
        <v>61</v>
      </c>
      <c r="B62">
        <v>1</v>
      </c>
      <c r="C62" t="str">
        <f t="shared" si="0"/>
        <v>Yes</v>
      </c>
      <c r="D62" t="s">
        <v>960</v>
      </c>
      <c r="E62" t="s">
        <v>1021</v>
      </c>
      <c r="F62" t="str" cm="1">
        <f t="array" ref="F62">IF(OR(COUNTIF(D62,"*"&amp;Preprocessing!$T$9:$T$15&amp;"*")),"Female","Male")</f>
        <v>Female</v>
      </c>
      <c r="G62">
        <v>38</v>
      </c>
      <c r="H62">
        <v>0</v>
      </c>
      <c r="I62">
        <v>0</v>
      </c>
      <c r="J62">
        <v>1</v>
      </c>
      <c r="K62">
        <v>80</v>
      </c>
      <c r="L62">
        <f t="shared" si="1"/>
        <v>1</v>
      </c>
      <c r="M62">
        <f t="shared" si="2"/>
        <v>38</v>
      </c>
      <c r="N62" t="str">
        <f t="shared" si="3"/>
        <v>Adult</v>
      </c>
      <c r="O62">
        <f t="shared" si="4"/>
        <v>80</v>
      </c>
    </row>
    <row r="63" spans="1:15" x14ac:dyDescent="0.3">
      <c r="A63">
        <v>62</v>
      </c>
      <c r="B63">
        <v>0</v>
      </c>
      <c r="C63" t="str">
        <f t="shared" si="0"/>
        <v>No</v>
      </c>
      <c r="D63" t="s">
        <v>956</v>
      </c>
      <c r="E63" t="s">
        <v>1022</v>
      </c>
      <c r="F63" t="str" cm="1">
        <f t="array" ref="F63">IF(OR(COUNTIF(D63,"*"&amp;Preprocessing!$T$9:$T$15&amp;"*")),"Female","Male")</f>
        <v>Male</v>
      </c>
      <c r="G63">
        <v>45</v>
      </c>
      <c r="H63">
        <v>1</v>
      </c>
      <c r="I63">
        <v>0</v>
      </c>
      <c r="J63">
        <v>1</v>
      </c>
      <c r="K63">
        <v>83.474999999999994</v>
      </c>
      <c r="L63">
        <f t="shared" si="1"/>
        <v>0</v>
      </c>
      <c r="M63">
        <f t="shared" si="2"/>
        <v>45</v>
      </c>
      <c r="N63" t="str">
        <f t="shared" si="3"/>
        <v>Adult</v>
      </c>
      <c r="O63">
        <f t="shared" si="4"/>
        <v>83.48</v>
      </c>
    </row>
    <row r="64" spans="1:15" x14ac:dyDescent="0.3">
      <c r="A64">
        <v>63</v>
      </c>
      <c r="B64">
        <v>0</v>
      </c>
      <c r="C64" t="str">
        <f t="shared" si="0"/>
        <v>No</v>
      </c>
      <c r="D64" t="s">
        <v>966</v>
      </c>
      <c r="E64" t="s">
        <v>1023</v>
      </c>
      <c r="F64" t="str" cm="1">
        <f t="array" ref="F64">IF(OR(COUNTIF(D64,"*"&amp;Preprocessing!$T$9:$T$15&amp;"*")),"Female","Male")</f>
        <v>Male</v>
      </c>
      <c r="G64">
        <v>4</v>
      </c>
      <c r="H64">
        <v>3</v>
      </c>
      <c r="I64">
        <v>2</v>
      </c>
      <c r="J64">
        <v>3</v>
      </c>
      <c r="K64">
        <v>27.9</v>
      </c>
      <c r="L64">
        <f t="shared" si="1"/>
        <v>0</v>
      </c>
      <c r="M64">
        <f t="shared" si="2"/>
        <v>4</v>
      </c>
      <c r="N64" t="str">
        <f t="shared" si="3"/>
        <v>Child</v>
      </c>
      <c r="O64">
        <f t="shared" si="4"/>
        <v>27.9</v>
      </c>
    </row>
    <row r="65" spans="1:15" x14ac:dyDescent="0.3">
      <c r="A65">
        <v>64</v>
      </c>
      <c r="B65">
        <v>0</v>
      </c>
      <c r="C65" t="str">
        <f t="shared" si="0"/>
        <v>No</v>
      </c>
      <c r="D65" t="s">
        <v>956</v>
      </c>
      <c r="E65" t="s">
        <v>1024</v>
      </c>
      <c r="F65" t="str" cm="1">
        <f t="array" ref="F65">IF(OR(COUNTIF(D65,"*"&amp;Preprocessing!$T$9:$T$15&amp;"*")),"Female","Male")</f>
        <v>Male</v>
      </c>
      <c r="G65">
        <v>64</v>
      </c>
      <c r="H65">
        <v>0</v>
      </c>
      <c r="I65">
        <v>0</v>
      </c>
      <c r="J65">
        <v>1</v>
      </c>
      <c r="K65">
        <v>27.720800000000001</v>
      </c>
      <c r="L65">
        <f t="shared" si="1"/>
        <v>0</v>
      </c>
      <c r="M65">
        <f t="shared" si="2"/>
        <v>64</v>
      </c>
      <c r="N65" t="str">
        <f t="shared" si="3"/>
        <v>Adult</v>
      </c>
      <c r="O65">
        <f t="shared" si="4"/>
        <v>27.72</v>
      </c>
    </row>
    <row r="66" spans="1:15" x14ac:dyDescent="0.3">
      <c r="A66">
        <v>65</v>
      </c>
      <c r="B66">
        <v>1</v>
      </c>
      <c r="C66" t="str">
        <f t="shared" si="0"/>
        <v>Yes</v>
      </c>
      <c r="D66" t="s">
        <v>966</v>
      </c>
      <c r="E66" t="s">
        <v>1025</v>
      </c>
      <c r="F66" t="str" cm="1">
        <f t="array" ref="F66">IF(OR(COUNTIF(D66,"*"&amp;Preprocessing!$T$9:$T$15&amp;"*")),"Female","Male")</f>
        <v>Male</v>
      </c>
      <c r="G66">
        <v>7</v>
      </c>
      <c r="H66">
        <v>1</v>
      </c>
      <c r="I66">
        <v>1</v>
      </c>
      <c r="J66">
        <v>3</v>
      </c>
      <c r="K66">
        <v>15.245799999999999</v>
      </c>
      <c r="L66">
        <f t="shared" si="1"/>
        <v>0</v>
      </c>
      <c r="M66">
        <f t="shared" si="2"/>
        <v>7</v>
      </c>
      <c r="N66" t="str">
        <f t="shared" si="3"/>
        <v>Child</v>
      </c>
      <c r="O66">
        <f t="shared" si="4"/>
        <v>15.25</v>
      </c>
    </row>
    <row r="67" spans="1:15" x14ac:dyDescent="0.3">
      <c r="A67">
        <v>66</v>
      </c>
      <c r="B67">
        <v>1</v>
      </c>
      <c r="C67" t="str">
        <f t="shared" ref="C67:C130" si="5">IF(B67=0,"No","Yes")</f>
        <v>Yes</v>
      </c>
      <c r="D67" t="s">
        <v>958</v>
      </c>
      <c r="E67" t="s">
        <v>1026</v>
      </c>
      <c r="F67" t="str" cm="1">
        <f t="array" ref="F67">IF(OR(COUNTIF(D67,"*"&amp;Preprocessing!$T$9:$T$15&amp;"*")),"Female","Male")</f>
        <v>Female</v>
      </c>
      <c r="G67">
        <v>29</v>
      </c>
      <c r="H67">
        <v>0</v>
      </c>
      <c r="I67">
        <v>0</v>
      </c>
      <c r="J67">
        <v>2</v>
      </c>
      <c r="K67">
        <v>10.5</v>
      </c>
      <c r="L67">
        <f t="shared" ref="L67:L130" si="6">IF(F67 = "Male", 0, 1)</f>
        <v>1</v>
      </c>
      <c r="M67">
        <f t="shared" ref="M67:M130" si="7">ROUND(G67, 0)</f>
        <v>29</v>
      </c>
      <c r="N67" t="str">
        <f t="shared" ref="N67:N130" si="8">IF(G67&lt;=16,"Child","Adult")</f>
        <v>Adult</v>
      </c>
      <c r="O67">
        <f t="shared" ref="O67:O130" si="9">ROUND(K67, 2)</f>
        <v>10.5</v>
      </c>
    </row>
    <row r="68" spans="1:15" x14ac:dyDescent="0.3">
      <c r="A68">
        <v>67</v>
      </c>
      <c r="B68">
        <v>0</v>
      </c>
      <c r="C68" t="str">
        <f t="shared" si="5"/>
        <v>No</v>
      </c>
      <c r="D68" t="s">
        <v>956</v>
      </c>
      <c r="E68" t="s">
        <v>1027</v>
      </c>
      <c r="F68" t="str" cm="1">
        <f t="array" ref="F68">IF(OR(COUNTIF(D68,"*"&amp;Preprocessing!$T$9:$T$15&amp;"*")),"Female","Male")</f>
        <v>Male</v>
      </c>
      <c r="G68">
        <v>19</v>
      </c>
      <c r="H68">
        <v>0</v>
      </c>
      <c r="I68">
        <v>0</v>
      </c>
      <c r="J68">
        <v>3</v>
      </c>
      <c r="K68">
        <v>8.1583000000000006</v>
      </c>
      <c r="L68">
        <f t="shared" si="6"/>
        <v>0</v>
      </c>
      <c r="M68">
        <f t="shared" si="7"/>
        <v>19</v>
      </c>
      <c r="N68" t="str">
        <f t="shared" si="8"/>
        <v>Adult</v>
      </c>
      <c r="O68">
        <f t="shared" si="9"/>
        <v>8.16</v>
      </c>
    </row>
    <row r="69" spans="1:15" x14ac:dyDescent="0.3">
      <c r="A69">
        <v>68</v>
      </c>
      <c r="B69">
        <v>1</v>
      </c>
      <c r="C69" t="str">
        <f t="shared" si="5"/>
        <v>Yes</v>
      </c>
      <c r="D69" t="s">
        <v>960</v>
      </c>
      <c r="E69" t="s">
        <v>1028</v>
      </c>
      <c r="F69" t="str" cm="1">
        <f t="array" ref="F69">IF(OR(COUNTIF(D69,"*"&amp;Preprocessing!$T$9:$T$15&amp;"*")),"Female","Male")</f>
        <v>Female</v>
      </c>
      <c r="G69">
        <v>17</v>
      </c>
      <c r="H69">
        <v>4</v>
      </c>
      <c r="I69">
        <v>2</v>
      </c>
      <c r="J69">
        <v>3</v>
      </c>
      <c r="K69">
        <v>7.9249999999999998</v>
      </c>
      <c r="L69">
        <f t="shared" si="6"/>
        <v>1</v>
      </c>
      <c r="M69">
        <f t="shared" si="7"/>
        <v>17</v>
      </c>
      <c r="N69" t="str">
        <f t="shared" si="8"/>
        <v>Adult</v>
      </c>
      <c r="O69">
        <f t="shared" si="9"/>
        <v>7.93</v>
      </c>
    </row>
    <row r="70" spans="1:15" x14ac:dyDescent="0.3">
      <c r="A70">
        <v>69</v>
      </c>
      <c r="B70">
        <v>0</v>
      </c>
      <c r="C70" t="str">
        <f t="shared" si="5"/>
        <v>No</v>
      </c>
      <c r="D70" t="s">
        <v>956</v>
      </c>
      <c r="E70" t="s">
        <v>1029</v>
      </c>
      <c r="F70" t="str" cm="1">
        <f t="array" ref="F70">IF(OR(COUNTIF(D70,"*"&amp;Preprocessing!$T$9:$T$15&amp;"*")),"Female","Male")</f>
        <v>Male</v>
      </c>
      <c r="G70">
        <v>26</v>
      </c>
      <c r="H70">
        <v>2</v>
      </c>
      <c r="I70">
        <v>0</v>
      </c>
      <c r="J70">
        <v>3</v>
      </c>
      <c r="K70">
        <v>8.6624999999999996</v>
      </c>
      <c r="L70">
        <f t="shared" si="6"/>
        <v>0</v>
      </c>
      <c r="M70">
        <f t="shared" si="7"/>
        <v>26</v>
      </c>
      <c r="N70" t="str">
        <f t="shared" si="8"/>
        <v>Adult</v>
      </c>
      <c r="O70">
        <f t="shared" si="9"/>
        <v>8.66</v>
      </c>
    </row>
    <row r="71" spans="1:15" x14ac:dyDescent="0.3">
      <c r="A71">
        <v>70</v>
      </c>
      <c r="B71">
        <v>0</v>
      </c>
      <c r="C71" t="str">
        <f t="shared" si="5"/>
        <v>No</v>
      </c>
      <c r="D71" t="s">
        <v>956</v>
      </c>
      <c r="E71" t="s">
        <v>1030</v>
      </c>
      <c r="F71" t="str" cm="1">
        <f t="array" ref="F71">IF(OR(COUNTIF(D71,"*"&amp;Preprocessing!$T$9:$T$15&amp;"*")),"Female","Male")</f>
        <v>Male</v>
      </c>
      <c r="G71">
        <v>32</v>
      </c>
      <c r="H71">
        <v>0</v>
      </c>
      <c r="I71">
        <v>0</v>
      </c>
      <c r="J71">
        <v>2</v>
      </c>
      <c r="K71">
        <v>10.5</v>
      </c>
      <c r="L71">
        <f t="shared" si="6"/>
        <v>0</v>
      </c>
      <c r="M71">
        <f t="shared" si="7"/>
        <v>32</v>
      </c>
      <c r="N71" t="str">
        <f t="shared" si="8"/>
        <v>Adult</v>
      </c>
      <c r="O71">
        <f t="shared" si="9"/>
        <v>10.5</v>
      </c>
    </row>
    <row r="72" spans="1:15" x14ac:dyDescent="0.3">
      <c r="A72">
        <v>71</v>
      </c>
      <c r="B72">
        <v>0</v>
      </c>
      <c r="C72" t="str">
        <f t="shared" si="5"/>
        <v>No</v>
      </c>
      <c r="D72" t="s">
        <v>960</v>
      </c>
      <c r="E72" t="s">
        <v>1031</v>
      </c>
      <c r="F72" t="str" cm="1">
        <f t="array" ref="F72">IF(OR(COUNTIF(D72,"*"&amp;Preprocessing!$T$9:$T$15&amp;"*")),"Female","Male")</f>
        <v>Female</v>
      </c>
      <c r="G72">
        <v>16</v>
      </c>
      <c r="H72">
        <v>5</v>
      </c>
      <c r="I72">
        <v>2</v>
      </c>
      <c r="J72">
        <v>3</v>
      </c>
      <c r="K72">
        <v>46.9</v>
      </c>
      <c r="L72">
        <f t="shared" si="6"/>
        <v>1</v>
      </c>
      <c r="M72">
        <f t="shared" si="7"/>
        <v>16</v>
      </c>
      <c r="N72" t="str">
        <f t="shared" si="8"/>
        <v>Child</v>
      </c>
      <c r="O72">
        <f t="shared" si="9"/>
        <v>46.9</v>
      </c>
    </row>
    <row r="73" spans="1:15" x14ac:dyDescent="0.3">
      <c r="A73">
        <v>72</v>
      </c>
      <c r="B73">
        <v>0</v>
      </c>
      <c r="C73" t="str">
        <f t="shared" si="5"/>
        <v>No</v>
      </c>
      <c r="D73" t="s">
        <v>956</v>
      </c>
      <c r="E73" t="s">
        <v>1032</v>
      </c>
      <c r="F73" t="str" cm="1">
        <f t="array" ref="F73">IF(OR(COUNTIF(D73,"*"&amp;Preprocessing!$T$9:$T$15&amp;"*")),"Female","Male")</f>
        <v>Male</v>
      </c>
      <c r="G73">
        <v>21</v>
      </c>
      <c r="H73">
        <v>0</v>
      </c>
      <c r="I73">
        <v>0</v>
      </c>
      <c r="J73">
        <v>2</v>
      </c>
      <c r="K73">
        <v>73.5</v>
      </c>
      <c r="L73">
        <f t="shared" si="6"/>
        <v>0</v>
      </c>
      <c r="M73">
        <f t="shared" si="7"/>
        <v>21</v>
      </c>
      <c r="N73" t="str">
        <f t="shared" si="8"/>
        <v>Adult</v>
      </c>
      <c r="O73">
        <f t="shared" si="9"/>
        <v>73.5</v>
      </c>
    </row>
    <row r="74" spans="1:15" x14ac:dyDescent="0.3">
      <c r="A74">
        <v>73</v>
      </c>
      <c r="B74">
        <v>0</v>
      </c>
      <c r="C74" t="str">
        <f t="shared" si="5"/>
        <v>No</v>
      </c>
      <c r="D74" t="s">
        <v>956</v>
      </c>
      <c r="E74" t="s">
        <v>1033</v>
      </c>
      <c r="F74" t="str" cm="1">
        <f t="array" ref="F74">IF(OR(COUNTIF(D74,"*"&amp;Preprocessing!$T$9:$T$15&amp;"*")),"Female","Male")</f>
        <v>Male</v>
      </c>
      <c r="G74">
        <v>26</v>
      </c>
      <c r="H74">
        <v>1</v>
      </c>
      <c r="I74">
        <v>0</v>
      </c>
      <c r="J74">
        <v>3</v>
      </c>
      <c r="K74">
        <v>14.4542</v>
      </c>
      <c r="L74">
        <f t="shared" si="6"/>
        <v>0</v>
      </c>
      <c r="M74">
        <f t="shared" si="7"/>
        <v>26</v>
      </c>
      <c r="N74" t="str">
        <f t="shared" si="8"/>
        <v>Adult</v>
      </c>
      <c r="O74">
        <f t="shared" si="9"/>
        <v>14.45</v>
      </c>
    </row>
    <row r="75" spans="1:15" x14ac:dyDescent="0.3">
      <c r="A75">
        <v>74</v>
      </c>
      <c r="B75">
        <v>1</v>
      </c>
      <c r="C75" t="str">
        <f t="shared" si="5"/>
        <v>Yes</v>
      </c>
      <c r="D75" t="s">
        <v>956</v>
      </c>
      <c r="E75" t="s">
        <v>1034</v>
      </c>
      <c r="F75" t="str" cm="1">
        <f t="array" ref="F75">IF(OR(COUNTIF(D75,"*"&amp;Preprocessing!$T$9:$T$15&amp;"*")),"Female","Male")</f>
        <v>Male</v>
      </c>
      <c r="G75">
        <v>32</v>
      </c>
      <c r="H75">
        <v>0</v>
      </c>
      <c r="I75">
        <v>0</v>
      </c>
      <c r="J75">
        <v>3</v>
      </c>
      <c r="K75">
        <v>56.495800000000003</v>
      </c>
      <c r="L75">
        <f t="shared" si="6"/>
        <v>0</v>
      </c>
      <c r="M75">
        <f t="shared" si="7"/>
        <v>32</v>
      </c>
      <c r="N75" t="str">
        <f t="shared" si="8"/>
        <v>Adult</v>
      </c>
      <c r="O75">
        <f t="shared" si="9"/>
        <v>56.5</v>
      </c>
    </row>
    <row r="76" spans="1:15" x14ac:dyDescent="0.3">
      <c r="A76">
        <v>75</v>
      </c>
      <c r="B76">
        <v>0</v>
      </c>
      <c r="C76" t="str">
        <f t="shared" si="5"/>
        <v>No</v>
      </c>
      <c r="D76" t="s">
        <v>956</v>
      </c>
      <c r="E76" t="s">
        <v>1035</v>
      </c>
      <c r="F76" t="str" cm="1">
        <f t="array" ref="F76">IF(OR(COUNTIF(D76,"*"&amp;Preprocessing!$T$9:$T$15&amp;"*")),"Female","Male")</f>
        <v>Male</v>
      </c>
      <c r="G76">
        <v>25</v>
      </c>
      <c r="H76">
        <v>0</v>
      </c>
      <c r="I76">
        <v>0</v>
      </c>
      <c r="J76">
        <v>3</v>
      </c>
      <c r="K76">
        <v>7.65</v>
      </c>
      <c r="L76">
        <f t="shared" si="6"/>
        <v>0</v>
      </c>
      <c r="M76">
        <f t="shared" si="7"/>
        <v>25</v>
      </c>
      <c r="N76" t="str">
        <f t="shared" si="8"/>
        <v>Adult</v>
      </c>
      <c r="O76">
        <f t="shared" si="9"/>
        <v>7.65</v>
      </c>
    </row>
    <row r="77" spans="1:15" x14ac:dyDescent="0.3">
      <c r="A77">
        <v>76</v>
      </c>
      <c r="B77">
        <v>0</v>
      </c>
      <c r="C77" t="str">
        <f t="shared" si="5"/>
        <v>No</v>
      </c>
      <c r="D77" t="s">
        <v>956</v>
      </c>
      <c r="E77" t="s">
        <v>1036</v>
      </c>
      <c r="F77" t="str" cm="1">
        <f t="array" ref="F77">IF(OR(COUNTIF(D77,"*"&amp;Preprocessing!$T$9:$T$15&amp;"*")),"Female","Male")</f>
        <v>Male</v>
      </c>
      <c r="G77">
        <v>23</v>
      </c>
      <c r="H77">
        <v>0</v>
      </c>
      <c r="I77">
        <v>0</v>
      </c>
      <c r="J77">
        <v>3</v>
      </c>
      <c r="K77">
        <v>7.8958000000000004</v>
      </c>
      <c r="L77">
        <f t="shared" si="6"/>
        <v>0</v>
      </c>
      <c r="M77">
        <f t="shared" si="7"/>
        <v>23</v>
      </c>
      <c r="N77" t="str">
        <f t="shared" si="8"/>
        <v>Adult</v>
      </c>
      <c r="O77">
        <f t="shared" si="9"/>
        <v>7.9</v>
      </c>
    </row>
    <row r="78" spans="1:15" x14ac:dyDescent="0.3">
      <c r="A78">
        <v>77</v>
      </c>
      <c r="B78">
        <v>0</v>
      </c>
      <c r="C78" t="str">
        <f t="shared" si="5"/>
        <v>No</v>
      </c>
      <c r="D78" t="s">
        <v>956</v>
      </c>
      <c r="E78" t="s">
        <v>1037</v>
      </c>
      <c r="F78" t="str" cm="1">
        <f t="array" ref="F78">IF(OR(COUNTIF(D78,"*"&amp;Preprocessing!$T$9:$T$15&amp;"*")),"Female","Male")</f>
        <v>Male</v>
      </c>
      <c r="G78">
        <v>28</v>
      </c>
      <c r="H78">
        <v>0</v>
      </c>
      <c r="I78">
        <v>0</v>
      </c>
      <c r="J78">
        <v>3</v>
      </c>
      <c r="K78">
        <v>8.0500000000000007</v>
      </c>
      <c r="L78">
        <f t="shared" si="6"/>
        <v>0</v>
      </c>
      <c r="M78">
        <f t="shared" si="7"/>
        <v>28</v>
      </c>
      <c r="N78" t="str">
        <f t="shared" si="8"/>
        <v>Adult</v>
      </c>
      <c r="O78">
        <f t="shared" si="9"/>
        <v>8.0500000000000007</v>
      </c>
    </row>
    <row r="79" spans="1:15" x14ac:dyDescent="0.3">
      <c r="A79">
        <v>78</v>
      </c>
      <c r="B79">
        <v>1</v>
      </c>
      <c r="C79" t="str">
        <f t="shared" si="5"/>
        <v>Yes</v>
      </c>
      <c r="D79" t="s">
        <v>966</v>
      </c>
      <c r="E79" t="s">
        <v>1038</v>
      </c>
      <c r="F79" t="str" cm="1">
        <f t="array" ref="F79">IF(OR(COUNTIF(D79,"*"&amp;Preprocessing!$T$9:$T$15&amp;"*")),"Female","Male")</f>
        <v>Male</v>
      </c>
      <c r="G79">
        <v>0.83</v>
      </c>
      <c r="H79">
        <v>0</v>
      </c>
      <c r="I79">
        <v>2</v>
      </c>
      <c r="J79">
        <v>2</v>
      </c>
      <c r="K79">
        <v>29</v>
      </c>
      <c r="L79">
        <f t="shared" si="6"/>
        <v>0</v>
      </c>
      <c r="M79">
        <f t="shared" si="7"/>
        <v>1</v>
      </c>
      <c r="N79" t="str">
        <f t="shared" si="8"/>
        <v>Child</v>
      </c>
      <c r="O79">
        <f t="shared" si="9"/>
        <v>29</v>
      </c>
    </row>
    <row r="80" spans="1:15" x14ac:dyDescent="0.3">
      <c r="A80">
        <v>79</v>
      </c>
      <c r="B80">
        <v>1</v>
      </c>
      <c r="C80" t="str">
        <f t="shared" si="5"/>
        <v>Yes</v>
      </c>
      <c r="D80" t="s">
        <v>960</v>
      </c>
      <c r="E80" t="s">
        <v>1039</v>
      </c>
      <c r="F80" t="str" cm="1">
        <f t="array" ref="F80">IF(OR(COUNTIF(D80,"*"&amp;Preprocessing!$T$9:$T$15&amp;"*")),"Female","Male")</f>
        <v>Female</v>
      </c>
      <c r="G80">
        <v>30</v>
      </c>
      <c r="H80">
        <v>0</v>
      </c>
      <c r="I80">
        <v>0</v>
      </c>
      <c r="J80">
        <v>3</v>
      </c>
      <c r="K80">
        <v>12.475</v>
      </c>
      <c r="L80">
        <f t="shared" si="6"/>
        <v>1</v>
      </c>
      <c r="M80">
        <f t="shared" si="7"/>
        <v>30</v>
      </c>
      <c r="N80" t="str">
        <f t="shared" si="8"/>
        <v>Adult</v>
      </c>
      <c r="O80">
        <f t="shared" si="9"/>
        <v>12.48</v>
      </c>
    </row>
    <row r="81" spans="1:15" x14ac:dyDescent="0.3">
      <c r="A81">
        <v>80</v>
      </c>
      <c r="B81">
        <v>0</v>
      </c>
      <c r="C81" t="str">
        <f t="shared" si="5"/>
        <v>No</v>
      </c>
      <c r="D81" t="s">
        <v>956</v>
      </c>
      <c r="E81" t="s">
        <v>1040</v>
      </c>
      <c r="F81" t="str" cm="1">
        <f t="array" ref="F81">IF(OR(COUNTIF(D81,"*"&amp;Preprocessing!$T$9:$T$15&amp;"*")),"Female","Male")</f>
        <v>Male</v>
      </c>
      <c r="G81">
        <v>22</v>
      </c>
      <c r="H81">
        <v>0</v>
      </c>
      <c r="I81">
        <v>0</v>
      </c>
      <c r="J81">
        <v>3</v>
      </c>
      <c r="K81">
        <v>9</v>
      </c>
      <c r="L81">
        <f t="shared" si="6"/>
        <v>0</v>
      </c>
      <c r="M81">
        <f t="shared" si="7"/>
        <v>22</v>
      </c>
      <c r="N81" t="str">
        <f t="shared" si="8"/>
        <v>Adult</v>
      </c>
      <c r="O81">
        <f t="shared" si="9"/>
        <v>9</v>
      </c>
    </row>
    <row r="82" spans="1:15" x14ac:dyDescent="0.3">
      <c r="A82">
        <v>81</v>
      </c>
      <c r="B82">
        <v>1</v>
      </c>
      <c r="C82" t="str">
        <f t="shared" si="5"/>
        <v>Yes</v>
      </c>
      <c r="D82" t="s">
        <v>956</v>
      </c>
      <c r="E82" t="s">
        <v>1041</v>
      </c>
      <c r="F82" t="str" cm="1">
        <f t="array" ref="F82">IF(OR(COUNTIF(D82,"*"&amp;Preprocessing!$T$9:$T$15&amp;"*")),"Female","Male")</f>
        <v>Male</v>
      </c>
      <c r="G82">
        <v>29</v>
      </c>
      <c r="H82">
        <v>0</v>
      </c>
      <c r="I82">
        <v>0</v>
      </c>
      <c r="J82">
        <v>3</v>
      </c>
      <c r="K82">
        <v>9.5</v>
      </c>
      <c r="L82">
        <f t="shared" si="6"/>
        <v>0</v>
      </c>
      <c r="M82">
        <f t="shared" si="7"/>
        <v>29</v>
      </c>
      <c r="N82" t="str">
        <f t="shared" si="8"/>
        <v>Adult</v>
      </c>
      <c r="O82">
        <f t="shared" si="9"/>
        <v>9.5</v>
      </c>
    </row>
    <row r="83" spans="1:15" x14ac:dyDescent="0.3">
      <c r="A83">
        <v>82</v>
      </c>
      <c r="B83">
        <v>1</v>
      </c>
      <c r="C83" t="str">
        <f t="shared" si="5"/>
        <v>Yes</v>
      </c>
      <c r="D83" t="s">
        <v>960</v>
      </c>
      <c r="E83" t="s">
        <v>1042</v>
      </c>
      <c r="F83" t="str" cm="1">
        <f t="array" ref="F83">IF(OR(COUNTIF(D83,"*"&amp;Preprocessing!$T$9:$T$15&amp;"*")),"Female","Male")</f>
        <v>Female</v>
      </c>
      <c r="G83">
        <v>31</v>
      </c>
      <c r="H83">
        <v>0</v>
      </c>
      <c r="I83">
        <v>0</v>
      </c>
      <c r="J83">
        <v>3</v>
      </c>
      <c r="K83">
        <v>7.7874999999999996</v>
      </c>
      <c r="L83">
        <f t="shared" si="6"/>
        <v>1</v>
      </c>
      <c r="M83">
        <f t="shared" si="7"/>
        <v>31</v>
      </c>
      <c r="N83" t="str">
        <f t="shared" si="8"/>
        <v>Adult</v>
      </c>
      <c r="O83">
        <f t="shared" si="9"/>
        <v>7.79</v>
      </c>
    </row>
    <row r="84" spans="1:15" x14ac:dyDescent="0.3">
      <c r="A84">
        <v>83</v>
      </c>
      <c r="B84">
        <v>0</v>
      </c>
      <c r="C84" t="str">
        <f t="shared" si="5"/>
        <v>No</v>
      </c>
      <c r="D84" t="s">
        <v>956</v>
      </c>
      <c r="E84" t="s">
        <v>1043</v>
      </c>
      <c r="F84" t="str" cm="1">
        <f t="array" ref="F84">IF(OR(COUNTIF(D84,"*"&amp;Preprocessing!$T$9:$T$15&amp;"*")),"Female","Male")</f>
        <v>Male</v>
      </c>
      <c r="G84">
        <v>28</v>
      </c>
      <c r="H84">
        <v>0</v>
      </c>
      <c r="I84">
        <v>0</v>
      </c>
      <c r="J84">
        <v>1</v>
      </c>
      <c r="K84">
        <v>47.1</v>
      </c>
      <c r="L84">
        <f t="shared" si="6"/>
        <v>0</v>
      </c>
      <c r="M84">
        <f t="shared" si="7"/>
        <v>28</v>
      </c>
      <c r="N84" t="str">
        <f t="shared" si="8"/>
        <v>Adult</v>
      </c>
      <c r="O84">
        <f t="shared" si="9"/>
        <v>47.1</v>
      </c>
    </row>
    <row r="85" spans="1:15" x14ac:dyDescent="0.3">
      <c r="A85">
        <v>84</v>
      </c>
      <c r="B85">
        <v>1</v>
      </c>
      <c r="C85" t="str">
        <f t="shared" si="5"/>
        <v>Yes</v>
      </c>
      <c r="D85" t="s">
        <v>960</v>
      </c>
      <c r="E85" t="s">
        <v>1044</v>
      </c>
      <c r="F85" t="str" cm="1">
        <f t="array" ref="F85">IF(OR(COUNTIF(D85,"*"&amp;Preprocessing!$T$9:$T$15&amp;"*")),"Female","Male")</f>
        <v>Female</v>
      </c>
      <c r="G85">
        <v>17</v>
      </c>
      <c r="H85">
        <v>0</v>
      </c>
      <c r="I85">
        <v>0</v>
      </c>
      <c r="J85">
        <v>2</v>
      </c>
      <c r="K85">
        <v>10.5</v>
      </c>
      <c r="L85">
        <f t="shared" si="6"/>
        <v>1</v>
      </c>
      <c r="M85">
        <f t="shared" si="7"/>
        <v>17</v>
      </c>
      <c r="N85" t="str">
        <f t="shared" si="8"/>
        <v>Adult</v>
      </c>
      <c r="O85">
        <f t="shared" si="9"/>
        <v>10.5</v>
      </c>
    </row>
    <row r="86" spans="1:15" x14ac:dyDescent="0.3">
      <c r="A86">
        <v>85</v>
      </c>
      <c r="B86">
        <v>1</v>
      </c>
      <c r="C86" t="str">
        <f t="shared" si="5"/>
        <v>Yes</v>
      </c>
      <c r="D86" t="s">
        <v>958</v>
      </c>
      <c r="E86" t="s">
        <v>1045</v>
      </c>
      <c r="F86" t="str" cm="1">
        <f t="array" ref="F86">IF(OR(COUNTIF(D86,"*"&amp;Preprocessing!$T$9:$T$15&amp;"*")),"Female","Male")</f>
        <v>Female</v>
      </c>
      <c r="G86">
        <v>33</v>
      </c>
      <c r="H86">
        <v>3</v>
      </c>
      <c r="I86">
        <v>0</v>
      </c>
      <c r="J86">
        <v>3</v>
      </c>
      <c r="K86">
        <v>15.85</v>
      </c>
      <c r="L86">
        <f t="shared" si="6"/>
        <v>1</v>
      </c>
      <c r="M86">
        <f t="shared" si="7"/>
        <v>33</v>
      </c>
      <c r="N86" t="str">
        <f t="shared" si="8"/>
        <v>Adult</v>
      </c>
      <c r="O86">
        <f t="shared" si="9"/>
        <v>15.85</v>
      </c>
    </row>
    <row r="87" spans="1:15" x14ac:dyDescent="0.3">
      <c r="A87">
        <v>86</v>
      </c>
      <c r="B87">
        <v>0</v>
      </c>
      <c r="C87" t="str">
        <f t="shared" si="5"/>
        <v>No</v>
      </c>
      <c r="D87" t="s">
        <v>956</v>
      </c>
      <c r="E87" t="s">
        <v>1046</v>
      </c>
      <c r="F87" t="str" cm="1">
        <f t="array" ref="F87">IF(OR(COUNTIF(D87,"*"&amp;Preprocessing!$T$9:$T$15&amp;"*")),"Female","Male")</f>
        <v>Male</v>
      </c>
      <c r="G87">
        <v>16</v>
      </c>
      <c r="H87">
        <v>1</v>
      </c>
      <c r="I87">
        <v>3</v>
      </c>
      <c r="J87">
        <v>3</v>
      </c>
      <c r="K87">
        <v>34.375</v>
      </c>
      <c r="L87">
        <f t="shared" si="6"/>
        <v>0</v>
      </c>
      <c r="M87">
        <f t="shared" si="7"/>
        <v>16</v>
      </c>
      <c r="N87" t="str">
        <f t="shared" si="8"/>
        <v>Child</v>
      </c>
      <c r="O87">
        <f t="shared" si="9"/>
        <v>34.380000000000003</v>
      </c>
    </row>
    <row r="88" spans="1:15" x14ac:dyDescent="0.3">
      <c r="A88">
        <v>87</v>
      </c>
      <c r="B88">
        <v>0</v>
      </c>
      <c r="C88" t="str">
        <f t="shared" si="5"/>
        <v>No</v>
      </c>
      <c r="D88" t="s">
        <v>956</v>
      </c>
      <c r="E88" t="s">
        <v>1047</v>
      </c>
      <c r="F88" t="str" cm="1">
        <f t="array" ref="F88">IF(OR(COUNTIF(D88,"*"&amp;Preprocessing!$T$9:$T$15&amp;"*")),"Female","Male")</f>
        <v>Male</v>
      </c>
      <c r="G88">
        <v>20</v>
      </c>
      <c r="H88">
        <v>0</v>
      </c>
      <c r="I88">
        <v>0</v>
      </c>
      <c r="J88">
        <v>3</v>
      </c>
      <c r="K88">
        <v>8.0500000000000007</v>
      </c>
      <c r="L88">
        <f t="shared" si="6"/>
        <v>0</v>
      </c>
      <c r="M88">
        <f t="shared" si="7"/>
        <v>20</v>
      </c>
      <c r="N88" t="str">
        <f t="shared" si="8"/>
        <v>Adult</v>
      </c>
      <c r="O88">
        <f t="shared" si="9"/>
        <v>8.0500000000000007</v>
      </c>
    </row>
    <row r="89" spans="1:15" x14ac:dyDescent="0.3">
      <c r="A89">
        <v>88</v>
      </c>
      <c r="B89">
        <v>1</v>
      </c>
      <c r="C89" t="str">
        <f t="shared" si="5"/>
        <v>Yes</v>
      </c>
      <c r="D89" t="s">
        <v>960</v>
      </c>
      <c r="E89" t="s">
        <v>1048</v>
      </c>
      <c r="F89" t="str" cm="1">
        <f t="array" ref="F89">IF(OR(COUNTIF(D89,"*"&amp;Preprocessing!$T$9:$T$15&amp;"*")),"Female","Male")</f>
        <v>Female</v>
      </c>
      <c r="G89">
        <v>23</v>
      </c>
      <c r="H89">
        <v>3</v>
      </c>
      <c r="I89">
        <v>2</v>
      </c>
      <c r="J89">
        <v>1</v>
      </c>
      <c r="K89">
        <v>263</v>
      </c>
      <c r="L89">
        <f t="shared" si="6"/>
        <v>1</v>
      </c>
      <c r="M89">
        <f t="shared" si="7"/>
        <v>23</v>
      </c>
      <c r="N89" t="str">
        <f t="shared" si="8"/>
        <v>Adult</v>
      </c>
      <c r="O89">
        <f t="shared" si="9"/>
        <v>263</v>
      </c>
    </row>
    <row r="90" spans="1:15" x14ac:dyDescent="0.3">
      <c r="A90">
        <v>89</v>
      </c>
      <c r="B90">
        <v>0</v>
      </c>
      <c r="C90" t="str">
        <f t="shared" si="5"/>
        <v>No</v>
      </c>
      <c r="D90" t="s">
        <v>956</v>
      </c>
      <c r="E90" t="s">
        <v>1049</v>
      </c>
      <c r="F90" t="str" cm="1">
        <f t="array" ref="F90">IF(OR(COUNTIF(D90,"*"&amp;Preprocessing!$T$9:$T$15&amp;"*")),"Female","Male")</f>
        <v>Male</v>
      </c>
      <c r="G90">
        <v>24</v>
      </c>
      <c r="H90">
        <v>0</v>
      </c>
      <c r="I90">
        <v>0</v>
      </c>
      <c r="J90">
        <v>3</v>
      </c>
      <c r="K90">
        <v>8.0500000000000007</v>
      </c>
      <c r="L90">
        <f t="shared" si="6"/>
        <v>0</v>
      </c>
      <c r="M90">
        <f t="shared" si="7"/>
        <v>24</v>
      </c>
      <c r="N90" t="str">
        <f t="shared" si="8"/>
        <v>Adult</v>
      </c>
      <c r="O90">
        <f t="shared" si="9"/>
        <v>8.0500000000000007</v>
      </c>
    </row>
    <row r="91" spans="1:15" x14ac:dyDescent="0.3">
      <c r="A91">
        <v>90</v>
      </c>
      <c r="B91">
        <v>0</v>
      </c>
      <c r="C91" t="str">
        <f t="shared" si="5"/>
        <v>No</v>
      </c>
      <c r="D91" t="s">
        <v>956</v>
      </c>
      <c r="E91" t="s">
        <v>1050</v>
      </c>
      <c r="F91" t="str" cm="1">
        <f t="array" ref="F91">IF(OR(COUNTIF(D91,"*"&amp;Preprocessing!$T$9:$T$15&amp;"*")),"Female","Male")</f>
        <v>Male</v>
      </c>
      <c r="G91">
        <v>29</v>
      </c>
      <c r="H91">
        <v>0</v>
      </c>
      <c r="I91">
        <v>0</v>
      </c>
      <c r="J91">
        <v>3</v>
      </c>
      <c r="K91">
        <v>8.0500000000000007</v>
      </c>
      <c r="L91">
        <f t="shared" si="6"/>
        <v>0</v>
      </c>
      <c r="M91">
        <f t="shared" si="7"/>
        <v>29</v>
      </c>
      <c r="N91" t="str">
        <f t="shared" si="8"/>
        <v>Adult</v>
      </c>
      <c r="O91">
        <f t="shared" si="9"/>
        <v>8.0500000000000007</v>
      </c>
    </row>
    <row r="92" spans="1:15" x14ac:dyDescent="0.3">
      <c r="A92">
        <v>91</v>
      </c>
      <c r="B92">
        <v>0</v>
      </c>
      <c r="C92" t="str">
        <f t="shared" si="5"/>
        <v>No</v>
      </c>
      <c r="D92" t="s">
        <v>956</v>
      </c>
      <c r="E92" t="s">
        <v>1051</v>
      </c>
      <c r="F92" t="str" cm="1">
        <f t="array" ref="F92">IF(OR(COUNTIF(D92,"*"&amp;Preprocessing!$T$9:$T$15&amp;"*")),"Female","Male")</f>
        <v>Male</v>
      </c>
      <c r="G92">
        <v>20</v>
      </c>
      <c r="H92">
        <v>0</v>
      </c>
      <c r="I92">
        <v>0</v>
      </c>
      <c r="J92">
        <v>3</v>
      </c>
      <c r="K92">
        <v>7.8541999999999996</v>
      </c>
      <c r="L92">
        <f t="shared" si="6"/>
        <v>0</v>
      </c>
      <c r="M92">
        <f t="shared" si="7"/>
        <v>20</v>
      </c>
      <c r="N92" t="str">
        <f t="shared" si="8"/>
        <v>Adult</v>
      </c>
      <c r="O92">
        <f t="shared" si="9"/>
        <v>7.85</v>
      </c>
    </row>
    <row r="93" spans="1:15" x14ac:dyDescent="0.3">
      <c r="A93">
        <v>92</v>
      </c>
      <c r="B93">
        <v>0</v>
      </c>
      <c r="C93" t="str">
        <f t="shared" si="5"/>
        <v>No</v>
      </c>
      <c r="D93" t="s">
        <v>956</v>
      </c>
      <c r="E93" t="s">
        <v>1052</v>
      </c>
      <c r="F93" t="str" cm="1">
        <f t="array" ref="F93">IF(OR(COUNTIF(D93,"*"&amp;Preprocessing!$T$9:$T$15&amp;"*")),"Female","Male")</f>
        <v>Male</v>
      </c>
      <c r="G93">
        <v>46</v>
      </c>
      <c r="H93">
        <v>1</v>
      </c>
      <c r="I93">
        <v>0</v>
      </c>
      <c r="J93">
        <v>1</v>
      </c>
      <c r="K93">
        <v>61.174999999999997</v>
      </c>
      <c r="L93">
        <f t="shared" si="6"/>
        <v>0</v>
      </c>
      <c r="M93">
        <f t="shared" si="7"/>
        <v>46</v>
      </c>
      <c r="N93" t="str">
        <f t="shared" si="8"/>
        <v>Adult</v>
      </c>
      <c r="O93">
        <f t="shared" si="9"/>
        <v>61.18</v>
      </c>
    </row>
    <row r="94" spans="1:15" x14ac:dyDescent="0.3">
      <c r="A94">
        <v>93</v>
      </c>
      <c r="B94">
        <v>0</v>
      </c>
      <c r="C94" t="str">
        <f t="shared" si="5"/>
        <v>No</v>
      </c>
      <c r="D94" t="s">
        <v>956</v>
      </c>
      <c r="E94" t="s">
        <v>1053</v>
      </c>
      <c r="F94" t="str" cm="1">
        <f t="array" ref="F94">IF(OR(COUNTIF(D94,"*"&amp;Preprocessing!$T$9:$T$15&amp;"*")),"Female","Male")</f>
        <v>Male</v>
      </c>
      <c r="G94">
        <v>26</v>
      </c>
      <c r="H94">
        <v>1</v>
      </c>
      <c r="I94">
        <v>2</v>
      </c>
      <c r="J94">
        <v>3</v>
      </c>
      <c r="K94">
        <v>20.574999999999999</v>
      </c>
      <c r="L94">
        <f t="shared" si="6"/>
        <v>0</v>
      </c>
      <c r="M94">
        <f t="shared" si="7"/>
        <v>26</v>
      </c>
      <c r="N94" t="str">
        <f t="shared" si="8"/>
        <v>Adult</v>
      </c>
      <c r="O94">
        <f t="shared" si="9"/>
        <v>20.58</v>
      </c>
    </row>
    <row r="95" spans="1:15" x14ac:dyDescent="0.3">
      <c r="A95">
        <v>94</v>
      </c>
      <c r="B95">
        <v>0</v>
      </c>
      <c r="C95" t="str">
        <f t="shared" si="5"/>
        <v>No</v>
      </c>
      <c r="D95" t="s">
        <v>956</v>
      </c>
      <c r="E95" t="s">
        <v>1054</v>
      </c>
      <c r="F95" t="str" cm="1">
        <f t="array" ref="F95">IF(OR(COUNTIF(D95,"*"&amp;Preprocessing!$T$9:$T$15&amp;"*")),"Female","Male")</f>
        <v>Male</v>
      </c>
      <c r="G95">
        <v>59</v>
      </c>
      <c r="H95">
        <v>0</v>
      </c>
      <c r="I95">
        <v>0</v>
      </c>
      <c r="J95">
        <v>3</v>
      </c>
      <c r="K95">
        <v>7.25</v>
      </c>
      <c r="L95">
        <f t="shared" si="6"/>
        <v>0</v>
      </c>
      <c r="M95">
        <f t="shared" si="7"/>
        <v>59</v>
      </c>
      <c r="N95" t="str">
        <f t="shared" si="8"/>
        <v>Adult</v>
      </c>
      <c r="O95">
        <f t="shared" si="9"/>
        <v>7.25</v>
      </c>
    </row>
    <row r="96" spans="1:15" x14ac:dyDescent="0.3">
      <c r="A96">
        <v>95</v>
      </c>
      <c r="B96">
        <v>0</v>
      </c>
      <c r="C96" t="str">
        <f t="shared" si="5"/>
        <v>No</v>
      </c>
      <c r="D96" t="s">
        <v>956</v>
      </c>
      <c r="E96" t="s">
        <v>1055</v>
      </c>
      <c r="F96" t="str" cm="1">
        <f t="array" ref="F96">IF(OR(COUNTIF(D96,"*"&amp;Preprocessing!$T$9:$T$15&amp;"*")),"Female","Male")</f>
        <v>Male</v>
      </c>
      <c r="G96">
        <v>22</v>
      </c>
      <c r="H96">
        <v>0</v>
      </c>
      <c r="I96">
        <v>0</v>
      </c>
      <c r="J96">
        <v>3</v>
      </c>
      <c r="K96">
        <v>8.0500000000000007</v>
      </c>
      <c r="L96">
        <f t="shared" si="6"/>
        <v>0</v>
      </c>
      <c r="M96">
        <f t="shared" si="7"/>
        <v>22</v>
      </c>
      <c r="N96" t="str">
        <f t="shared" si="8"/>
        <v>Adult</v>
      </c>
      <c r="O96">
        <f t="shared" si="9"/>
        <v>8.0500000000000007</v>
      </c>
    </row>
    <row r="97" spans="1:15" x14ac:dyDescent="0.3">
      <c r="A97">
        <v>96</v>
      </c>
      <c r="B97">
        <v>0</v>
      </c>
      <c r="C97" t="str">
        <f t="shared" si="5"/>
        <v>No</v>
      </c>
      <c r="D97" t="s">
        <v>956</v>
      </c>
      <c r="E97" t="s">
        <v>1056</v>
      </c>
      <c r="F97" t="str" cm="1">
        <f t="array" ref="F97">IF(OR(COUNTIF(D97,"*"&amp;Preprocessing!$T$9:$T$15&amp;"*")),"Female","Male")</f>
        <v>Male</v>
      </c>
      <c r="G97">
        <v>71</v>
      </c>
      <c r="H97">
        <v>0</v>
      </c>
      <c r="I97">
        <v>0</v>
      </c>
      <c r="J97">
        <v>1</v>
      </c>
      <c r="K97">
        <v>34.654200000000003</v>
      </c>
      <c r="L97">
        <f t="shared" si="6"/>
        <v>0</v>
      </c>
      <c r="M97">
        <f t="shared" si="7"/>
        <v>71</v>
      </c>
      <c r="N97" t="str">
        <f t="shared" si="8"/>
        <v>Adult</v>
      </c>
      <c r="O97">
        <f t="shared" si="9"/>
        <v>34.65</v>
      </c>
    </row>
    <row r="98" spans="1:15" x14ac:dyDescent="0.3">
      <c r="A98">
        <v>97</v>
      </c>
      <c r="B98">
        <v>1</v>
      </c>
      <c r="C98" t="str">
        <f t="shared" si="5"/>
        <v>Yes</v>
      </c>
      <c r="D98" t="s">
        <v>956</v>
      </c>
      <c r="E98" t="s">
        <v>1057</v>
      </c>
      <c r="F98" t="str" cm="1">
        <f t="array" ref="F98">IF(OR(COUNTIF(D98,"*"&amp;Preprocessing!$T$9:$T$15&amp;"*")),"Female","Male")</f>
        <v>Male</v>
      </c>
      <c r="G98">
        <v>23</v>
      </c>
      <c r="H98">
        <v>0</v>
      </c>
      <c r="I98">
        <v>1</v>
      </c>
      <c r="J98">
        <v>1</v>
      </c>
      <c r="K98">
        <v>63.3583</v>
      </c>
      <c r="L98">
        <f t="shared" si="6"/>
        <v>0</v>
      </c>
      <c r="M98">
        <f t="shared" si="7"/>
        <v>23</v>
      </c>
      <c r="N98" t="str">
        <f t="shared" si="8"/>
        <v>Adult</v>
      </c>
      <c r="O98">
        <f t="shared" si="9"/>
        <v>63.36</v>
      </c>
    </row>
    <row r="99" spans="1:15" x14ac:dyDescent="0.3">
      <c r="A99">
        <v>98</v>
      </c>
      <c r="B99">
        <v>1</v>
      </c>
      <c r="C99" t="str">
        <f t="shared" si="5"/>
        <v>Yes</v>
      </c>
      <c r="D99" t="s">
        <v>958</v>
      </c>
      <c r="E99" t="s">
        <v>1058</v>
      </c>
      <c r="F99" t="str" cm="1">
        <f t="array" ref="F99">IF(OR(COUNTIF(D99,"*"&amp;Preprocessing!$T$9:$T$15&amp;"*")),"Female","Male")</f>
        <v>Female</v>
      </c>
      <c r="G99">
        <v>34</v>
      </c>
      <c r="H99">
        <v>0</v>
      </c>
      <c r="I99">
        <v>1</v>
      </c>
      <c r="J99">
        <v>2</v>
      </c>
      <c r="K99">
        <v>23</v>
      </c>
      <c r="L99">
        <f t="shared" si="6"/>
        <v>1</v>
      </c>
      <c r="M99">
        <f t="shared" si="7"/>
        <v>34</v>
      </c>
      <c r="N99" t="str">
        <f t="shared" si="8"/>
        <v>Adult</v>
      </c>
      <c r="O99">
        <f t="shared" si="9"/>
        <v>23</v>
      </c>
    </row>
    <row r="100" spans="1:15" x14ac:dyDescent="0.3">
      <c r="A100">
        <v>99</v>
      </c>
      <c r="B100">
        <v>0</v>
      </c>
      <c r="C100" t="str">
        <f t="shared" si="5"/>
        <v>No</v>
      </c>
      <c r="D100" t="s">
        <v>956</v>
      </c>
      <c r="E100" t="s">
        <v>1059</v>
      </c>
      <c r="F100" t="str" cm="1">
        <f t="array" ref="F100">IF(OR(COUNTIF(D100,"*"&amp;Preprocessing!$T$9:$T$15&amp;"*")),"Female","Male")</f>
        <v>Male</v>
      </c>
      <c r="G100">
        <v>34</v>
      </c>
      <c r="H100">
        <v>1</v>
      </c>
      <c r="I100">
        <v>0</v>
      </c>
      <c r="J100">
        <v>2</v>
      </c>
      <c r="K100">
        <v>26</v>
      </c>
      <c r="L100">
        <f t="shared" si="6"/>
        <v>0</v>
      </c>
      <c r="M100">
        <f t="shared" si="7"/>
        <v>34</v>
      </c>
      <c r="N100" t="str">
        <f t="shared" si="8"/>
        <v>Adult</v>
      </c>
      <c r="O100">
        <f t="shared" si="9"/>
        <v>26</v>
      </c>
    </row>
    <row r="101" spans="1:15" x14ac:dyDescent="0.3">
      <c r="A101">
        <v>100</v>
      </c>
      <c r="B101">
        <v>0</v>
      </c>
      <c r="C101" t="str">
        <f t="shared" si="5"/>
        <v>No</v>
      </c>
      <c r="D101" t="s">
        <v>960</v>
      </c>
      <c r="E101" t="s">
        <v>1060</v>
      </c>
      <c r="F101" t="str" cm="1">
        <f t="array" ref="F101">IF(OR(COUNTIF(D101,"*"&amp;Preprocessing!$T$9:$T$15&amp;"*")),"Female","Male")</f>
        <v>Female</v>
      </c>
      <c r="G101">
        <v>28</v>
      </c>
      <c r="H101">
        <v>0</v>
      </c>
      <c r="I101">
        <v>0</v>
      </c>
      <c r="J101">
        <v>3</v>
      </c>
      <c r="K101">
        <v>7.8958000000000004</v>
      </c>
      <c r="L101">
        <f t="shared" si="6"/>
        <v>1</v>
      </c>
      <c r="M101">
        <f t="shared" si="7"/>
        <v>28</v>
      </c>
      <c r="N101" t="str">
        <f t="shared" si="8"/>
        <v>Adult</v>
      </c>
      <c r="O101">
        <f t="shared" si="9"/>
        <v>7.9</v>
      </c>
    </row>
    <row r="102" spans="1:15" x14ac:dyDescent="0.3">
      <c r="A102">
        <v>101</v>
      </c>
      <c r="B102">
        <v>0</v>
      </c>
      <c r="C102" t="str">
        <f t="shared" si="5"/>
        <v>No</v>
      </c>
      <c r="D102" t="s">
        <v>956</v>
      </c>
      <c r="E102" t="s">
        <v>1061</v>
      </c>
      <c r="F102" t="str" cm="1">
        <f t="array" ref="F102">IF(OR(COUNTIF(D102,"*"&amp;Preprocessing!$T$9:$T$15&amp;"*")),"Female","Male")</f>
        <v>Male</v>
      </c>
      <c r="G102">
        <v>29</v>
      </c>
      <c r="H102">
        <v>0</v>
      </c>
      <c r="I102">
        <v>0</v>
      </c>
      <c r="J102">
        <v>3</v>
      </c>
      <c r="K102">
        <v>7.8958000000000004</v>
      </c>
      <c r="L102">
        <f t="shared" si="6"/>
        <v>0</v>
      </c>
      <c r="M102">
        <f t="shared" si="7"/>
        <v>29</v>
      </c>
      <c r="N102" t="str">
        <f t="shared" si="8"/>
        <v>Adult</v>
      </c>
      <c r="O102">
        <f t="shared" si="9"/>
        <v>7.9</v>
      </c>
    </row>
    <row r="103" spans="1:15" x14ac:dyDescent="0.3">
      <c r="A103">
        <v>102</v>
      </c>
      <c r="B103">
        <v>0</v>
      </c>
      <c r="C103" t="str">
        <f t="shared" si="5"/>
        <v>No</v>
      </c>
      <c r="D103" t="s">
        <v>956</v>
      </c>
      <c r="E103" t="s">
        <v>1062</v>
      </c>
      <c r="F103" t="str" cm="1">
        <f t="array" ref="F103">IF(OR(COUNTIF(D103,"*"&amp;Preprocessing!$T$9:$T$15&amp;"*")),"Female","Male")</f>
        <v>Male</v>
      </c>
      <c r="G103">
        <v>21</v>
      </c>
      <c r="H103">
        <v>0</v>
      </c>
      <c r="I103">
        <v>1</v>
      </c>
      <c r="J103">
        <v>1</v>
      </c>
      <c r="K103">
        <v>77.287499999999994</v>
      </c>
      <c r="L103">
        <f t="shared" si="6"/>
        <v>0</v>
      </c>
      <c r="M103">
        <f t="shared" si="7"/>
        <v>21</v>
      </c>
      <c r="N103" t="str">
        <f t="shared" si="8"/>
        <v>Adult</v>
      </c>
      <c r="O103">
        <f t="shared" si="9"/>
        <v>77.290000000000006</v>
      </c>
    </row>
    <row r="104" spans="1:15" x14ac:dyDescent="0.3">
      <c r="A104">
        <v>103</v>
      </c>
      <c r="B104">
        <v>0</v>
      </c>
      <c r="C104" t="str">
        <f t="shared" si="5"/>
        <v>No</v>
      </c>
      <c r="D104" t="s">
        <v>956</v>
      </c>
      <c r="E104" t="s">
        <v>1063</v>
      </c>
      <c r="F104" t="str" cm="1">
        <f t="array" ref="F104">IF(OR(COUNTIF(D104,"*"&amp;Preprocessing!$T$9:$T$15&amp;"*")),"Female","Male")</f>
        <v>Male</v>
      </c>
      <c r="G104">
        <v>33</v>
      </c>
      <c r="H104">
        <v>0</v>
      </c>
      <c r="I104">
        <v>0</v>
      </c>
      <c r="J104">
        <v>3</v>
      </c>
      <c r="K104">
        <v>8.6541999999999994</v>
      </c>
      <c r="L104">
        <f t="shared" si="6"/>
        <v>0</v>
      </c>
      <c r="M104">
        <f t="shared" si="7"/>
        <v>33</v>
      </c>
      <c r="N104" t="str">
        <f t="shared" si="8"/>
        <v>Adult</v>
      </c>
      <c r="O104">
        <f t="shared" si="9"/>
        <v>8.65</v>
      </c>
    </row>
    <row r="105" spans="1:15" x14ac:dyDescent="0.3">
      <c r="A105">
        <v>104</v>
      </c>
      <c r="B105">
        <v>0</v>
      </c>
      <c r="C105" t="str">
        <f t="shared" si="5"/>
        <v>No</v>
      </c>
      <c r="D105" t="s">
        <v>956</v>
      </c>
      <c r="E105" t="s">
        <v>1064</v>
      </c>
      <c r="F105" t="str" cm="1">
        <f t="array" ref="F105">IF(OR(COUNTIF(D105,"*"&amp;Preprocessing!$T$9:$T$15&amp;"*")),"Female","Male")</f>
        <v>Male</v>
      </c>
      <c r="G105">
        <v>37</v>
      </c>
      <c r="H105">
        <v>2</v>
      </c>
      <c r="I105">
        <v>0</v>
      </c>
      <c r="J105">
        <v>3</v>
      </c>
      <c r="K105">
        <v>7.9249999999999998</v>
      </c>
      <c r="L105">
        <f t="shared" si="6"/>
        <v>0</v>
      </c>
      <c r="M105">
        <f t="shared" si="7"/>
        <v>37</v>
      </c>
      <c r="N105" t="str">
        <f t="shared" si="8"/>
        <v>Adult</v>
      </c>
      <c r="O105">
        <f t="shared" si="9"/>
        <v>7.93</v>
      </c>
    </row>
    <row r="106" spans="1:15" x14ac:dyDescent="0.3">
      <c r="A106">
        <v>105</v>
      </c>
      <c r="B106">
        <v>0</v>
      </c>
      <c r="C106" t="str">
        <f t="shared" si="5"/>
        <v>No</v>
      </c>
      <c r="D106" t="s">
        <v>956</v>
      </c>
      <c r="E106" t="s">
        <v>1065</v>
      </c>
      <c r="F106" t="str" cm="1">
        <f t="array" ref="F106">IF(OR(COUNTIF(D106,"*"&amp;Preprocessing!$T$9:$T$15&amp;"*")),"Female","Male")</f>
        <v>Male</v>
      </c>
      <c r="G106">
        <v>28</v>
      </c>
      <c r="H106">
        <v>0</v>
      </c>
      <c r="I106">
        <v>0</v>
      </c>
      <c r="J106">
        <v>3</v>
      </c>
      <c r="K106">
        <v>7.8958000000000004</v>
      </c>
      <c r="L106">
        <f t="shared" si="6"/>
        <v>0</v>
      </c>
      <c r="M106">
        <f t="shared" si="7"/>
        <v>28</v>
      </c>
      <c r="N106" t="str">
        <f t="shared" si="8"/>
        <v>Adult</v>
      </c>
      <c r="O106">
        <f t="shared" si="9"/>
        <v>7.9</v>
      </c>
    </row>
    <row r="107" spans="1:15" x14ac:dyDescent="0.3">
      <c r="A107">
        <v>106</v>
      </c>
      <c r="B107">
        <v>1</v>
      </c>
      <c r="C107" t="str">
        <f t="shared" si="5"/>
        <v>Yes</v>
      </c>
      <c r="D107" t="s">
        <v>960</v>
      </c>
      <c r="E107" t="s">
        <v>1066</v>
      </c>
      <c r="F107" t="str" cm="1">
        <f t="array" ref="F107">IF(OR(COUNTIF(D107,"*"&amp;Preprocessing!$T$9:$T$15&amp;"*")),"Female","Male")</f>
        <v>Female</v>
      </c>
      <c r="G107">
        <v>21</v>
      </c>
      <c r="H107">
        <v>0</v>
      </c>
      <c r="I107">
        <v>0</v>
      </c>
      <c r="J107">
        <v>3</v>
      </c>
      <c r="K107">
        <v>7.65</v>
      </c>
      <c r="L107">
        <f t="shared" si="6"/>
        <v>1</v>
      </c>
      <c r="M107">
        <f t="shared" si="7"/>
        <v>21</v>
      </c>
      <c r="N107" t="str">
        <f t="shared" si="8"/>
        <v>Adult</v>
      </c>
      <c r="O107">
        <f t="shared" si="9"/>
        <v>7.65</v>
      </c>
    </row>
    <row r="108" spans="1:15" x14ac:dyDescent="0.3">
      <c r="A108">
        <v>107</v>
      </c>
      <c r="B108">
        <v>1</v>
      </c>
      <c r="C108" t="str">
        <f t="shared" si="5"/>
        <v>Yes</v>
      </c>
      <c r="D108" t="s">
        <v>956</v>
      </c>
      <c r="E108" t="s">
        <v>1067</v>
      </c>
      <c r="F108" t="str" cm="1">
        <f t="array" ref="F108">IF(OR(COUNTIF(D108,"*"&amp;Preprocessing!$T$9:$T$15&amp;"*")),"Female","Male")</f>
        <v>Male</v>
      </c>
      <c r="G108">
        <v>29</v>
      </c>
      <c r="H108">
        <v>0</v>
      </c>
      <c r="I108">
        <v>0</v>
      </c>
      <c r="J108">
        <v>3</v>
      </c>
      <c r="K108">
        <v>7.7750000000000004</v>
      </c>
      <c r="L108">
        <f t="shared" si="6"/>
        <v>0</v>
      </c>
      <c r="M108">
        <f t="shared" si="7"/>
        <v>29</v>
      </c>
      <c r="N108" t="str">
        <f t="shared" si="8"/>
        <v>Adult</v>
      </c>
      <c r="O108">
        <f t="shared" si="9"/>
        <v>7.78</v>
      </c>
    </row>
    <row r="109" spans="1:15" x14ac:dyDescent="0.3">
      <c r="A109">
        <v>108</v>
      </c>
      <c r="B109">
        <v>0</v>
      </c>
      <c r="C109" t="str">
        <f t="shared" si="5"/>
        <v>No</v>
      </c>
      <c r="D109" t="s">
        <v>956</v>
      </c>
      <c r="E109" t="s">
        <v>1068</v>
      </c>
      <c r="F109" t="str" cm="1">
        <f t="array" ref="F109">IF(OR(COUNTIF(D109,"*"&amp;Preprocessing!$T$9:$T$15&amp;"*")),"Female","Male")</f>
        <v>Male</v>
      </c>
      <c r="G109">
        <v>38</v>
      </c>
      <c r="H109">
        <v>0</v>
      </c>
      <c r="I109">
        <v>0</v>
      </c>
      <c r="J109">
        <v>3</v>
      </c>
      <c r="K109">
        <v>7.8958000000000004</v>
      </c>
      <c r="L109">
        <f t="shared" si="6"/>
        <v>0</v>
      </c>
      <c r="M109">
        <f t="shared" si="7"/>
        <v>38</v>
      </c>
      <c r="N109" t="str">
        <f t="shared" si="8"/>
        <v>Adult</v>
      </c>
      <c r="O109">
        <f t="shared" si="9"/>
        <v>7.9</v>
      </c>
    </row>
    <row r="110" spans="1:15" x14ac:dyDescent="0.3">
      <c r="A110">
        <v>109</v>
      </c>
      <c r="B110">
        <v>1</v>
      </c>
      <c r="C110" t="str">
        <f t="shared" si="5"/>
        <v>Yes</v>
      </c>
      <c r="D110" t="s">
        <v>960</v>
      </c>
      <c r="E110" t="s">
        <v>1069</v>
      </c>
      <c r="F110" t="str" cm="1">
        <f t="array" ref="F110">IF(OR(COUNTIF(D110,"*"&amp;Preprocessing!$T$9:$T$15&amp;"*")),"Female","Male")</f>
        <v>Female</v>
      </c>
      <c r="G110">
        <v>28</v>
      </c>
      <c r="H110">
        <v>1</v>
      </c>
      <c r="I110">
        <v>0</v>
      </c>
      <c r="J110">
        <v>3</v>
      </c>
      <c r="K110">
        <v>24.15</v>
      </c>
      <c r="L110">
        <f t="shared" si="6"/>
        <v>1</v>
      </c>
      <c r="M110">
        <f t="shared" si="7"/>
        <v>28</v>
      </c>
      <c r="N110" t="str">
        <f t="shared" si="8"/>
        <v>Adult</v>
      </c>
      <c r="O110">
        <f t="shared" si="9"/>
        <v>24.15</v>
      </c>
    </row>
    <row r="111" spans="1:15" x14ac:dyDescent="0.3">
      <c r="A111">
        <v>110</v>
      </c>
      <c r="B111">
        <v>0</v>
      </c>
      <c r="C111" t="str">
        <f t="shared" si="5"/>
        <v>No</v>
      </c>
      <c r="D111" t="s">
        <v>956</v>
      </c>
      <c r="E111" t="s">
        <v>1070</v>
      </c>
      <c r="F111" t="str" cm="1">
        <f t="array" ref="F111">IF(OR(COUNTIF(D111,"*"&amp;Preprocessing!$T$9:$T$15&amp;"*")),"Female","Male")</f>
        <v>Male</v>
      </c>
      <c r="G111">
        <v>47</v>
      </c>
      <c r="H111">
        <v>0</v>
      </c>
      <c r="I111">
        <v>0</v>
      </c>
      <c r="J111">
        <v>1</v>
      </c>
      <c r="K111">
        <v>52</v>
      </c>
      <c r="L111">
        <f t="shared" si="6"/>
        <v>0</v>
      </c>
      <c r="M111">
        <f t="shared" si="7"/>
        <v>47</v>
      </c>
      <c r="N111" t="str">
        <f t="shared" si="8"/>
        <v>Adult</v>
      </c>
      <c r="O111">
        <f t="shared" si="9"/>
        <v>52</v>
      </c>
    </row>
    <row r="112" spans="1:15" x14ac:dyDescent="0.3">
      <c r="A112">
        <v>111</v>
      </c>
      <c r="B112">
        <v>0</v>
      </c>
      <c r="C112" t="str">
        <f t="shared" si="5"/>
        <v>No</v>
      </c>
      <c r="D112" t="s">
        <v>960</v>
      </c>
      <c r="E112" t="s">
        <v>1071</v>
      </c>
      <c r="F112" t="str" cm="1">
        <f t="array" ref="F112">IF(OR(COUNTIF(D112,"*"&amp;Preprocessing!$T$9:$T$15&amp;"*")),"Female","Male")</f>
        <v>Female</v>
      </c>
      <c r="G112">
        <v>14.5</v>
      </c>
      <c r="H112">
        <v>1</v>
      </c>
      <c r="I112">
        <v>0</v>
      </c>
      <c r="J112">
        <v>3</v>
      </c>
      <c r="K112">
        <v>14.4542</v>
      </c>
      <c r="L112">
        <f t="shared" si="6"/>
        <v>1</v>
      </c>
      <c r="M112">
        <f t="shared" si="7"/>
        <v>15</v>
      </c>
      <c r="N112" t="str">
        <f t="shared" si="8"/>
        <v>Child</v>
      </c>
      <c r="O112">
        <f t="shared" si="9"/>
        <v>14.45</v>
      </c>
    </row>
    <row r="113" spans="1:15" x14ac:dyDescent="0.3">
      <c r="A113">
        <v>112</v>
      </c>
      <c r="B113">
        <v>0</v>
      </c>
      <c r="C113" t="str">
        <f t="shared" si="5"/>
        <v>No</v>
      </c>
      <c r="D113" t="s">
        <v>956</v>
      </c>
      <c r="E113" t="s">
        <v>1072</v>
      </c>
      <c r="F113" t="str" cm="1">
        <f t="array" ref="F113">IF(OR(COUNTIF(D113,"*"&amp;Preprocessing!$T$9:$T$15&amp;"*")),"Female","Male")</f>
        <v>Male</v>
      </c>
      <c r="G113">
        <v>22</v>
      </c>
      <c r="H113">
        <v>0</v>
      </c>
      <c r="I113">
        <v>0</v>
      </c>
      <c r="J113">
        <v>3</v>
      </c>
      <c r="K113">
        <v>8.0500000000000007</v>
      </c>
      <c r="L113">
        <f t="shared" si="6"/>
        <v>0</v>
      </c>
      <c r="M113">
        <f t="shared" si="7"/>
        <v>22</v>
      </c>
      <c r="N113" t="str">
        <f t="shared" si="8"/>
        <v>Adult</v>
      </c>
      <c r="O113">
        <f t="shared" si="9"/>
        <v>8.0500000000000007</v>
      </c>
    </row>
    <row r="114" spans="1:15" x14ac:dyDescent="0.3">
      <c r="A114">
        <v>113</v>
      </c>
      <c r="B114">
        <v>0</v>
      </c>
      <c r="C114" t="str">
        <f t="shared" si="5"/>
        <v>No</v>
      </c>
      <c r="D114" t="s">
        <v>960</v>
      </c>
      <c r="E114" t="s">
        <v>1073</v>
      </c>
      <c r="F114" t="str" cm="1">
        <f t="array" ref="F114">IF(OR(COUNTIF(D114,"*"&amp;Preprocessing!$T$9:$T$15&amp;"*")),"Female","Male")</f>
        <v>Female</v>
      </c>
      <c r="G114">
        <v>20</v>
      </c>
      <c r="H114">
        <v>1</v>
      </c>
      <c r="I114">
        <v>0</v>
      </c>
      <c r="J114">
        <v>3</v>
      </c>
      <c r="K114">
        <v>9.8249999999999993</v>
      </c>
      <c r="L114">
        <f t="shared" si="6"/>
        <v>1</v>
      </c>
      <c r="M114">
        <f t="shared" si="7"/>
        <v>20</v>
      </c>
      <c r="N114" t="str">
        <f t="shared" si="8"/>
        <v>Adult</v>
      </c>
      <c r="O114">
        <f t="shared" si="9"/>
        <v>9.83</v>
      </c>
    </row>
    <row r="115" spans="1:15" x14ac:dyDescent="0.3">
      <c r="A115">
        <v>114</v>
      </c>
      <c r="B115">
        <v>0</v>
      </c>
      <c r="C115" t="str">
        <f t="shared" si="5"/>
        <v>No</v>
      </c>
      <c r="D115" t="s">
        <v>960</v>
      </c>
      <c r="E115" t="s">
        <v>1074</v>
      </c>
      <c r="F115" t="str" cm="1">
        <f t="array" ref="F115">IF(OR(COUNTIF(D115,"*"&amp;Preprocessing!$T$9:$T$15&amp;"*")),"Female","Male")</f>
        <v>Female</v>
      </c>
      <c r="G115">
        <v>17</v>
      </c>
      <c r="H115">
        <v>0</v>
      </c>
      <c r="I115">
        <v>0</v>
      </c>
      <c r="J115">
        <v>3</v>
      </c>
      <c r="K115">
        <v>14.458299999999999</v>
      </c>
      <c r="L115">
        <f t="shared" si="6"/>
        <v>1</v>
      </c>
      <c r="M115">
        <f t="shared" si="7"/>
        <v>17</v>
      </c>
      <c r="N115" t="str">
        <f t="shared" si="8"/>
        <v>Adult</v>
      </c>
      <c r="O115">
        <f t="shared" si="9"/>
        <v>14.46</v>
      </c>
    </row>
    <row r="116" spans="1:15" x14ac:dyDescent="0.3">
      <c r="A116">
        <v>115</v>
      </c>
      <c r="B116">
        <v>0</v>
      </c>
      <c r="C116" t="str">
        <f t="shared" si="5"/>
        <v>No</v>
      </c>
      <c r="D116" t="s">
        <v>956</v>
      </c>
      <c r="E116" t="s">
        <v>1075</v>
      </c>
      <c r="F116" t="str" cm="1">
        <f t="array" ref="F116">IF(OR(COUNTIF(D116,"*"&amp;Preprocessing!$T$9:$T$15&amp;"*")),"Female","Male")</f>
        <v>Male</v>
      </c>
      <c r="G116">
        <v>21</v>
      </c>
      <c r="H116">
        <v>0</v>
      </c>
      <c r="I116">
        <v>0</v>
      </c>
      <c r="J116">
        <v>3</v>
      </c>
      <c r="K116">
        <v>7.9249999999999998</v>
      </c>
      <c r="L116">
        <f t="shared" si="6"/>
        <v>0</v>
      </c>
      <c r="M116">
        <f t="shared" si="7"/>
        <v>21</v>
      </c>
      <c r="N116" t="str">
        <f t="shared" si="8"/>
        <v>Adult</v>
      </c>
      <c r="O116">
        <f t="shared" si="9"/>
        <v>7.93</v>
      </c>
    </row>
    <row r="117" spans="1:15" x14ac:dyDescent="0.3">
      <c r="A117">
        <v>116</v>
      </c>
      <c r="B117">
        <v>0</v>
      </c>
      <c r="C117" t="str">
        <f t="shared" si="5"/>
        <v>No</v>
      </c>
      <c r="D117" t="s">
        <v>956</v>
      </c>
      <c r="E117" t="s">
        <v>1076</v>
      </c>
      <c r="F117" t="str" cm="1">
        <f t="array" ref="F117">IF(OR(COUNTIF(D117,"*"&amp;Preprocessing!$T$9:$T$15&amp;"*")),"Female","Male")</f>
        <v>Male</v>
      </c>
      <c r="G117">
        <v>70.5</v>
      </c>
      <c r="H117">
        <v>0</v>
      </c>
      <c r="I117">
        <v>0</v>
      </c>
      <c r="J117">
        <v>3</v>
      </c>
      <c r="K117">
        <v>7.75</v>
      </c>
      <c r="L117">
        <f t="shared" si="6"/>
        <v>0</v>
      </c>
      <c r="M117">
        <f t="shared" si="7"/>
        <v>71</v>
      </c>
      <c r="N117" t="str">
        <f t="shared" si="8"/>
        <v>Adult</v>
      </c>
      <c r="O117">
        <f t="shared" si="9"/>
        <v>7.75</v>
      </c>
    </row>
    <row r="118" spans="1:15" x14ac:dyDescent="0.3">
      <c r="A118">
        <v>117</v>
      </c>
      <c r="B118">
        <v>0</v>
      </c>
      <c r="C118" t="str">
        <f t="shared" si="5"/>
        <v>No</v>
      </c>
      <c r="D118" t="s">
        <v>956</v>
      </c>
      <c r="E118" t="s">
        <v>1077</v>
      </c>
      <c r="F118" t="str" cm="1">
        <f t="array" ref="F118">IF(OR(COUNTIF(D118,"*"&amp;Preprocessing!$T$9:$T$15&amp;"*")),"Female","Male")</f>
        <v>Male</v>
      </c>
      <c r="G118">
        <v>29</v>
      </c>
      <c r="H118">
        <v>1</v>
      </c>
      <c r="I118">
        <v>0</v>
      </c>
      <c r="J118">
        <v>2</v>
      </c>
      <c r="K118">
        <v>21</v>
      </c>
      <c r="L118">
        <f t="shared" si="6"/>
        <v>0</v>
      </c>
      <c r="M118">
        <f t="shared" si="7"/>
        <v>29</v>
      </c>
      <c r="N118" t="str">
        <f t="shared" si="8"/>
        <v>Adult</v>
      </c>
      <c r="O118">
        <f t="shared" si="9"/>
        <v>21</v>
      </c>
    </row>
    <row r="119" spans="1:15" x14ac:dyDescent="0.3">
      <c r="A119">
        <v>118</v>
      </c>
      <c r="B119">
        <v>0</v>
      </c>
      <c r="C119" t="str">
        <f t="shared" si="5"/>
        <v>No</v>
      </c>
      <c r="D119" t="s">
        <v>956</v>
      </c>
      <c r="E119" t="s">
        <v>1078</v>
      </c>
      <c r="F119" t="str" cm="1">
        <f t="array" ref="F119">IF(OR(COUNTIF(D119,"*"&amp;Preprocessing!$T$9:$T$15&amp;"*")),"Female","Male")</f>
        <v>Male</v>
      </c>
      <c r="G119">
        <v>24</v>
      </c>
      <c r="H119">
        <v>0</v>
      </c>
      <c r="I119">
        <v>1</v>
      </c>
      <c r="J119">
        <v>1</v>
      </c>
      <c r="K119">
        <v>247.52080000000001</v>
      </c>
      <c r="L119">
        <f t="shared" si="6"/>
        <v>0</v>
      </c>
      <c r="M119">
        <f t="shared" si="7"/>
        <v>24</v>
      </c>
      <c r="N119" t="str">
        <f t="shared" si="8"/>
        <v>Adult</v>
      </c>
      <c r="O119">
        <f t="shared" si="9"/>
        <v>247.52</v>
      </c>
    </row>
    <row r="120" spans="1:15" x14ac:dyDescent="0.3">
      <c r="A120">
        <v>119</v>
      </c>
      <c r="B120">
        <v>0</v>
      </c>
      <c r="C120" t="str">
        <f t="shared" si="5"/>
        <v>No</v>
      </c>
      <c r="D120" t="s">
        <v>960</v>
      </c>
      <c r="E120" t="s">
        <v>1079</v>
      </c>
      <c r="F120" t="str" cm="1">
        <f t="array" ref="F120">IF(OR(COUNTIF(D120,"*"&amp;Preprocessing!$T$9:$T$15&amp;"*")),"Female","Male")</f>
        <v>Female</v>
      </c>
      <c r="G120">
        <v>2</v>
      </c>
      <c r="H120">
        <v>4</v>
      </c>
      <c r="I120">
        <v>2</v>
      </c>
      <c r="J120">
        <v>3</v>
      </c>
      <c r="K120">
        <v>31.274999999999999</v>
      </c>
      <c r="L120">
        <f t="shared" si="6"/>
        <v>1</v>
      </c>
      <c r="M120">
        <f t="shared" si="7"/>
        <v>2</v>
      </c>
      <c r="N120" t="str">
        <f t="shared" si="8"/>
        <v>Child</v>
      </c>
      <c r="O120">
        <f t="shared" si="9"/>
        <v>31.28</v>
      </c>
    </row>
    <row r="121" spans="1:15" x14ac:dyDescent="0.3">
      <c r="A121">
        <v>120</v>
      </c>
      <c r="B121">
        <v>0</v>
      </c>
      <c r="C121" t="str">
        <f t="shared" si="5"/>
        <v>No</v>
      </c>
      <c r="D121" t="s">
        <v>956</v>
      </c>
      <c r="E121" t="s">
        <v>1080</v>
      </c>
      <c r="F121" t="str" cm="1">
        <f t="array" ref="F121">IF(OR(COUNTIF(D121,"*"&amp;Preprocessing!$T$9:$T$15&amp;"*")),"Female","Male")</f>
        <v>Male</v>
      </c>
      <c r="G121">
        <v>21</v>
      </c>
      <c r="H121">
        <v>2</v>
      </c>
      <c r="I121">
        <v>0</v>
      </c>
      <c r="J121">
        <v>2</v>
      </c>
      <c r="K121">
        <v>73.5</v>
      </c>
      <c r="L121">
        <f t="shared" si="6"/>
        <v>0</v>
      </c>
      <c r="M121">
        <f t="shared" si="7"/>
        <v>21</v>
      </c>
      <c r="N121" t="str">
        <f t="shared" si="8"/>
        <v>Adult</v>
      </c>
      <c r="O121">
        <f t="shared" si="9"/>
        <v>73.5</v>
      </c>
    </row>
    <row r="122" spans="1:15" x14ac:dyDescent="0.3">
      <c r="A122">
        <v>121</v>
      </c>
      <c r="B122">
        <v>0</v>
      </c>
      <c r="C122" t="str">
        <f t="shared" si="5"/>
        <v>No</v>
      </c>
      <c r="D122" t="s">
        <v>956</v>
      </c>
      <c r="E122" t="s">
        <v>1081</v>
      </c>
      <c r="F122" t="str" cm="1">
        <f t="array" ref="F122">IF(OR(COUNTIF(D122,"*"&amp;Preprocessing!$T$9:$T$15&amp;"*")),"Female","Male")</f>
        <v>Male</v>
      </c>
      <c r="G122">
        <v>19</v>
      </c>
      <c r="H122">
        <v>0</v>
      </c>
      <c r="I122">
        <v>0</v>
      </c>
      <c r="J122">
        <v>3</v>
      </c>
      <c r="K122">
        <v>8.0500000000000007</v>
      </c>
      <c r="L122">
        <f t="shared" si="6"/>
        <v>0</v>
      </c>
      <c r="M122">
        <f t="shared" si="7"/>
        <v>19</v>
      </c>
      <c r="N122" t="str">
        <f t="shared" si="8"/>
        <v>Adult</v>
      </c>
      <c r="O122">
        <f t="shared" si="9"/>
        <v>8.0500000000000007</v>
      </c>
    </row>
    <row r="123" spans="1:15" x14ac:dyDescent="0.3">
      <c r="A123">
        <v>122</v>
      </c>
      <c r="B123">
        <v>0</v>
      </c>
      <c r="C123" t="str">
        <f t="shared" si="5"/>
        <v>No</v>
      </c>
      <c r="D123" t="s">
        <v>956</v>
      </c>
      <c r="E123" t="s">
        <v>1082</v>
      </c>
      <c r="F123" t="str" cm="1">
        <f t="array" ref="F123">IF(OR(COUNTIF(D123,"*"&amp;Preprocessing!$T$9:$T$15&amp;"*")),"Female","Male")</f>
        <v>Male</v>
      </c>
      <c r="G123">
        <v>32.5</v>
      </c>
      <c r="H123">
        <v>1</v>
      </c>
      <c r="I123">
        <v>0</v>
      </c>
      <c r="J123">
        <v>2</v>
      </c>
      <c r="K123">
        <v>30.070799999999998</v>
      </c>
      <c r="L123">
        <f t="shared" si="6"/>
        <v>0</v>
      </c>
      <c r="M123">
        <f t="shared" si="7"/>
        <v>33</v>
      </c>
      <c r="N123" t="str">
        <f t="shared" si="8"/>
        <v>Adult</v>
      </c>
      <c r="O123">
        <f t="shared" si="9"/>
        <v>30.07</v>
      </c>
    </row>
    <row r="124" spans="1:15" x14ac:dyDescent="0.3">
      <c r="A124">
        <v>123</v>
      </c>
      <c r="B124">
        <v>1</v>
      </c>
      <c r="C124" t="str">
        <f t="shared" si="5"/>
        <v>Yes</v>
      </c>
      <c r="D124" t="s">
        <v>960</v>
      </c>
      <c r="E124" t="s">
        <v>1083</v>
      </c>
      <c r="F124" t="str" cm="1">
        <f t="array" ref="F124">IF(OR(COUNTIF(D124,"*"&amp;Preprocessing!$T$9:$T$15&amp;"*")),"Female","Male")</f>
        <v>Female</v>
      </c>
      <c r="G124">
        <v>32.5</v>
      </c>
      <c r="H124">
        <v>0</v>
      </c>
      <c r="I124">
        <v>0</v>
      </c>
      <c r="J124">
        <v>2</v>
      </c>
      <c r="K124">
        <v>13</v>
      </c>
      <c r="L124">
        <f t="shared" si="6"/>
        <v>1</v>
      </c>
      <c r="M124">
        <f t="shared" si="7"/>
        <v>33</v>
      </c>
      <c r="N124" t="str">
        <f t="shared" si="8"/>
        <v>Adult</v>
      </c>
      <c r="O124">
        <f t="shared" si="9"/>
        <v>13</v>
      </c>
    </row>
    <row r="125" spans="1:15" x14ac:dyDescent="0.3">
      <c r="A125">
        <v>124</v>
      </c>
      <c r="B125">
        <v>0</v>
      </c>
      <c r="C125" t="str">
        <f t="shared" si="5"/>
        <v>No</v>
      </c>
      <c r="D125" t="s">
        <v>956</v>
      </c>
      <c r="E125" t="s">
        <v>1084</v>
      </c>
      <c r="F125" t="str" cm="1">
        <f t="array" ref="F125">IF(OR(COUNTIF(D125,"*"&amp;Preprocessing!$T$9:$T$15&amp;"*")),"Female","Male")</f>
        <v>Male</v>
      </c>
      <c r="G125">
        <v>54</v>
      </c>
      <c r="H125">
        <v>0</v>
      </c>
      <c r="I125">
        <v>1</v>
      </c>
      <c r="J125">
        <v>1</v>
      </c>
      <c r="K125">
        <v>77.287499999999994</v>
      </c>
      <c r="L125">
        <f t="shared" si="6"/>
        <v>0</v>
      </c>
      <c r="M125">
        <f t="shared" si="7"/>
        <v>54</v>
      </c>
      <c r="N125" t="str">
        <f t="shared" si="8"/>
        <v>Adult</v>
      </c>
      <c r="O125">
        <f t="shared" si="9"/>
        <v>77.290000000000006</v>
      </c>
    </row>
    <row r="126" spans="1:15" x14ac:dyDescent="0.3">
      <c r="A126">
        <v>125</v>
      </c>
      <c r="B126">
        <v>1</v>
      </c>
      <c r="C126" t="str">
        <f t="shared" si="5"/>
        <v>Yes</v>
      </c>
      <c r="D126" t="s">
        <v>966</v>
      </c>
      <c r="E126" t="s">
        <v>1085</v>
      </c>
      <c r="F126" t="str" cm="1">
        <f t="array" ref="F126">IF(OR(COUNTIF(D126,"*"&amp;Preprocessing!$T$9:$T$15&amp;"*")),"Female","Male")</f>
        <v>Male</v>
      </c>
      <c r="G126">
        <v>12</v>
      </c>
      <c r="H126">
        <v>1</v>
      </c>
      <c r="I126">
        <v>0</v>
      </c>
      <c r="J126">
        <v>3</v>
      </c>
      <c r="K126">
        <v>11.2417</v>
      </c>
      <c r="L126">
        <f t="shared" si="6"/>
        <v>0</v>
      </c>
      <c r="M126">
        <f t="shared" si="7"/>
        <v>12</v>
      </c>
      <c r="N126" t="str">
        <f t="shared" si="8"/>
        <v>Child</v>
      </c>
      <c r="O126">
        <f t="shared" si="9"/>
        <v>11.24</v>
      </c>
    </row>
    <row r="127" spans="1:15" x14ac:dyDescent="0.3">
      <c r="A127">
        <v>126</v>
      </c>
      <c r="B127">
        <v>0</v>
      </c>
      <c r="C127" t="str">
        <f t="shared" si="5"/>
        <v>No</v>
      </c>
      <c r="D127" t="s">
        <v>956</v>
      </c>
      <c r="E127" t="s">
        <v>1086</v>
      </c>
      <c r="F127" t="str" cm="1">
        <f t="array" ref="F127">IF(OR(COUNTIF(D127,"*"&amp;Preprocessing!$T$9:$T$15&amp;"*")),"Female","Male")</f>
        <v>Male</v>
      </c>
      <c r="G127">
        <v>19</v>
      </c>
      <c r="H127">
        <v>0</v>
      </c>
      <c r="I127">
        <v>0</v>
      </c>
      <c r="J127">
        <v>3</v>
      </c>
      <c r="K127">
        <v>7.75</v>
      </c>
      <c r="L127">
        <f t="shared" si="6"/>
        <v>0</v>
      </c>
      <c r="M127">
        <f t="shared" si="7"/>
        <v>19</v>
      </c>
      <c r="N127" t="str">
        <f t="shared" si="8"/>
        <v>Adult</v>
      </c>
      <c r="O127">
        <f t="shared" si="9"/>
        <v>7.75</v>
      </c>
    </row>
    <row r="128" spans="1:15" x14ac:dyDescent="0.3">
      <c r="A128">
        <v>127</v>
      </c>
      <c r="B128">
        <v>1</v>
      </c>
      <c r="C128" t="str">
        <f t="shared" si="5"/>
        <v>Yes</v>
      </c>
      <c r="D128" t="s">
        <v>956</v>
      </c>
      <c r="E128" t="s">
        <v>1087</v>
      </c>
      <c r="F128" t="str" cm="1">
        <f t="array" ref="F128">IF(OR(COUNTIF(D128,"*"&amp;Preprocessing!$T$9:$T$15&amp;"*")),"Female","Male")</f>
        <v>Male</v>
      </c>
      <c r="G128">
        <v>24</v>
      </c>
      <c r="H128">
        <v>0</v>
      </c>
      <c r="I128">
        <v>0</v>
      </c>
      <c r="J128">
        <v>3</v>
      </c>
      <c r="K128">
        <v>7.1417000000000002</v>
      </c>
      <c r="L128">
        <f t="shared" si="6"/>
        <v>0</v>
      </c>
      <c r="M128">
        <f t="shared" si="7"/>
        <v>24</v>
      </c>
      <c r="N128" t="str">
        <f t="shared" si="8"/>
        <v>Adult</v>
      </c>
      <c r="O128">
        <f t="shared" si="9"/>
        <v>7.14</v>
      </c>
    </row>
    <row r="129" spans="1:15" x14ac:dyDescent="0.3">
      <c r="A129">
        <v>128</v>
      </c>
      <c r="B129">
        <v>1</v>
      </c>
      <c r="C129" t="str">
        <f t="shared" si="5"/>
        <v>Yes</v>
      </c>
      <c r="D129" t="s">
        <v>960</v>
      </c>
      <c r="E129" t="s">
        <v>1088</v>
      </c>
      <c r="F129" t="str" cm="1">
        <f t="array" ref="F129">IF(OR(COUNTIF(D129,"*"&amp;Preprocessing!$T$9:$T$15&amp;"*")),"Female","Male")</f>
        <v>Female</v>
      </c>
      <c r="G129">
        <v>2</v>
      </c>
      <c r="H129">
        <v>1</v>
      </c>
      <c r="I129">
        <v>1</v>
      </c>
      <c r="J129">
        <v>3</v>
      </c>
      <c r="K129">
        <v>22.3583</v>
      </c>
      <c r="L129">
        <f t="shared" si="6"/>
        <v>1</v>
      </c>
      <c r="M129">
        <f t="shared" si="7"/>
        <v>2</v>
      </c>
      <c r="N129" t="str">
        <f t="shared" si="8"/>
        <v>Child</v>
      </c>
      <c r="O129">
        <f t="shared" si="9"/>
        <v>22.36</v>
      </c>
    </row>
    <row r="130" spans="1:15" x14ac:dyDescent="0.3">
      <c r="A130">
        <v>129</v>
      </c>
      <c r="B130">
        <v>0</v>
      </c>
      <c r="C130" t="str">
        <f t="shared" si="5"/>
        <v>No</v>
      </c>
      <c r="D130" t="s">
        <v>956</v>
      </c>
      <c r="E130" t="s">
        <v>1089</v>
      </c>
      <c r="F130" t="str" cm="1">
        <f t="array" ref="F130">IF(OR(COUNTIF(D130,"*"&amp;Preprocessing!$T$9:$T$15&amp;"*")),"Female","Male")</f>
        <v>Male</v>
      </c>
      <c r="G130">
        <v>45</v>
      </c>
      <c r="H130">
        <v>0</v>
      </c>
      <c r="I130">
        <v>0</v>
      </c>
      <c r="J130">
        <v>3</v>
      </c>
      <c r="K130">
        <v>6.9749999999999996</v>
      </c>
      <c r="L130">
        <f t="shared" si="6"/>
        <v>0</v>
      </c>
      <c r="M130">
        <f t="shared" si="7"/>
        <v>45</v>
      </c>
      <c r="N130" t="str">
        <f t="shared" si="8"/>
        <v>Adult</v>
      </c>
      <c r="O130">
        <f t="shared" si="9"/>
        <v>6.98</v>
      </c>
    </row>
    <row r="131" spans="1:15" x14ac:dyDescent="0.3">
      <c r="A131">
        <v>130</v>
      </c>
      <c r="B131">
        <v>0</v>
      </c>
      <c r="C131" t="str">
        <f t="shared" ref="C131:C194" si="10">IF(B131=0,"No","Yes")</f>
        <v>No</v>
      </c>
      <c r="D131" t="s">
        <v>956</v>
      </c>
      <c r="E131" t="s">
        <v>1090</v>
      </c>
      <c r="F131" t="str" cm="1">
        <f t="array" ref="F131">IF(OR(COUNTIF(D131,"*"&amp;Preprocessing!$T$9:$T$15&amp;"*")),"Female","Male")</f>
        <v>Male</v>
      </c>
      <c r="G131">
        <v>33</v>
      </c>
      <c r="H131">
        <v>0</v>
      </c>
      <c r="I131">
        <v>0</v>
      </c>
      <c r="J131">
        <v>3</v>
      </c>
      <c r="K131">
        <v>7.8958000000000004</v>
      </c>
      <c r="L131">
        <f t="shared" ref="L131:L194" si="11">IF(F131 = "Male", 0, 1)</f>
        <v>0</v>
      </c>
      <c r="M131">
        <f t="shared" ref="M131:M194" si="12">ROUND(G131, 0)</f>
        <v>33</v>
      </c>
      <c r="N131" t="str">
        <f t="shared" ref="N131:N194" si="13">IF(G131&lt;=16,"Child","Adult")</f>
        <v>Adult</v>
      </c>
      <c r="O131">
        <f t="shared" ref="O131:O194" si="14">ROUND(K131, 2)</f>
        <v>7.9</v>
      </c>
    </row>
    <row r="132" spans="1:15" x14ac:dyDescent="0.3">
      <c r="A132">
        <v>131</v>
      </c>
      <c r="B132">
        <v>0</v>
      </c>
      <c r="C132" t="str">
        <f t="shared" si="10"/>
        <v>No</v>
      </c>
      <c r="D132" t="s">
        <v>956</v>
      </c>
      <c r="E132" t="s">
        <v>1091</v>
      </c>
      <c r="F132" t="str" cm="1">
        <f t="array" ref="F132">IF(OR(COUNTIF(D132,"*"&amp;Preprocessing!$T$9:$T$15&amp;"*")),"Female","Male")</f>
        <v>Male</v>
      </c>
      <c r="G132">
        <v>20</v>
      </c>
      <c r="H132">
        <v>0</v>
      </c>
      <c r="I132">
        <v>0</v>
      </c>
      <c r="J132">
        <v>3</v>
      </c>
      <c r="K132">
        <v>7.05</v>
      </c>
      <c r="L132">
        <f t="shared" si="11"/>
        <v>0</v>
      </c>
      <c r="M132">
        <f t="shared" si="12"/>
        <v>20</v>
      </c>
      <c r="N132" t="str">
        <f t="shared" si="13"/>
        <v>Adult</v>
      </c>
      <c r="O132">
        <f t="shared" si="14"/>
        <v>7.05</v>
      </c>
    </row>
    <row r="133" spans="1:15" x14ac:dyDescent="0.3">
      <c r="A133">
        <v>132</v>
      </c>
      <c r="B133">
        <v>0</v>
      </c>
      <c r="C133" t="str">
        <f t="shared" si="10"/>
        <v>No</v>
      </c>
      <c r="D133" t="s">
        <v>958</v>
      </c>
      <c r="E133" t="s">
        <v>1092</v>
      </c>
      <c r="F133" t="str" cm="1">
        <f t="array" ref="F133">IF(OR(COUNTIF(D133,"*"&amp;Preprocessing!$T$9:$T$15&amp;"*")),"Female","Male")</f>
        <v>Female</v>
      </c>
      <c r="G133">
        <v>47</v>
      </c>
      <c r="H133">
        <v>1</v>
      </c>
      <c r="I133">
        <v>0</v>
      </c>
      <c r="J133">
        <v>3</v>
      </c>
      <c r="K133">
        <v>14.5</v>
      </c>
      <c r="L133">
        <f t="shared" si="11"/>
        <v>1</v>
      </c>
      <c r="M133">
        <f t="shared" si="12"/>
        <v>47</v>
      </c>
      <c r="N133" t="str">
        <f t="shared" si="13"/>
        <v>Adult</v>
      </c>
      <c r="O133">
        <f t="shared" si="14"/>
        <v>14.5</v>
      </c>
    </row>
    <row r="134" spans="1:15" x14ac:dyDescent="0.3">
      <c r="A134">
        <v>133</v>
      </c>
      <c r="B134">
        <v>1</v>
      </c>
      <c r="C134" t="str">
        <f t="shared" si="10"/>
        <v>Yes</v>
      </c>
      <c r="D134" t="s">
        <v>958</v>
      </c>
      <c r="E134" t="s">
        <v>1093</v>
      </c>
      <c r="F134" t="str" cm="1">
        <f t="array" ref="F134">IF(OR(COUNTIF(D134,"*"&amp;Preprocessing!$T$9:$T$15&amp;"*")),"Female","Male")</f>
        <v>Female</v>
      </c>
      <c r="G134">
        <v>29</v>
      </c>
      <c r="H134">
        <v>1</v>
      </c>
      <c r="I134">
        <v>0</v>
      </c>
      <c r="J134">
        <v>2</v>
      </c>
      <c r="K134">
        <v>26</v>
      </c>
      <c r="L134">
        <f t="shared" si="11"/>
        <v>1</v>
      </c>
      <c r="M134">
        <f t="shared" si="12"/>
        <v>29</v>
      </c>
      <c r="N134" t="str">
        <f t="shared" si="13"/>
        <v>Adult</v>
      </c>
      <c r="O134">
        <f t="shared" si="14"/>
        <v>26</v>
      </c>
    </row>
    <row r="135" spans="1:15" x14ac:dyDescent="0.3">
      <c r="A135">
        <v>134</v>
      </c>
      <c r="B135">
        <v>0</v>
      </c>
      <c r="C135" t="str">
        <f t="shared" si="10"/>
        <v>No</v>
      </c>
      <c r="D135" t="s">
        <v>956</v>
      </c>
      <c r="E135" t="s">
        <v>1094</v>
      </c>
      <c r="F135" t="str" cm="1">
        <f t="array" ref="F135">IF(OR(COUNTIF(D135,"*"&amp;Preprocessing!$T$9:$T$15&amp;"*")),"Female","Male")</f>
        <v>Male</v>
      </c>
      <c r="G135">
        <v>25</v>
      </c>
      <c r="H135">
        <v>0</v>
      </c>
      <c r="I135">
        <v>0</v>
      </c>
      <c r="J135">
        <v>2</v>
      </c>
      <c r="K135">
        <v>13</v>
      </c>
      <c r="L135">
        <f t="shared" si="11"/>
        <v>0</v>
      </c>
      <c r="M135">
        <f t="shared" si="12"/>
        <v>25</v>
      </c>
      <c r="N135" t="str">
        <f t="shared" si="13"/>
        <v>Adult</v>
      </c>
      <c r="O135">
        <f t="shared" si="14"/>
        <v>13</v>
      </c>
    </row>
    <row r="136" spans="1:15" x14ac:dyDescent="0.3">
      <c r="A136">
        <v>135</v>
      </c>
      <c r="B136">
        <v>0</v>
      </c>
      <c r="C136" t="str">
        <f t="shared" si="10"/>
        <v>No</v>
      </c>
      <c r="D136" t="s">
        <v>956</v>
      </c>
      <c r="E136" t="s">
        <v>1095</v>
      </c>
      <c r="F136" t="str" cm="1">
        <f t="array" ref="F136">IF(OR(COUNTIF(D136,"*"&amp;Preprocessing!$T$9:$T$15&amp;"*")),"Female","Male")</f>
        <v>Male</v>
      </c>
      <c r="G136">
        <v>23</v>
      </c>
      <c r="H136">
        <v>0</v>
      </c>
      <c r="I136">
        <v>0</v>
      </c>
      <c r="J136">
        <v>2</v>
      </c>
      <c r="K136">
        <v>15.0458</v>
      </c>
      <c r="L136">
        <f t="shared" si="11"/>
        <v>0</v>
      </c>
      <c r="M136">
        <f t="shared" si="12"/>
        <v>23</v>
      </c>
      <c r="N136" t="str">
        <f t="shared" si="13"/>
        <v>Adult</v>
      </c>
      <c r="O136">
        <f t="shared" si="14"/>
        <v>15.05</v>
      </c>
    </row>
    <row r="137" spans="1:15" x14ac:dyDescent="0.3">
      <c r="A137">
        <v>136</v>
      </c>
      <c r="B137">
        <v>1</v>
      </c>
      <c r="C137" t="str">
        <f t="shared" si="10"/>
        <v>Yes</v>
      </c>
      <c r="D137" t="s">
        <v>960</v>
      </c>
      <c r="E137" t="s">
        <v>1096</v>
      </c>
      <c r="F137" t="str" cm="1">
        <f t="array" ref="F137">IF(OR(COUNTIF(D137,"*"&amp;Preprocessing!$T$9:$T$15&amp;"*")),"Female","Male")</f>
        <v>Female</v>
      </c>
      <c r="G137">
        <v>19</v>
      </c>
      <c r="H137">
        <v>0</v>
      </c>
      <c r="I137">
        <v>2</v>
      </c>
      <c r="J137">
        <v>1</v>
      </c>
      <c r="K137">
        <v>26.283300000000001</v>
      </c>
      <c r="L137">
        <f t="shared" si="11"/>
        <v>1</v>
      </c>
      <c r="M137">
        <f t="shared" si="12"/>
        <v>19</v>
      </c>
      <c r="N137" t="str">
        <f t="shared" si="13"/>
        <v>Adult</v>
      </c>
      <c r="O137">
        <f t="shared" si="14"/>
        <v>26.28</v>
      </c>
    </row>
    <row r="138" spans="1:15" x14ac:dyDescent="0.3">
      <c r="A138">
        <v>137</v>
      </c>
      <c r="B138">
        <v>0</v>
      </c>
      <c r="C138" t="str">
        <f t="shared" si="10"/>
        <v>No</v>
      </c>
      <c r="D138" t="s">
        <v>956</v>
      </c>
      <c r="E138" t="s">
        <v>1097</v>
      </c>
      <c r="F138" t="str" cm="1">
        <f t="array" ref="F138">IF(OR(COUNTIF(D138,"*"&amp;Preprocessing!$T$9:$T$15&amp;"*")),"Female","Male")</f>
        <v>Male</v>
      </c>
      <c r="G138">
        <v>37</v>
      </c>
      <c r="H138">
        <v>1</v>
      </c>
      <c r="I138">
        <v>0</v>
      </c>
      <c r="J138">
        <v>1</v>
      </c>
      <c r="K138">
        <v>53.1</v>
      </c>
      <c r="L138">
        <f t="shared" si="11"/>
        <v>0</v>
      </c>
      <c r="M138">
        <f t="shared" si="12"/>
        <v>37</v>
      </c>
      <c r="N138" t="str">
        <f t="shared" si="13"/>
        <v>Adult</v>
      </c>
      <c r="O138">
        <f t="shared" si="14"/>
        <v>53.1</v>
      </c>
    </row>
    <row r="139" spans="1:15" x14ac:dyDescent="0.3">
      <c r="A139">
        <v>138</v>
      </c>
      <c r="B139">
        <v>0</v>
      </c>
      <c r="C139" t="str">
        <f t="shared" si="10"/>
        <v>No</v>
      </c>
      <c r="D139" t="s">
        <v>956</v>
      </c>
      <c r="E139" t="s">
        <v>1098</v>
      </c>
      <c r="F139" t="str" cm="1">
        <f t="array" ref="F139">IF(OR(COUNTIF(D139,"*"&amp;Preprocessing!$T$9:$T$15&amp;"*")),"Female","Male")</f>
        <v>Male</v>
      </c>
      <c r="G139">
        <v>16</v>
      </c>
      <c r="H139">
        <v>0</v>
      </c>
      <c r="I139">
        <v>0</v>
      </c>
      <c r="J139">
        <v>3</v>
      </c>
      <c r="K139">
        <v>9.2166999999999994</v>
      </c>
      <c r="L139">
        <f t="shared" si="11"/>
        <v>0</v>
      </c>
      <c r="M139">
        <f t="shared" si="12"/>
        <v>16</v>
      </c>
      <c r="N139" t="str">
        <f t="shared" si="13"/>
        <v>Child</v>
      </c>
      <c r="O139">
        <f t="shared" si="14"/>
        <v>9.2200000000000006</v>
      </c>
    </row>
    <row r="140" spans="1:15" x14ac:dyDescent="0.3">
      <c r="A140">
        <v>139</v>
      </c>
      <c r="B140">
        <v>0</v>
      </c>
      <c r="C140" t="str">
        <f t="shared" si="10"/>
        <v>No</v>
      </c>
      <c r="D140" t="s">
        <v>956</v>
      </c>
      <c r="E140" t="s">
        <v>1099</v>
      </c>
      <c r="F140" t="str" cm="1">
        <f t="array" ref="F140">IF(OR(COUNTIF(D140,"*"&amp;Preprocessing!$T$9:$T$15&amp;"*")),"Female","Male")</f>
        <v>Male</v>
      </c>
      <c r="G140">
        <v>24</v>
      </c>
      <c r="H140">
        <v>0</v>
      </c>
      <c r="I140">
        <v>0</v>
      </c>
      <c r="J140">
        <v>1</v>
      </c>
      <c r="K140">
        <v>79.2</v>
      </c>
      <c r="L140">
        <f t="shared" si="11"/>
        <v>0</v>
      </c>
      <c r="M140">
        <f t="shared" si="12"/>
        <v>24</v>
      </c>
      <c r="N140" t="str">
        <f t="shared" si="13"/>
        <v>Adult</v>
      </c>
      <c r="O140">
        <f t="shared" si="14"/>
        <v>79.2</v>
      </c>
    </row>
    <row r="141" spans="1:15" x14ac:dyDescent="0.3">
      <c r="A141">
        <v>140</v>
      </c>
      <c r="B141">
        <v>0</v>
      </c>
      <c r="C141" t="str">
        <f t="shared" si="10"/>
        <v>No</v>
      </c>
      <c r="D141" t="s">
        <v>958</v>
      </c>
      <c r="E141" t="s">
        <v>1100</v>
      </c>
      <c r="F141" t="str" cm="1">
        <f t="array" ref="F141">IF(OR(COUNTIF(D141,"*"&amp;Preprocessing!$T$9:$T$15&amp;"*")),"Female","Male")</f>
        <v>Female</v>
      </c>
      <c r="G141">
        <v>40</v>
      </c>
      <c r="H141">
        <v>0</v>
      </c>
      <c r="I141">
        <v>2</v>
      </c>
      <c r="J141">
        <v>3</v>
      </c>
      <c r="K141">
        <v>15.245799999999999</v>
      </c>
      <c r="L141">
        <f t="shared" si="11"/>
        <v>1</v>
      </c>
      <c r="M141">
        <f t="shared" si="12"/>
        <v>40</v>
      </c>
      <c r="N141" t="str">
        <f t="shared" si="13"/>
        <v>Adult</v>
      </c>
      <c r="O141">
        <f t="shared" si="14"/>
        <v>15.25</v>
      </c>
    </row>
    <row r="142" spans="1:15" x14ac:dyDescent="0.3">
      <c r="A142">
        <v>141</v>
      </c>
      <c r="B142">
        <v>1</v>
      </c>
      <c r="C142" t="str">
        <f t="shared" si="10"/>
        <v>Yes</v>
      </c>
      <c r="D142" t="s">
        <v>960</v>
      </c>
      <c r="E142" t="s">
        <v>1101</v>
      </c>
      <c r="F142" t="str" cm="1">
        <f t="array" ref="F142">IF(OR(COUNTIF(D142,"*"&amp;Preprocessing!$T$9:$T$15&amp;"*")),"Female","Male")</f>
        <v>Female</v>
      </c>
      <c r="G142">
        <v>22</v>
      </c>
      <c r="H142">
        <v>0</v>
      </c>
      <c r="I142">
        <v>0</v>
      </c>
      <c r="J142">
        <v>3</v>
      </c>
      <c r="K142">
        <v>7.75</v>
      </c>
      <c r="L142">
        <f t="shared" si="11"/>
        <v>1</v>
      </c>
      <c r="M142">
        <f t="shared" si="12"/>
        <v>22</v>
      </c>
      <c r="N142" t="str">
        <f t="shared" si="13"/>
        <v>Adult</v>
      </c>
      <c r="O142">
        <f t="shared" si="14"/>
        <v>7.75</v>
      </c>
    </row>
    <row r="143" spans="1:15" x14ac:dyDescent="0.3">
      <c r="A143">
        <v>142</v>
      </c>
      <c r="B143">
        <v>1</v>
      </c>
      <c r="C143" t="str">
        <f t="shared" si="10"/>
        <v>Yes</v>
      </c>
      <c r="D143" t="s">
        <v>958</v>
      </c>
      <c r="E143" t="s">
        <v>1102</v>
      </c>
      <c r="F143" t="str" cm="1">
        <f t="array" ref="F143">IF(OR(COUNTIF(D143,"*"&amp;Preprocessing!$T$9:$T$15&amp;"*")),"Female","Male")</f>
        <v>Female</v>
      </c>
      <c r="G143">
        <v>24</v>
      </c>
      <c r="H143">
        <v>1</v>
      </c>
      <c r="I143">
        <v>0</v>
      </c>
      <c r="J143">
        <v>3</v>
      </c>
      <c r="K143">
        <v>15.85</v>
      </c>
      <c r="L143">
        <f t="shared" si="11"/>
        <v>1</v>
      </c>
      <c r="M143">
        <f t="shared" si="12"/>
        <v>24</v>
      </c>
      <c r="N143" t="str">
        <f t="shared" si="13"/>
        <v>Adult</v>
      </c>
      <c r="O143">
        <f t="shared" si="14"/>
        <v>15.85</v>
      </c>
    </row>
    <row r="144" spans="1:15" x14ac:dyDescent="0.3">
      <c r="A144">
        <v>143</v>
      </c>
      <c r="B144">
        <v>0</v>
      </c>
      <c r="C144" t="str">
        <f t="shared" si="10"/>
        <v>No</v>
      </c>
      <c r="D144" t="s">
        <v>956</v>
      </c>
      <c r="E144" t="s">
        <v>1103</v>
      </c>
      <c r="F144" t="str" cm="1">
        <f t="array" ref="F144">IF(OR(COUNTIF(D144,"*"&amp;Preprocessing!$T$9:$T$15&amp;"*")),"Female","Male")</f>
        <v>Male</v>
      </c>
      <c r="G144">
        <v>19</v>
      </c>
      <c r="H144">
        <v>0</v>
      </c>
      <c r="I144">
        <v>0</v>
      </c>
      <c r="J144">
        <v>3</v>
      </c>
      <c r="K144">
        <v>6.75</v>
      </c>
      <c r="L144">
        <f t="shared" si="11"/>
        <v>0</v>
      </c>
      <c r="M144">
        <f t="shared" si="12"/>
        <v>19</v>
      </c>
      <c r="N144" t="str">
        <f t="shared" si="13"/>
        <v>Adult</v>
      </c>
      <c r="O144">
        <f t="shared" si="14"/>
        <v>6.75</v>
      </c>
    </row>
    <row r="145" spans="1:15" x14ac:dyDescent="0.3">
      <c r="A145">
        <v>144</v>
      </c>
      <c r="B145">
        <v>0</v>
      </c>
      <c r="C145" t="str">
        <f t="shared" si="10"/>
        <v>No</v>
      </c>
      <c r="D145" t="s">
        <v>956</v>
      </c>
      <c r="E145" t="s">
        <v>1104</v>
      </c>
      <c r="F145" t="str" cm="1">
        <f t="array" ref="F145">IF(OR(COUNTIF(D145,"*"&amp;Preprocessing!$T$9:$T$15&amp;"*")),"Female","Male")</f>
        <v>Male</v>
      </c>
      <c r="G145">
        <v>18</v>
      </c>
      <c r="H145">
        <v>0</v>
      </c>
      <c r="I145">
        <v>0</v>
      </c>
      <c r="J145">
        <v>2</v>
      </c>
      <c r="K145">
        <v>11.5</v>
      </c>
      <c r="L145">
        <f t="shared" si="11"/>
        <v>0</v>
      </c>
      <c r="M145">
        <f t="shared" si="12"/>
        <v>18</v>
      </c>
      <c r="N145" t="str">
        <f t="shared" si="13"/>
        <v>Adult</v>
      </c>
      <c r="O145">
        <f t="shared" si="14"/>
        <v>11.5</v>
      </c>
    </row>
    <row r="146" spans="1:15" x14ac:dyDescent="0.3">
      <c r="A146">
        <v>145</v>
      </c>
      <c r="B146">
        <v>0</v>
      </c>
      <c r="C146" t="str">
        <f t="shared" si="10"/>
        <v>No</v>
      </c>
      <c r="D146" t="s">
        <v>956</v>
      </c>
      <c r="E146" t="s">
        <v>1105</v>
      </c>
      <c r="F146" t="str" cm="1">
        <f t="array" ref="F146">IF(OR(COUNTIF(D146,"*"&amp;Preprocessing!$T$9:$T$15&amp;"*")),"Female","Male")</f>
        <v>Male</v>
      </c>
      <c r="G146">
        <v>19</v>
      </c>
      <c r="H146">
        <v>1</v>
      </c>
      <c r="I146">
        <v>1</v>
      </c>
      <c r="J146">
        <v>2</v>
      </c>
      <c r="K146">
        <v>36.75</v>
      </c>
      <c r="L146">
        <f t="shared" si="11"/>
        <v>0</v>
      </c>
      <c r="M146">
        <f t="shared" si="12"/>
        <v>19</v>
      </c>
      <c r="N146" t="str">
        <f t="shared" si="13"/>
        <v>Adult</v>
      </c>
      <c r="O146">
        <f t="shared" si="14"/>
        <v>36.75</v>
      </c>
    </row>
    <row r="147" spans="1:15" x14ac:dyDescent="0.3">
      <c r="A147">
        <v>146</v>
      </c>
      <c r="B147">
        <v>1</v>
      </c>
      <c r="C147" t="str">
        <f t="shared" si="10"/>
        <v>Yes</v>
      </c>
      <c r="D147" t="s">
        <v>956</v>
      </c>
      <c r="E147" t="s">
        <v>1106</v>
      </c>
      <c r="F147" t="str" cm="1">
        <f t="array" ref="F147">IF(OR(COUNTIF(D147,"*"&amp;Preprocessing!$T$9:$T$15&amp;"*")),"Female","Male")</f>
        <v>Male</v>
      </c>
      <c r="G147">
        <v>27</v>
      </c>
      <c r="H147">
        <v>0</v>
      </c>
      <c r="I147">
        <v>0</v>
      </c>
      <c r="J147">
        <v>3</v>
      </c>
      <c r="K147">
        <v>7.7957999999999998</v>
      </c>
      <c r="L147">
        <f t="shared" si="11"/>
        <v>0</v>
      </c>
      <c r="M147">
        <f t="shared" si="12"/>
        <v>27</v>
      </c>
      <c r="N147" t="str">
        <f t="shared" si="13"/>
        <v>Adult</v>
      </c>
      <c r="O147">
        <f t="shared" si="14"/>
        <v>7.8</v>
      </c>
    </row>
    <row r="148" spans="1:15" x14ac:dyDescent="0.3">
      <c r="A148">
        <v>147</v>
      </c>
      <c r="B148">
        <v>0</v>
      </c>
      <c r="C148" t="str">
        <f t="shared" si="10"/>
        <v>No</v>
      </c>
      <c r="D148" t="s">
        <v>960</v>
      </c>
      <c r="E148" t="s">
        <v>1107</v>
      </c>
      <c r="F148" t="str" cm="1">
        <f t="array" ref="F148">IF(OR(COUNTIF(D148,"*"&amp;Preprocessing!$T$9:$T$15&amp;"*")),"Female","Male")</f>
        <v>Female</v>
      </c>
      <c r="G148">
        <v>9</v>
      </c>
      <c r="H148">
        <v>2</v>
      </c>
      <c r="I148">
        <v>2</v>
      </c>
      <c r="J148">
        <v>3</v>
      </c>
      <c r="K148">
        <v>34.375</v>
      </c>
      <c r="L148">
        <f t="shared" si="11"/>
        <v>1</v>
      </c>
      <c r="M148">
        <f t="shared" si="12"/>
        <v>9</v>
      </c>
      <c r="N148" t="str">
        <f t="shared" si="13"/>
        <v>Child</v>
      </c>
      <c r="O148">
        <f t="shared" si="14"/>
        <v>34.380000000000003</v>
      </c>
    </row>
    <row r="149" spans="1:15" x14ac:dyDescent="0.3">
      <c r="A149">
        <v>148</v>
      </c>
      <c r="B149">
        <v>0</v>
      </c>
      <c r="C149" t="str">
        <f t="shared" si="10"/>
        <v>No</v>
      </c>
      <c r="D149" t="s">
        <v>956</v>
      </c>
      <c r="E149" t="s">
        <v>1108</v>
      </c>
      <c r="F149" t="str" cm="1">
        <f t="array" ref="F149">IF(OR(COUNTIF(D149,"*"&amp;Preprocessing!$T$9:$T$15&amp;"*")),"Female","Male")</f>
        <v>Male</v>
      </c>
      <c r="G149">
        <v>36.5</v>
      </c>
      <c r="H149">
        <v>0</v>
      </c>
      <c r="I149">
        <v>2</v>
      </c>
      <c r="J149">
        <v>2</v>
      </c>
      <c r="K149">
        <v>26</v>
      </c>
      <c r="L149">
        <f t="shared" si="11"/>
        <v>0</v>
      </c>
      <c r="M149">
        <f t="shared" si="12"/>
        <v>37</v>
      </c>
      <c r="N149" t="str">
        <f t="shared" si="13"/>
        <v>Adult</v>
      </c>
      <c r="O149">
        <f t="shared" si="14"/>
        <v>26</v>
      </c>
    </row>
    <row r="150" spans="1:15" x14ac:dyDescent="0.3">
      <c r="A150">
        <v>149</v>
      </c>
      <c r="B150">
        <v>0</v>
      </c>
      <c r="C150" t="str">
        <f t="shared" si="10"/>
        <v>No</v>
      </c>
      <c r="D150" t="s">
        <v>1109</v>
      </c>
      <c r="E150" t="s">
        <v>1110</v>
      </c>
      <c r="F150" t="str" cm="1">
        <f t="array" ref="F150">IF(OR(COUNTIF(D150,"*"&amp;Preprocessing!$T$9:$T$15&amp;"*")),"Female","Male")</f>
        <v>Male</v>
      </c>
      <c r="G150">
        <v>42</v>
      </c>
      <c r="H150">
        <v>0</v>
      </c>
      <c r="I150">
        <v>0</v>
      </c>
      <c r="J150">
        <v>2</v>
      </c>
      <c r="K150">
        <v>13</v>
      </c>
      <c r="L150">
        <f t="shared" si="11"/>
        <v>0</v>
      </c>
      <c r="M150">
        <f t="shared" si="12"/>
        <v>42</v>
      </c>
      <c r="N150" t="str">
        <f t="shared" si="13"/>
        <v>Adult</v>
      </c>
      <c r="O150">
        <f t="shared" si="14"/>
        <v>13</v>
      </c>
    </row>
    <row r="151" spans="1:15" x14ac:dyDescent="0.3">
      <c r="A151">
        <v>150</v>
      </c>
      <c r="B151">
        <v>0</v>
      </c>
      <c r="C151" t="str">
        <f t="shared" si="10"/>
        <v>No</v>
      </c>
      <c r="D151" t="s">
        <v>1109</v>
      </c>
      <c r="E151" t="s">
        <v>1111</v>
      </c>
      <c r="F151" t="str" cm="1">
        <f t="array" ref="F151">IF(OR(COUNTIF(D151,"*"&amp;Preprocessing!$T$9:$T$15&amp;"*")),"Female","Male")</f>
        <v>Male</v>
      </c>
      <c r="G151">
        <v>51</v>
      </c>
      <c r="H151">
        <v>0</v>
      </c>
      <c r="I151">
        <v>0</v>
      </c>
      <c r="J151">
        <v>2</v>
      </c>
      <c r="K151">
        <v>12.525</v>
      </c>
      <c r="L151">
        <f t="shared" si="11"/>
        <v>0</v>
      </c>
      <c r="M151">
        <f t="shared" si="12"/>
        <v>51</v>
      </c>
      <c r="N151" t="str">
        <f t="shared" si="13"/>
        <v>Adult</v>
      </c>
      <c r="O151">
        <f t="shared" si="14"/>
        <v>12.53</v>
      </c>
    </row>
    <row r="152" spans="1:15" x14ac:dyDescent="0.3">
      <c r="A152">
        <v>151</v>
      </c>
      <c r="B152">
        <v>1</v>
      </c>
      <c r="C152" t="str">
        <f t="shared" si="10"/>
        <v>Yes</v>
      </c>
      <c r="D152" t="s">
        <v>958</v>
      </c>
      <c r="E152" t="s">
        <v>1112</v>
      </c>
      <c r="F152" t="str" cm="1">
        <f t="array" ref="F152">IF(OR(COUNTIF(D152,"*"&amp;Preprocessing!$T$9:$T$15&amp;"*")),"Female","Male")</f>
        <v>Female</v>
      </c>
      <c r="G152">
        <v>22</v>
      </c>
      <c r="H152">
        <v>1</v>
      </c>
      <c r="I152">
        <v>0</v>
      </c>
      <c r="J152">
        <v>1</v>
      </c>
      <c r="K152">
        <v>66.599999999999994</v>
      </c>
      <c r="L152">
        <f t="shared" si="11"/>
        <v>1</v>
      </c>
      <c r="M152">
        <f t="shared" si="12"/>
        <v>22</v>
      </c>
      <c r="N152" t="str">
        <f t="shared" si="13"/>
        <v>Adult</v>
      </c>
      <c r="O152">
        <f t="shared" si="14"/>
        <v>66.599999999999994</v>
      </c>
    </row>
    <row r="153" spans="1:15" x14ac:dyDescent="0.3">
      <c r="A153">
        <v>152</v>
      </c>
      <c r="B153">
        <v>0</v>
      </c>
      <c r="C153" t="str">
        <f t="shared" si="10"/>
        <v>No</v>
      </c>
      <c r="D153" t="s">
        <v>956</v>
      </c>
      <c r="E153" t="s">
        <v>1113</v>
      </c>
      <c r="F153" t="str" cm="1">
        <f t="array" ref="F153">IF(OR(COUNTIF(D153,"*"&amp;Preprocessing!$T$9:$T$15&amp;"*")),"Female","Male")</f>
        <v>Male</v>
      </c>
      <c r="G153">
        <v>55.5</v>
      </c>
      <c r="H153">
        <v>0</v>
      </c>
      <c r="I153">
        <v>0</v>
      </c>
      <c r="J153">
        <v>3</v>
      </c>
      <c r="K153">
        <v>8.0500000000000007</v>
      </c>
      <c r="L153">
        <f t="shared" si="11"/>
        <v>0</v>
      </c>
      <c r="M153">
        <f t="shared" si="12"/>
        <v>56</v>
      </c>
      <c r="N153" t="str">
        <f t="shared" si="13"/>
        <v>Adult</v>
      </c>
      <c r="O153">
        <f t="shared" si="14"/>
        <v>8.0500000000000007</v>
      </c>
    </row>
    <row r="154" spans="1:15" x14ac:dyDescent="0.3">
      <c r="A154">
        <v>153</v>
      </c>
      <c r="B154">
        <v>0</v>
      </c>
      <c r="C154" t="str">
        <f t="shared" si="10"/>
        <v>No</v>
      </c>
      <c r="D154" t="s">
        <v>956</v>
      </c>
      <c r="E154" t="s">
        <v>1114</v>
      </c>
      <c r="F154" t="str" cm="1">
        <f t="array" ref="F154">IF(OR(COUNTIF(D154,"*"&amp;Preprocessing!$T$9:$T$15&amp;"*")),"Female","Male")</f>
        <v>Male</v>
      </c>
      <c r="G154">
        <v>40.5</v>
      </c>
      <c r="H154">
        <v>0</v>
      </c>
      <c r="I154">
        <v>2</v>
      </c>
      <c r="J154">
        <v>3</v>
      </c>
      <c r="K154">
        <v>14.5</v>
      </c>
      <c r="L154">
        <f t="shared" si="11"/>
        <v>0</v>
      </c>
      <c r="M154">
        <f t="shared" si="12"/>
        <v>41</v>
      </c>
      <c r="N154" t="str">
        <f t="shared" si="13"/>
        <v>Adult</v>
      </c>
      <c r="O154">
        <f t="shared" si="14"/>
        <v>14.5</v>
      </c>
    </row>
    <row r="155" spans="1:15" x14ac:dyDescent="0.3">
      <c r="A155">
        <v>154</v>
      </c>
      <c r="B155">
        <v>0</v>
      </c>
      <c r="C155" t="str">
        <f t="shared" si="10"/>
        <v>No</v>
      </c>
      <c r="D155" t="s">
        <v>956</v>
      </c>
      <c r="E155" t="s">
        <v>1115</v>
      </c>
      <c r="F155" t="str" cm="1">
        <f t="array" ref="F155">IF(OR(COUNTIF(D155,"*"&amp;Preprocessing!$T$9:$T$15&amp;"*")),"Female","Male")</f>
        <v>Male</v>
      </c>
      <c r="G155">
        <v>27</v>
      </c>
      <c r="H155">
        <v>0</v>
      </c>
      <c r="I155">
        <v>0</v>
      </c>
      <c r="J155">
        <v>3</v>
      </c>
      <c r="K155">
        <v>7.3125</v>
      </c>
      <c r="L155">
        <f t="shared" si="11"/>
        <v>0</v>
      </c>
      <c r="M155">
        <f t="shared" si="12"/>
        <v>27</v>
      </c>
      <c r="N155" t="str">
        <f t="shared" si="13"/>
        <v>Adult</v>
      </c>
      <c r="O155">
        <f t="shared" si="14"/>
        <v>7.31</v>
      </c>
    </row>
    <row r="156" spans="1:15" x14ac:dyDescent="0.3">
      <c r="A156">
        <v>155</v>
      </c>
      <c r="B156">
        <v>0</v>
      </c>
      <c r="C156" t="str">
        <f t="shared" si="10"/>
        <v>No</v>
      </c>
      <c r="D156" t="s">
        <v>956</v>
      </c>
      <c r="E156" t="s">
        <v>1116</v>
      </c>
      <c r="F156" t="str" cm="1">
        <f t="array" ref="F156">IF(OR(COUNTIF(D156,"*"&amp;Preprocessing!$T$9:$T$15&amp;"*")),"Female","Male")</f>
        <v>Male</v>
      </c>
      <c r="G156">
        <v>51</v>
      </c>
      <c r="H156">
        <v>0</v>
      </c>
      <c r="I156">
        <v>1</v>
      </c>
      <c r="J156">
        <v>1</v>
      </c>
      <c r="K156">
        <v>61.379199999999997</v>
      </c>
      <c r="L156">
        <f t="shared" si="11"/>
        <v>0</v>
      </c>
      <c r="M156">
        <f t="shared" si="12"/>
        <v>51</v>
      </c>
      <c r="N156" t="str">
        <f t="shared" si="13"/>
        <v>Adult</v>
      </c>
      <c r="O156">
        <f t="shared" si="14"/>
        <v>61.38</v>
      </c>
    </row>
    <row r="157" spans="1:15" x14ac:dyDescent="0.3">
      <c r="A157">
        <v>156</v>
      </c>
      <c r="B157">
        <v>1</v>
      </c>
      <c r="C157" t="str">
        <f t="shared" si="10"/>
        <v>Yes</v>
      </c>
      <c r="D157" t="s">
        <v>960</v>
      </c>
      <c r="E157" t="s">
        <v>1117</v>
      </c>
      <c r="F157" t="str" cm="1">
        <f t="array" ref="F157">IF(OR(COUNTIF(D157,"*"&amp;Preprocessing!$T$9:$T$15&amp;"*")),"Female","Male")</f>
        <v>Female</v>
      </c>
      <c r="G157">
        <v>16</v>
      </c>
      <c r="H157">
        <v>0</v>
      </c>
      <c r="I157">
        <v>0</v>
      </c>
      <c r="J157">
        <v>3</v>
      </c>
      <c r="K157">
        <v>7.7332999999999998</v>
      </c>
      <c r="L157">
        <f t="shared" si="11"/>
        <v>1</v>
      </c>
      <c r="M157">
        <f t="shared" si="12"/>
        <v>16</v>
      </c>
      <c r="N157" t="str">
        <f t="shared" si="13"/>
        <v>Child</v>
      </c>
      <c r="O157">
        <f t="shared" si="14"/>
        <v>7.73</v>
      </c>
    </row>
    <row r="158" spans="1:15" x14ac:dyDescent="0.3">
      <c r="A158">
        <v>157</v>
      </c>
      <c r="B158">
        <v>0</v>
      </c>
      <c r="C158" t="str">
        <f t="shared" si="10"/>
        <v>No</v>
      </c>
      <c r="D158" t="s">
        <v>956</v>
      </c>
      <c r="E158" t="s">
        <v>1118</v>
      </c>
      <c r="F158" t="str" cm="1">
        <f t="array" ref="F158">IF(OR(COUNTIF(D158,"*"&amp;Preprocessing!$T$9:$T$15&amp;"*")),"Female","Male")</f>
        <v>Male</v>
      </c>
      <c r="G158">
        <v>30</v>
      </c>
      <c r="H158">
        <v>0</v>
      </c>
      <c r="I158">
        <v>0</v>
      </c>
      <c r="J158">
        <v>3</v>
      </c>
      <c r="K158">
        <v>8.0500000000000007</v>
      </c>
      <c r="L158">
        <f t="shared" si="11"/>
        <v>0</v>
      </c>
      <c r="M158">
        <f t="shared" si="12"/>
        <v>30</v>
      </c>
      <c r="N158" t="str">
        <f t="shared" si="13"/>
        <v>Adult</v>
      </c>
      <c r="O158">
        <f t="shared" si="14"/>
        <v>8.0500000000000007</v>
      </c>
    </row>
    <row r="159" spans="1:15" x14ac:dyDescent="0.3">
      <c r="A159">
        <v>158</v>
      </c>
      <c r="B159">
        <v>0</v>
      </c>
      <c r="C159" t="str">
        <f t="shared" si="10"/>
        <v>No</v>
      </c>
      <c r="D159" t="s">
        <v>956</v>
      </c>
      <c r="E159" t="s">
        <v>1119</v>
      </c>
      <c r="F159" t="str" cm="1">
        <f t="array" ref="F159">IF(OR(COUNTIF(D159,"*"&amp;Preprocessing!$T$9:$T$15&amp;"*")),"Female","Male")</f>
        <v>Male</v>
      </c>
      <c r="G159">
        <v>37</v>
      </c>
      <c r="H159">
        <v>0</v>
      </c>
      <c r="I159">
        <v>0</v>
      </c>
      <c r="J159">
        <v>3</v>
      </c>
      <c r="K159">
        <v>8.6624999999999996</v>
      </c>
      <c r="L159">
        <f t="shared" si="11"/>
        <v>0</v>
      </c>
      <c r="M159">
        <f t="shared" si="12"/>
        <v>37</v>
      </c>
      <c r="N159" t="str">
        <f t="shared" si="13"/>
        <v>Adult</v>
      </c>
      <c r="O159">
        <f t="shared" si="14"/>
        <v>8.66</v>
      </c>
    </row>
    <row r="160" spans="1:15" x14ac:dyDescent="0.3">
      <c r="A160">
        <v>159</v>
      </c>
      <c r="B160">
        <v>0</v>
      </c>
      <c r="C160" t="str">
        <f t="shared" si="10"/>
        <v>No</v>
      </c>
      <c r="D160" t="s">
        <v>966</v>
      </c>
      <c r="E160" t="s">
        <v>1120</v>
      </c>
      <c r="F160" t="str" cm="1">
        <f t="array" ref="F160">IF(OR(COUNTIF(D160,"*"&amp;Preprocessing!$T$9:$T$15&amp;"*")),"Female","Male")</f>
        <v>Male</v>
      </c>
      <c r="G160">
        <v>5</v>
      </c>
      <c r="H160">
        <v>8</v>
      </c>
      <c r="I160">
        <v>2</v>
      </c>
      <c r="J160">
        <v>3</v>
      </c>
      <c r="K160">
        <v>69.55</v>
      </c>
      <c r="L160">
        <f t="shared" si="11"/>
        <v>0</v>
      </c>
      <c r="M160">
        <f t="shared" si="12"/>
        <v>5</v>
      </c>
      <c r="N160" t="str">
        <f t="shared" si="13"/>
        <v>Child</v>
      </c>
      <c r="O160">
        <f t="shared" si="14"/>
        <v>69.55</v>
      </c>
    </row>
    <row r="161" spans="1:15" x14ac:dyDescent="0.3">
      <c r="A161">
        <v>160</v>
      </c>
      <c r="B161">
        <v>0</v>
      </c>
      <c r="C161" t="str">
        <f t="shared" si="10"/>
        <v>No</v>
      </c>
      <c r="D161" t="s">
        <v>956</v>
      </c>
      <c r="E161" t="s">
        <v>1121</v>
      </c>
      <c r="F161" t="str" cm="1">
        <f t="array" ref="F161">IF(OR(COUNTIF(D161,"*"&amp;Preprocessing!$T$9:$T$15&amp;"*")),"Female","Male")</f>
        <v>Male</v>
      </c>
      <c r="G161">
        <v>44</v>
      </c>
      <c r="H161">
        <v>0</v>
      </c>
      <c r="I161">
        <v>1</v>
      </c>
      <c r="J161">
        <v>3</v>
      </c>
      <c r="K161">
        <v>16.100000000000001</v>
      </c>
      <c r="L161">
        <f t="shared" si="11"/>
        <v>0</v>
      </c>
      <c r="M161">
        <f t="shared" si="12"/>
        <v>44</v>
      </c>
      <c r="N161" t="str">
        <f t="shared" si="13"/>
        <v>Adult</v>
      </c>
      <c r="O161">
        <f t="shared" si="14"/>
        <v>16.100000000000001</v>
      </c>
    </row>
    <row r="162" spans="1:15" x14ac:dyDescent="0.3">
      <c r="A162">
        <v>161</v>
      </c>
      <c r="B162">
        <v>1</v>
      </c>
      <c r="C162" t="str">
        <f t="shared" si="10"/>
        <v>Yes</v>
      </c>
      <c r="D162" t="s">
        <v>958</v>
      </c>
      <c r="E162" t="s">
        <v>1122</v>
      </c>
      <c r="F162" t="str" cm="1">
        <f t="array" ref="F162">IF(OR(COUNTIF(D162,"*"&amp;Preprocessing!$T$9:$T$15&amp;"*")),"Female","Male")</f>
        <v>Female</v>
      </c>
      <c r="G162">
        <v>40</v>
      </c>
      <c r="H162">
        <v>0</v>
      </c>
      <c r="I162">
        <v>0</v>
      </c>
      <c r="J162">
        <v>2</v>
      </c>
      <c r="K162">
        <v>15.75</v>
      </c>
      <c r="L162">
        <f t="shared" si="11"/>
        <v>1</v>
      </c>
      <c r="M162">
        <f t="shared" si="12"/>
        <v>40</v>
      </c>
      <c r="N162" t="str">
        <f t="shared" si="13"/>
        <v>Adult</v>
      </c>
      <c r="O162">
        <f t="shared" si="14"/>
        <v>15.75</v>
      </c>
    </row>
    <row r="163" spans="1:15" x14ac:dyDescent="0.3">
      <c r="A163">
        <v>162</v>
      </c>
      <c r="B163">
        <v>0</v>
      </c>
      <c r="C163" t="str">
        <f t="shared" si="10"/>
        <v>No</v>
      </c>
      <c r="D163" t="s">
        <v>956</v>
      </c>
      <c r="E163" t="s">
        <v>1123</v>
      </c>
      <c r="F163" t="str" cm="1">
        <f t="array" ref="F163">IF(OR(COUNTIF(D163,"*"&amp;Preprocessing!$T$9:$T$15&amp;"*")),"Female","Male")</f>
        <v>Male</v>
      </c>
      <c r="G163">
        <v>26</v>
      </c>
      <c r="H163">
        <v>0</v>
      </c>
      <c r="I163">
        <v>0</v>
      </c>
      <c r="J163">
        <v>3</v>
      </c>
      <c r="K163">
        <v>7.7750000000000004</v>
      </c>
      <c r="L163">
        <f t="shared" si="11"/>
        <v>0</v>
      </c>
      <c r="M163">
        <f t="shared" si="12"/>
        <v>26</v>
      </c>
      <c r="N163" t="str">
        <f t="shared" si="13"/>
        <v>Adult</v>
      </c>
      <c r="O163">
        <f t="shared" si="14"/>
        <v>7.78</v>
      </c>
    </row>
    <row r="164" spans="1:15" x14ac:dyDescent="0.3">
      <c r="A164">
        <v>163</v>
      </c>
      <c r="B164">
        <v>0</v>
      </c>
      <c r="C164" t="str">
        <f t="shared" si="10"/>
        <v>No</v>
      </c>
      <c r="D164" t="s">
        <v>956</v>
      </c>
      <c r="E164" t="s">
        <v>1124</v>
      </c>
      <c r="F164" t="str" cm="1">
        <f t="array" ref="F164">IF(OR(COUNTIF(D164,"*"&amp;Preprocessing!$T$9:$T$15&amp;"*")),"Female","Male")</f>
        <v>Male</v>
      </c>
      <c r="G164">
        <v>17</v>
      </c>
      <c r="H164">
        <v>0</v>
      </c>
      <c r="I164">
        <v>0</v>
      </c>
      <c r="J164">
        <v>3</v>
      </c>
      <c r="K164">
        <v>8.6624999999999996</v>
      </c>
      <c r="L164">
        <f t="shared" si="11"/>
        <v>0</v>
      </c>
      <c r="M164">
        <f t="shared" si="12"/>
        <v>17</v>
      </c>
      <c r="N164" t="str">
        <f t="shared" si="13"/>
        <v>Adult</v>
      </c>
      <c r="O164">
        <f t="shared" si="14"/>
        <v>8.66</v>
      </c>
    </row>
    <row r="165" spans="1:15" x14ac:dyDescent="0.3">
      <c r="A165">
        <v>164</v>
      </c>
      <c r="B165">
        <v>0</v>
      </c>
      <c r="C165" t="str">
        <f t="shared" si="10"/>
        <v>No</v>
      </c>
      <c r="D165" t="s">
        <v>966</v>
      </c>
      <c r="E165" t="s">
        <v>1125</v>
      </c>
      <c r="F165" t="str" cm="1">
        <f t="array" ref="F165">IF(OR(COUNTIF(D165,"*"&amp;Preprocessing!$T$9:$T$15&amp;"*")),"Female","Male")</f>
        <v>Male</v>
      </c>
      <c r="G165">
        <v>1</v>
      </c>
      <c r="H165">
        <v>4</v>
      </c>
      <c r="I165">
        <v>1</v>
      </c>
      <c r="J165">
        <v>3</v>
      </c>
      <c r="K165">
        <v>39.6875</v>
      </c>
      <c r="L165">
        <f t="shared" si="11"/>
        <v>0</v>
      </c>
      <c r="M165">
        <f t="shared" si="12"/>
        <v>1</v>
      </c>
      <c r="N165" t="str">
        <f t="shared" si="13"/>
        <v>Child</v>
      </c>
      <c r="O165">
        <f t="shared" si="14"/>
        <v>39.69</v>
      </c>
    </row>
    <row r="166" spans="1:15" x14ac:dyDescent="0.3">
      <c r="A166">
        <v>165</v>
      </c>
      <c r="B166">
        <v>1</v>
      </c>
      <c r="C166" t="str">
        <f t="shared" si="10"/>
        <v>Yes</v>
      </c>
      <c r="D166" t="s">
        <v>966</v>
      </c>
      <c r="E166" t="s">
        <v>1126</v>
      </c>
      <c r="F166" t="str" cm="1">
        <f t="array" ref="F166">IF(OR(COUNTIF(D166,"*"&amp;Preprocessing!$T$9:$T$15&amp;"*")),"Female","Male")</f>
        <v>Male</v>
      </c>
      <c r="G166">
        <v>9</v>
      </c>
      <c r="H166">
        <v>0</v>
      </c>
      <c r="I166">
        <v>2</v>
      </c>
      <c r="J166">
        <v>3</v>
      </c>
      <c r="K166">
        <v>20.524999999999999</v>
      </c>
      <c r="L166">
        <f t="shared" si="11"/>
        <v>0</v>
      </c>
      <c r="M166">
        <f t="shared" si="12"/>
        <v>9</v>
      </c>
      <c r="N166" t="str">
        <f t="shared" si="13"/>
        <v>Child</v>
      </c>
      <c r="O166">
        <f t="shared" si="14"/>
        <v>20.53</v>
      </c>
    </row>
    <row r="167" spans="1:15" x14ac:dyDescent="0.3">
      <c r="A167">
        <v>166</v>
      </c>
      <c r="B167">
        <v>1</v>
      </c>
      <c r="C167" t="str">
        <f t="shared" si="10"/>
        <v>Yes</v>
      </c>
      <c r="D167" t="s">
        <v>958</v>
      </c>
      <c r="E167" t="s">
        <v>1127</v>
      </c>
      <c r="F167" t="str" cm="1">
        <f t="array" ref="F167">IF(OR(COUNTIF(D167,"*"&amp;Preprocessing!$T$9:$T$15&amp;"*")),"Female","Male")</f>
        <v>Female</v>
      </c>
      <c r="G167">
        <v>48</v>
      </c>
      <c r="H167">
        <v>0</v>
      </c>
      <c r="I167">
        <v>1</v>
      </c>
      <c r="J167">
        <v>1</v>
      </c>
      <c r="K167">
        <v>55</v>
      </c>
      <c r="L167">
        <f t="shared" si="11"/>
        <v>1</v>
      </c>
      <c r="M167">
        <f t="shared" si="12"/>
        <v>48</v>
      </c>
      <c r="N167" t="str">
        <f t="shared" si="13"/>
        <v>Adult</v>
      </c>
      <c r="O167">
        <f t="shared" si="14"/>
        <v>55</v>
      </c>
    </row>
    <row r="168" spans="1:15" x14ac:dyDescent="0.3">
      <c r="A168">
        <v>167</v>
      </c>
      <c r="B168">
        <v>0</v>
      </c>
      <c r="C168" t="str">
        <f t="shared" si="10"/>
        <v>No</v>
      </c>
      <c r="D168" t="s">
        <v>958</v>
      </c>
      <c r="E168" t="s">
        <v>1128</v>
      </c>
      <c r="F168" t="str" cm="1">
        <f t="array" ref="F168">IF(OR(COUNTIF(D168,"*"&amp;Preprocessing!$T$9:$T$15&amp;"*")),"Female","Male")</f>
        <v>Female</v>
      </c>
      <c r="G168">
        <v>45</v>
      </c>
      <c r="H168">
        <v>1</v>
      </c>
      <c r="I168">
        <v>4</v>
      </c>
      <c r="J168">
        <v>3</v>
      </c>
      <c r="K168">
        <v>27.9</v>
      </c>
      <c r="L168">
        <f t="shared" si="11"/>
        <v>1</v>
      </c>
      <c r="M168">
        <f t="shared" si="12"/>
        <v>45</v>
      </c>
      <c r="N168" t="str">
        <f t="shared" si="13"/>
        <v>Adult</v>
      </c>
      <c r="O168">
        <f t="shared" si="14"/>
        <v>27.9</v>
      </c>
    </row>
    <row r="169" spans="1:15" x14ac:dyDescent="0.3">
      <c r="A169">
        <v>168</v>
      </c>
      <c r="B169">
        <v>0</v>
      </c>
      <c r="C169" t="str">
        <f t="shared" si="10"/>
        <v>No</v>
      </c>
      <c r="D169" t="s">
        <v>956</v>
      </c>
      <c r="E169" t="s">
        <v>1129</v>
      </c>
      <c r="F169" t="str" cm="1">
        <f t="array" ref="F169">IF(OR(COUNTIF(D169,"*"&amp;Preprocessing!$T$9:$T$15&amp;"*")),"Female","Male")</f>
        <v>Male</v>
      </c>
      <c r="G169">
        <v>60</v>
      </c>
      <c r="H169">
        <v>0</v>
      </c>
      <c r="I169">
        <v>0</v>
      </c>
      <c r="J169">
        <v>1</v>
      </c>
      <c r="K169">
        <v>25.925000000000001</v>
      </c>
      <c r="L169">
        <f t="shared" si="11"/>
        <v>0</v>
      </c>
      <c r="M169">
        <f t="shared" si="12"/>
        <v>60</v>
      </c>
      <c r="N169" t="str">
        <f t="shared" si="13"/>
        <v>Adult</v>
      </c>
      <c r="O169">
        <f t="shared" si="14"/>
        <v>25.93</v>
      </c>
    </row>
    <row r="170" spans="1:15" x14ac:dyDescent="0.3">
      <c r="A170">
        <v>169</v>
      </c>
      <c r="B170">
        <v>0</v>
      </c>
      <c r="C170" t="str">
        <f t="shared" si="10"/>
        <v>No</v>
      </c>
      <c r="D170" t="s">
        <v>956</v>
      </c>
      <c r="E170" t="s">
        <v>1130</v>
      </c>
      <c r="F170" t="str" cm="1">
        <f t="array" ref="F170">IF(OR(COUNTIF(D170,"*"&amp;Preprocessing!$T$9:$T$15&amp;"*")),"Female","Male")</f>
        <v>Male</v>
      </c>
      <c r="G170">
        <v>28</v>
      </c>
      <c r="H170">
        <v>0</v>
      </c>
      <c r="I170">
        <v>0</v>
      </c>
      <c r="J170">
        <v>3</v>
      </c>
      <c r="K170">
        <v>56.495800000000003</v>
      </c>
      <c r="L170">
        <f t="shared" si="11"/>
        <v>0</v>
      </c>
      <c r="M170">
        <f t="shared" si="12"/>
        <v>28</v>
      </c>
      <c r="N170" t="str">
        <f t="shared" si="13"/>
        <v>Adult</v>
      </c>
      <c r="O170">
        <f t="shared" si="14"/>
        <v>56.5</v>
      </c>
    </row>
    <row r="171" spans="1:15" x14ac:dyDescent="0.3">
      <c r="A171">
        <v>170</v>
      </c>
      <c r="B171">
        <v>0</v>
      </c>
      <c r="C171" t="str">
        <f t="shared" si="10"/>
        <v>No</v>
      </c>
      <c r="D171" t="s">
        <v>956</v>
      </c>
      <c r="E171" t="s">
        <v>1131</v>
      </c>
      <c r="F171" t="str" cm="1">
        <f t="array" ref="F171">IF(OR(COUNTIF(D171,"*"&amp;Preprocessing!$T$9:$T$15&amp;"*")),"Female","Male")</f>
        <v>Male</v>
      </c>
      <c r="G171">
        <v>61</v>
      </c>
      <c r="H171">
        <v>0</v>
      </c>
      <c r="I171">
        <v>0</v>
      </c>
      <c r="J171">
        <v>1</v>
      </c>
      <c r="K171">
        <v>33.5</v>
      </c>
      <c r="L171">
        <f t="shared" si="11"/>
        <v>0</v>
      </c>
      <c r="M171">
        <f t="shared" si="12"/>
        <v>61</v>
      </c>
      <c r="N171" t="str">
        <f t="shared" si="13"/>
        <v>Adult</v>
      </c>
      <c r="O171">
        <f t="shared" si="14"/>
        <v>33.5</v>
      </c>
    </row>
    <row r="172" spans="1:15" x14ac:dyDescent="0.3">
      <c r="A172">
        <v>171</v>
      </c>
      <c r="B172">
        <v>0</v>
      </c>
      <c r="C172" t="str">
        <f t="shared" si="10"/>
        <v>No</v>
      </c>
      <c r="D172" t="s">
        <v>966</v>
      </c>
      <c r="E172" t="s">
        <v>1132</v>
      </c>
      <c r="F172" t="str" cm="1">
        <f t="array" ref="F172">IF(OR(COUNTIF(D172,"*"&amp;Preprocessing!$T$9:$T$15&amp;"*")),"Female","Male")</f>
        <v>Male</v>
      </c>
      <c r="G172">
        <v>4</v>
      </c>
      <c r="H172">
        <v>4</v>
      </c>
      <c r="I172">
        <v>1</v>
      </c>
      <c r="J172">
        <v>3</v>
      </c>
      <c r="K172">
        <v>29.125</v>
      </c>
      <c r="L172">
        <f t="shared" si="11"/>
        <v>0</v>
      </c>
      <c r="M172">
        <f t="shared" si="12"/>
        <v>4</v>
      </c>
      <c r="N172" t="str">
        <f t="shared" si="13"/>
        <v>Child</v>
      </c>
      <c r="O172">
        <f t="shared" si="14"/>
        <v>29.13</v>
      </c>
    </row>
    <row r="173" spans="1:15" x14ac:dyDescent="0.3">
      <c r="A173">
        <v>172</v>
      </c>
      <c r="B173">
        <v>1</v>
      </c>
      <c r="C173" t="str">
        <f t="shared" si="10"/>
        <v>Yes</v>
      </c>
      <c r="D173" t="s">
        <v>960</v>
      </c>
      <c r="E173" t="s">
        <v>1133</v>
      </c>
      <c r="F173" t="str" cm="1">
        <f t="array" ref="F173">IF(OR(COUNTIF(D173,"*"&amp;Preprocessing!$T$9:$T$15&amp;"*")),"Female","Male")</f>
        <v>Female</v>
      </c>
      <c r="G173">
        <v>1</v>
      </c>
      <c r="H173">
        <v>1</v>
      </c>
      <c r="I173">
        <v>1</v>
      </c>
      <c r="J173">
        <v>3</v>
      </c>
      <c r="K173">
        <v>11.1333</v>
      </c>
      <c r="L173">
        <f t="shared" si="11"/>
        <v>1</v>
      </c>
      <c r="M173">
        <f t="shared" si="12"/>
        <v>1</v>
      </c>
      <c r="N173" t="str">
        <f t="shared" si="13"/>
        <v>Child</v>
      </c>
      <c r="O173">
        <f t="shared" si="14"/>
        <v>11.13</v>
      </c>
    </row>
    <row r="174" spans="1:15" x14ac:dyDescent="0.3">
      <c r="A174">
        <v>173</v>
      </c>
      <c r="B174">
        <v>0</v>
      </c>
      <c r="C174" t="str">
        <f t="shared" si="10"/>
        <v>No</v>
      </c>
      <c r="D174" t="s">
        <v>956</v>
      </c>
      <c r="E174" t="s">
        <v>1134</v>
      </c>
      <c r="F174" t="str" cm="1">
        <f t="array" ref="F174">IF(OR(COUNTIF(D174,"*"&amp;Preprocessing!$T$9:$T$15&amp;"*")),"Female","Male")</f>
        <v>Male</v>
      </c>
      <c r="G174">
        <v>21</v>
      </c>
      <c r="H174">
        <v>0</v>
      </c>
      <c r="I174">
        <v>0</v>
      </c>
      <c r="J174">
        <v>3</v>
      </c>
      <c r="K174">
        <v>7.9249999999999998</v>
      </c>
      <c r="L174">
        <f t="shared" si="11"/>
        <v>0</v>
      </c>
      <c r="M174">
        <f t="shared" si="12"/>
        <v>21</v>
      </c>
      <c r="N174" t="str">
        <f t="shared" si="13"/>
        <v>Adult</v>
      </c>
      <c r="O174">
        <f t="shared" si="14"/>
        <v>7.93</v>
      </c>
    </row>
    <row r="175" spans="1:15" x14ac:dyDescent="0.3">
      <c r="A175">
        <v>174</v>
      </c>
      <c r="B175">
        <v>0</v>
      </c>
      <c r="C175" t="str">
        <f t="shared" si="10"/>
        <v>No</v>
      </c>
      <c r="D175" t="s">
        <v>956</v>
      </c>
      <c r="E175" t="s">
        <v>1135</v>
      </c>
      <c r="F175" t="str" cm="1">
        <f t="array" ref="F175">IF(OR(COUNTIF(D175,"*"&amp;Preprocessing!$T$9:$T$15&amp;"*")),"Female","Male")</f>
        <v>Male</v>
      </c>
      <c r="G175">
        <v>56</v>
      </c>
      <c r="H175">
        <v>0</v>
      </c>
      <c r="I175">
        <v>0</v>
      </c>
      <c r="J175">
        <v>1</v>
      </c>
      <c r="K175">
        <v>30.695799999999998</v>
      </c>
      <c r="L175">
        <f t="shared" si="11"/>
        <v>0</v>
      </c>
      <c r="M175">
        <f t="shared" si="12"/>
        <v>56</v>
      </c>
      <c r="N175" t="str">
        <f t="shared" si="13"/>
        <v>Adult</v>
      </c>
      <c r="O175">
        <f t="shared" si="14"/>
        <v>30.7</v>
      </c>
    </row>
    <row r="176" spans="1:15" x14ac:dyDescent="0.3">
      <c r="A176">
        <v>175</v>
      </c>
      <c r="B176">
        <v>0</v>
      </c>
      <c r="C176" t="str">
        <f t="shared" si="10"/>
        <v>No</v>
      </c>
      <c r="D176" t="s">
        <v>956</v>
      </c>
      <c r="E176" t="s">
        <v>1136</v>
      </c>
      <c r="F176" t="str" cm="1">
        <f t="array" ref="F176">IF(OR(COUNTIF(D176,"*"&amp;Preprocessing!$T$9:$T$15&amp;"*")),"Female","Male")</f>
        <v>Male</v>
      </c>
      <c r="G176">
        <v>18</v>
      </c>
      <c r="H176">
        <v>1</v>
      </c>
      <c r="I176">
        <v>1</v>
      </c>
      <c r="J176">
        <v>3</v>
      </c>
      <c r="K176">
        <v>7.8541999999999996</v>
      </c>
      <c r="L176">
        <f t="shared" si="11"/>
        <v>0</v>
      </c>
      <c r="M176">
        <f t="shared" si="12"/>
        <v>18</v>
      </c>
      <c r="N176" t="str">
        <f t="shared" si="13"/>
        <v>Adult</v>
      </c>
      <c r="O176">
        <f t="shared" si="14"/>
        <v>7.85</v>
      </c>
    </row>
    <row r="177" spans="1:15" x14ac:dyDescent="0.3">
      <c r="A177">
        <v>176</v>
      </c>
      <c r="B177">
        <v>0</v>
      </c>
      <c r="C177" t="str">
        <f t="shared" si="10"/>
        <v>No</v>
      </c>
      <c r="D177" t="s">
        <v>966</v>
      </c>
      <c r="E177" t="s">
        <v>1137</v>
      </c>
      <c r="F177" t="str" cm="1">
        <f t="array" ref="F177">IF(OR(COUNTIF(D177,"*"&amp;Preprocessing!$T$9:$T$15&amp;"*")),"Female","Male")</f>
        <v>Male</v>
      </c>
      <c r="G177">
        <v>5</v>
      </c>
      <c r="H177">
        <v>3</v>
      </c>
      <c r="I177">
        <v>1</v>
      </c>
      <c r="J177">
        <v>3</v>
      </c>
      <c r="K177">
        <v>25.466699999999999</v>
      </c>
      <c r="L177">
        <f t="shared" si="11"/>
        <v>0</v>
      </c>
      <c r="M177">
        <f t="shared" si="12"/>
        <v>5</v>
      </c>
      <c r="N177" t="str">
        <f t="shared" si="13"/>
        <v>Child</v>
      </c>
      <c r="O177">
        <f t="shared" si="14"/>
        <v>25.47</v>
      </c>
    </row>
    <row r="178" spans="1:15" x14ac:dyDescent="0.3">
      <c r="A178">
        <v>177</v>
      </c>
      <c r="B178">
        <v>0</v>
      </c>
      <c r="C178" t="str">
        <f t="shared" si="10"/>
        <v>No</v>
      </c>
      <c r="D178" t="s">
        <v>960</v>
      </c>
      <c r="E178" t="s">
        <v>1138</v>
      </c>
      <c r="F178" t="str" cm="1">
        <f t="array" ref="F178">IF(OR(COUNTIF(D178,"*"&amp;Preprocessing!$T$9:$T$15&amp;"*")),"Female","Male")</f>
        <v>Female</v>
      </c>
      <c r="G178">
        <v>50</v>
      </c>
      <c r="H178">
        <v>0</v>
      </c>
      <c r="I178">
        <v>0</v>
      </c>
      <c r="J178">
        <v>1</v>
      </c>
      <c r="K178">
        <v>28.712499999999999</v>
      </c>
      <c r="L178">
        <f t="shared" si="11"/>
        <v>1</v>
      </c>
      <c r="M178">
        <f t="shared" si="12"/>
        <v>50</v>
      </c>
      <c r="N178" t="str">
        <f t="shared" si="13"/>
        <v>Adult</v>
      </c>
      <c r="O178">
        <f t="shared" si="14"/>
        <v>28.71</v>
      </c>
    </row>
    <row r="179" spans="1:15" x14ac:dyDescent="0.3">
      <c r="A179">
        <v>178</v>
      </c>
      <c r="B179">
        <v>0</v>
      </c>
      <c r="C179" t="str">
        <f t="shared" si="10"/>
        <v>No</v>
      </c>
      <c r="D179" t="s">
        <v>956</v>
      </c>
      <c r="E179" t="s">
        <v>1139</v>
      </c>
      <c r="F179" t="str" cm="1">
        <f t="array" ref="F179">IF(OR(COUNTIF(D179,"*"&amp;Preprocessing!$T$9:$T$15&amp;"*")),"Female","Male")</f>
        <v>Male</v>
      </c>
      <c r="G179">
        <v>30</v>
      </c>
      <c r="H179">
        <v>0</v>
      </c>
      <c r="I179">
        <v>0</v>
      </c>
      <c r="J179">
        <v>2</v>
      </c>
      <c r="K179">
        <v>13</v>
      </c>
      <c r="L179">
        <f t="shared" si="11"/>
        <v>0</v>
      </c>
      <c r="M179">
        <f t="shared" si="12"/>
        <v>30</v>
      </c>
      <c r="N179" t="str">
        <f t="shared" si="13"/>
        <v>Adult</v>
      </c>
      <c r="O179">
        <f t="shared" si="14"/>
        <v>13</v>
      </c>
    </row>
    <row r="180" spans="1:15" x14ac:dyDescent="0.3">
      <c r="A180">
        <v>179</v>
      </c>
      <c r="B180">
        <v>0</v>
      </c>
      <c r="C180" t="str">
        <f t="shared" si="10"/>
        <v>No</v>
      </c>
      <c r="D180" t="s">
        <v>956</v>
      </c>
      <c r="E180" t="s">
        <v>1140</v>
      </c>
      <c r="F180" t="str" cm="1">
        <f t="array" ref="F180">IF(OR(COUNTIF(D180,"*"&amp;Preprocessing!$T$9:$T$15&amp;"*")),"Female","Male")</f>
        <v>Male</v>
      </c>
      <c r="G180">
        <v>36</v>
      </c>
      <c r="H180">
        <v>0</v>
      </c>
      <c r="I180">
        <v>0</v>
      </c>
      <c r="J180">
        <v>3</v>
      </c>
      <c r="K180">
        <v>0</v>
      </c>
      <c r="L180">
        <f t="shared" si="11"/>
        <v>0</v>
      </c>
      <c r="M180">
        <f t="shared" si="12"/>
        <v>36</v>
      </c>
      <c r="N180" t="str">
        <f t="shared" si="13"/>
        <v>Adult</v>
      </c>
      <c r="O180">
        <f t="shared" si="14"/>
        <v>0</v>
      </c>
    </row>
    <row r="181" spans="1:15" x14ac:dyDescent="0.3">
      <c r="A181">
        <v>180</v>
      </c>
      <c r="B181">
        <v>0</v>
      </c>
      <c r="C181" t="str">
        <f t="shared" si="10"/>
        <v>No</v>
      </c>
      <c r="D181" t="s">
        <v>960</v>
      </c>
      <c r="E181" t="s">
        <v>1141</v>
      </c>
      <c r="F181" t="str" cm="1">
        <f t="array" ref="F181">IF(OR(COUNTIF(D181,"*"&amp;Preprocessing!$T$9:$T$15&amp;"*")),"Female","Male")</f>
        <v>Female</v>
      </c>
      <c r="G181">
        <v>8</v>
      </c>
      <c r="H181">
        <v>8</v>
      </c>
      <c r="I181">
        <v>2</v>
      </c>
      <c r="J181">
        <v>3</v>
      </c>
      <c r="K181">
        <v>69.55</v>
      </c>
      <c r="L181">
        <f t="shared" si="11"/>
        <v>1</v>
      </c>
      <c r="M181">
        <f t="shared" si="12"/>
        <v>8</v>
      </c>
      <c r="N181" t="str">
        <f t="shared" si="13"/>
        <v>Child</v>
      </c>
      <c r="O181">
        <f t="shared" si="14"/>
        <v>69.55</v>
      </c>
    </row>
    <row r="182" spans="1:15" x14ac:dyDescent="0.3">
      <c r="A182">
        <v>181</v>
      </c>
      <c r="B182">
        <v>0</v>
      </c>
      <c r="C182" t="str">
        <f t="shared" si="10"/>
        <v>No</v>
      </c>
      <c r="D182" t="s">
        <v>956</v>
      </c>
      <c r="E182" t="s">
        <v>1142</v>
      </c>
      <c r="F182" t="str" cm="1">
        <f t="array" ref="F182">IF(OR(COUNTIF(D182,"*"&amp;Preprocessing!$T$9:$T$15&amp;"*")),"Female","Male")</f>
        <v>Male</v>
      </c>
      <c r="G182">
        <v>39</v>
      </c>
      <c r="H182">
        <v>0</v>
      </c>
      <c r="I182">
        <v>0</v>
      </c>
      <c r="J182">
        <v>2</v>
      </c>
      <c r="K182">
        <v>15.05</v>
      </c>
      <c r="L182">
        <f t="shared" si="11"/>
        <v>0</v>
      </c>
      <c r="M182">
        <f t="shared" si="12"/>
        <v>39</v>
      </c>
      <c r="N182" t="str">
        <f t="shared" si="13"/>
        <v>Adult</v>
      </c>
      <c r="O182">
        <f t="shared" si="14"/>
        <v>15.05</v>
      </c>
    </row>
    <row r="183" spans="1:15" x14ac:dyDescent="0.3">
      <c r="A183">
        <v>182</v>
      </c>
      <c r="B183">
        <v>0</v>
      </c>
      <c r="C183" t="str">
        <f t="shared" si="10"/>
        <v>No</v>
      </c>
      <c r="D183" t="s">
        <v>966</v>
      </c>
      <c r="E183" t="s">
        <v>1143</v>
      </c>
      <c r="F183" t="str" cm="1">
        <f t="array" ref="F183">IF(OR(COUNTIF(D183,"*"&amp;Preprocessing!$T$9:$T$15&amp;"*")),"Female","Male")</f>
        <v>Male</v>
      </c>
      <c r="G183">
        <v>9</v>
      </c>
      <c r="H183">
        <v>4</v>
      </c>
      <c r="I183">
        <v>2</v>
      </c>
      <c r="J183">
        <v>3</v>
      </c>
      <c r="K183">
        <v>31.387499999999999</v>
      </c>
      <c r="L183">
        <f t="shared" si="11"/>
        <v>0</v>
      </c>
      <c r="M183">
        <f t="shared" si="12"/>
        <v>9</v>
      </c>
      <c r="N183" t="str">
        <f t="shared" si="13"/>
        <v>Child</v>
      </c>
      <c r="O183">
        <f t="shared" si="14"/>
        <v>31.39</v>
      </c>
    </row>
    <row r="184" spans="1:15" x14ac:dyDescent="0.3">
      <c r="A184">
        <v>183</v>
      </c>
      <c r="B184">
        <v>1</v>
      </c>
      <c r="C184" t="str">
        <f t="shared" si="10"/>
        <v>Yes</v>
      </c>
      <c r="D184" t="s">
        <v>966</v>
      </c>
      <c r="E184" t="s">
        <v>1144</v>
      </c>
      <c r="F184" t="str" cm="1">
        <f t="array" ref="F184">IF(OR(COUNTIF(D184,"*"&amp;Preprocessing!$T$9:$T$15&amp;"*")),"Female","Male")</f>
        <v>Male</v>
      </c>
      <c r="G184">
        <v>1</v>
      </c>
      <c r="H184">
        <v>2</v>
      </c>
      <c r="I184">
        <v>1</v>
      </c>
      <c r="J184">
        <v>2</v>
      </c>
      <c r="K184">
        <v>39</v>
      </c>
      <c r="L184">
        <f t="shared" si="11"/>
        <v>0</v>
      </c>
      <c r="M184">
        <f t="shared" si="12"/>
        <v>1</v>
      </c>
      <c r="N184" t="str">
        <f t="shared" si="13"/>
        <v>Child</v>
      </c>
      <c r="O184">
        <f t="shared" si="14"/>
        <v>39</v>
      </c>
    </row>
    <row r="185" spans="1:15" x14ac:dyDescent="0.3">
      <c r="A185">
        <v>184</v>
      </c>
      <c r="B185">
        <v>1</v>
      </c>
      <c r="C185" t="str">
        <f t="shared" si="10"/>
        <v>Yes</v>
      </c>
      <c r="D185" t="s">
        <v>960</v>
      </c>
      <c r="E185" t="s">
        <v>1145</v>
      </c>
      <c r="F185" t="str" cm="1">
        <f t="array" ref="F185">IF(OR(COUNTIF(D185,"*"&amp;Preprocessing!$T$9:$T$15&amp;"*")),"Female","Male")</f>
        <v>Female</v>
      </c>
      <c r="G185">
        <v>4</v>
      </c>
      <c r="H185">
        <v>0</v>
      </c>
      <c r="I185">
        <v>2</v>
      </c>
      <c r="J185">
        <v>3</v>
      </c>
      <c r="K185">
        <v>22.024999999999999</v>
      </c>
      <c r="L185">
        <f t="shared" si="11"/>
        <v>1</v>
      </c>
      <c r="M185">
        <f t="shared" si="12"/>
        <v>4</v>
      </c>
      <c r="N185" t="str">
        <f t="shared" si="13"/>
        <v>Child</v>
      </c>
      <c r="O185">
        <f t="shared" si="14"/>
        <v>22.03</v>
      </c>
    </row>
    <row r="186" spans="1:15" x14ac:dyDescent="0.3">
      <c r="A186">
        <v>185</v>
      </c>
      <c r="B186">
        <v>0</v>
      </c>
      <c r="C186" t="str">
        <f t="shared" si="10"/>
        <v>No</v>
      </c>
      <c r="D186" t="s">
        <v>956</v>
      </c>
      <c r="E186" t="s">
        <v>1146</v>
      </c>
      <c r="F186" t="str" cm="1">
        <f t="array" ref="F186">IF(OR(COUNTIF(D186,"*"&amp;Preprocessing!$T$9:$T$15&amp;"*")),"Female","Male")</f>
        <v>Male</v>
      </c>
      <c r="G186">
        <v>39</v>
      </c>
      <c r="H186">
        <v>0</v>
      </c>
      <c r="I186">
        <v>0</v>
      </c>
      <c r="J186">
        <v>1</v>
      </c>
      <c r="K186">
        <v>50</v>
      </c>
      <c r="L186">
        <f t="shared" si="11"/>
        <v>0</v>
      </c>
      <c r="M186">
        <f t="shared" si="12"/>
        <v>39</v>
      </c>
      <c r="N186" t="str">
        <f t="shared" si="13"/>
        <v>Adult</v>
      </c>
      <c r="O186">
        <f t="shared" si="14"/>
        <v>50</v>
      </c>
    </row>
    <row r="187" spans="1:15" x14ac:dyDescent="0.3">
      <c r="A187">
        <v>186</v>
      </c>
      <c r="B187">
        <v>1</v>
      </c>
      <c r="C187" t="str">
        <f t="shared" si="10"/>
        <v>Yes</v>
      </c>
      <c r="D187" t="s">
        <v>958</v>
      </c>
      <c r="E187" t="s">
        <v>1147</v>
      </c>
      <c r="F187" t="str" cm="1">
        <f t="array" ref="F187">IF(OR(COUNTIF(D187,"*"&amp;Preprocessing!$T$9:$T$15&amp;"*")),"Female","Male")</f>
        <v>Female</v>
      </c>
      <c r="G187">
        <v>26</v>
      </c>
      <c r="H187">
        <v>1</v>
      </c>
      <c r="I187">
        <v>0</v>
      </c>
      <c r="J187">
        <v>3</v>
      </c>
      <c r="K187">
        <v>15.5</v>
      </c>
      <c r="L187">
        <f t="shared" si="11"/>
        <v>1</v>
      </c>
      <c r="M187">
        <f t="shared" si="12"/>
        <v>26</v>
      </c>
      <c r="N187" t="str">
        <f t="shared" si="13"/>
        <v>Adult</v>
      </c>
      <c r="O187">
        <f t="shared" si="14"/>
        <v>15.5</v>
      </c>
    </row>
    <row r="188" spans="1:15" x14ac:dyDescent="0.3">
      <c r="A188">
        <v>187</v>
      </c>
      <c r="B188">
        <v>1</v>
      </c>
      <c r="C188" t="str">
        <f t="shared" si="10"/>
        <v>Yes</v>
      </c>
      <c r="D188" t="s">
        <v>956</v>
      </c>
      <c r="E188" t="s">
        <v>1148</v>
      </c>
      <c r="F188" t="str" cm="1">
        <f t="array" ref="F188">IF(OR(COUNTIF(D188,"*"&amp;Preprocessing!$T$9:$T$15&amp;"*")),"Female","Male")</f>
        <v>Male</v>
      </c>
      <c r="G188">
        <v>45</v>
      </c>
      <c r="H188">
        <v>0</v>
      </c>
      <c r="I188">
        <v>0</v>
      </c>
      <c r="J188">
        <v>1</v>
      </c>
      <c r="K188">
        <v>26.55</v>
      </c>
      <c r="L188">
        <f t="shared" si="11"/>
        <v>0</v>
      </c>
      <c r="M188">
        <f t="shared" si="12"/>
        <v>45</v>
      </c>
      <c r="N188" t="str">
        <f t="shared" si="13"/>
        <v>Adult</v>
      </c>
      <c r="O188">
        <f t="shared" si="14"/>
        <v>26.55</v>
      </c>
    </row>
    <row r="189" spans="1:15" x14ac:dyDescent="0.3">
      <c r="A189">
        <v>188</v>
      </c>
      <c r="B189">
        <v>0</v>
      </c>
      <c r="C189" t="str">
        <f t="shared" si="10"/>
        <v>No</v>
      </c>
      <c r="D189" t="s">
        <v>956</v>
      </c>
      <c r="E189" t="s">
        <v>1149</v>
      </c>
      <c r="F189" t="str" cm="1">
        <f t="array" ref="F189">IF(OR(COUNTIF(D189,"*"&amp;Preprocessing!$T$9:$T$15&amp;"*")),"Female","Male")</f>
        <v>Male</v>
      </c>
      <c r="G189">
        <v>40</v>
      </c>
      <c r="H189">
        <v>1</v>
      </c>
      <c r="I189">
        <v>1</v>
      </c>
      <c r="J189">
        <v>3</v>
      </c>
      <c r="K189">
        <v>15.5</v>
      </c>
      <c r="L189">
        <f t="shared" si="11"/>
        <v>0</v>
      </c>
      <c r="M189">
        <f t="shared" si="12"/>
        <v>40</v>
      </c>
      <c r="N189" t="str">
        <f t="shared" si="13"/>
        <v>Adult</v>
      </c>
      <c r="O189">
        <f t="shared" si="14"/>
        <v>15.5</v>
      </c>
    </row>
    <row r="190" spans="1:15" x14ac:dyDescent="0.3">
      <c r="A190">
        <v>189</v>
      </c>
      <c r="B190">
        <v>0</v>
      </c>
      <c r="C190" t="str">
        <f t="shared" si="10"/>
        <v>No</v>
      </c>
      <c r="D190" t="s">
        <v>956</v>
      </c>
      <c r="E190" t="s">
        <v>1150</v>
      </c>
      <c r="F190" t="str" cm="1">
        <f t="array" ref="F190">IF(OR(COUNTIF(D190,"*"&amp;Preprocessing!$T$9:$T$15&amp;"*")),"Female","Male")</f>
        <v>Male</v>
      </c>
      <c r="G190">
        <v>36</v>
      </c>
      <c r="H190">
        <v>0</v>
      </c>
      <c r="I190">
        <v>0</v>
      </c>
      <c r="J190">
        <v>3</v>
      </c>
      <c r="K190">
        <v>7.8958000000000004</v>
      </c>
      <c r="L190">
        <f t="shared" si="11"/>
        <v>0</v>
      </c>
      <c r="M190">
        <f t="shared" si="12"/>
        <v>36</v>
      </c>
      <c r="N190" t="str">
        <f t="shared" si="13"/>
        <v>Adult</v>
      </c>
      <c r="O190">
        <f t="shared" si="14"/>
        <v>7.9</v>
      </c>
    </row>
    <row r="191" spans="1:15" x14ac:dyDescent="0.3">
      <c r="A191">
        <v>190</v>
      </c>
      <c r="B191">
        <v>1</v>
      </c>
      <c r="C191" t="str">
        <f t="shared" si="10"/>
        <v>Yes</v>
      </c>
      <c r="D191" t="s">
        <v>958</v>
      </c>
      <c r="E191" t="s">
        <v>1151</v>
      </c>
      <c r="F191" t="str" cm="1">
        <f t="array" ref="F191">IF(OR(COUNTIF(D191,"*"&amp;Preprocessing!$T$9:$T$15&amp;"*")),"Female","Male")</f>
        <v>Female</v>
      </c>
      <c r="G191">
        <v>32</v>
      </c>
      <c r="H191">
        <v>0</v>
      </c>
      <c r="I191">
        <v>0</v>
      </c>
      <c r="J191">
        <v>2</v>
      </c>
      <c r="K191">
        <v>13</v>
      </c>
      <c r="L191">
        <f t="shared" si="11"/>
        <v>1</v>
      </c>
      <c r="M191">
        <f t="shared" si="12"/>
        <v>32</v>
      </c>
      <c r="N191" t="str">
        <f t="shared" si="13"/>
        <v>Adult</v>
      </c>
      <c r="O191">
        <f t="shared" si="14"/>
        <v>13</v>
      </c>
    </row>
    <row r="192" spans="1:15" x14ac:dyDescent="0.3">
      <c r="A192">
        <v>191</v>
      </c>
      <c r="B192">
        <v>0</v>
      </c>
      <c r="C192" t="str">
        <f t="shared" si="10"/>
        <v>No</v>
      </c>
      <c r="D192" t="s">
        <v>956</v>
      </c>
      <c r="E192" t="s">
        <v>1152</v>
      </c>
      <c r="F192" t="str" cm="1">
        <f t="array" ref="F192">IF(OR(COUNTIF(D192,"*"&amp;Preprocessing!$T$9:$T$15&amp;"*")),"Female","Male")</f>
        <v>Male</v>
      </c>
      <c r="G192">
        <v>19</v>
      </c>
      <c r="H192">
        <v>0</v>
      </c>
      <c r="I192">
        <v>0</v>
      </c>
      <c r="J192">
        <v>2</v>
      </c>
      <c r="K192">
        <v>13</v>
      </c>
      <c r="L192">
        <f t="shared" si="11"/>
        <v>0</v>
      </c>
      <c r="M192">
        <f t="shared" si="12"/>
        <v>19</v>
      </c>
      <c r="N192" t="str">
        <f t="shared" si="13"/>
        <v>Adult</v>
      </c>
      <c r="O192">
        <f t="shared" si="14"/>
        <v>13</v>
      </c>
    </row>
    <row r="193" spans="1:15" x14ac:dyDescent="0.3">
      <c r="A193">
        <v>192</v>
      </c>
      <c r="B193">
        <v>1</v>
      </c>
      <c r="C193" t="str">
        <f t="shared" si="10"/>
        <v>Yes</v>
      </c>
      <c r="D193" t="s">
        <v>960</v>
      </c>
      <c r="E193" t="s">
        <v>1153</v>
      </c>
      <c r="F193" t="str" cm="1">
        <f t="array" ref="F193">IF(OR(COUNTIF(D193,"*"&amp;Preprocessing!$T$9:$T$15&amp;"*")),"Female","Male")</f>
        <v>Female</v>
      </c>
      <c r="G193">
        <v>19</v>
      </c>
      <c r="H193">
        <v>1</v>
      </c>
      <c r="I193">
        <v>0</v>
      </c>
      <c r="J193">
        <v>3</v>
      </c>
      <c r="K193">
        <v>7.8541999999999996</v>
      </c>
      <c r="L193">
        <f t="shared" si="11"/>
        <v>1</v>
      </c>
      <c r="M193">
        <f t="shared" si="12"/>
        <v>19</v>
      </c>
      <c r="N193" t="str">
        <f t="shared" si="13"/>
        <v>Adult</v>
      </c>
      <c r="O193">
        <f t="shared" si="14"/>
        <v>7.85</v>
      </c>
    </row>
    <row r="194" spans="1:15" x14ac:dyDescent="0.3">
      <c r="A194">
        <v>193</v>
      </c>
      <c r="B194">
        <v>1</v>
      </c>
      <c r="C194" t="str">
        <f t="shared" si="10"/>
        <v>Yes</v>
      </c>
      <c r="D194" t="s">
        <v>966</v>
      </c>
      <c r="E194" t="s">
        <v>1154</v>
      </c>
      <c r="F194" t="str" cm="1">
        <f t="array" ref="F194">IF(OR(COUNTIF(D194,"*"&amp;Preprocessing!$T$9:$T$15&amp;"*")),"Female","Male")</f>
        <v>Male</v>
      </c>
      <c r="G194">
        <v>3</v>
      </c>
      <c r="H194">
        <v>1</v>
      </c>
      <c r="I194">
        <v>1</v>
      </c>
      <c r="J194">
        <v>2</v>
      </c>
      <c r="K194">
        <v>26</v>
      </c>
      <c r="L194">
        <f t="shared" si="11"/>
        <v>0</v>
      </c>
      <c r="M194">
        <f t="shared" si="12"/>
        <v>3</v>
      </c>
      <c r="N194" t="str">
        <f t="shared" si="13"/>
        <v>Child</v>
      </c>
      <c r="O194">
        <f t="shared" si="14"/>
        <v>26</v>
      </c>
    </row>
    <row r="195" spans="1:15" x14ac:dyDescent="0.3">
      <c r="A195">
        <v>194</v>
      </c>
      <c r="B195">
        <v>1</v>
      </c>
      <c r="C195" t="str">
        <f t="shared" ref="C195:C258" si="15">IF(B195=0,"No","Yes")</f>
        <v>Yes</v>
      </c>
      <c r="D195" t="s">
        <v>958</v>
      </c>
      <c r="E195" t="s">
        <v>1155</v>
      </c>
      <c r="F195" t="str" cm="1">
        <f t="array" ref="F195">IF(OR(COUNTIF(D195,"*"&amp;Preprocessing!$T$9:$T$15&amp;"*")),"Female","Male")</f>
        <v>Female</v>
      </c>
      <c r="G195">
        <v>44</v>
      </c>
      <c r="H195">
        <v>0</v>
      </c>
      <c r="I195">
        <v>0</v>
      </c>
      <c r="J195">
        <v>1</v>
      </c>
      <c r="K195">
        <v>27.720800000000001</v>
      </c>
      <c r="L195">
        <f t="shared" ref="L195:L258" si="16">IF(F195 = "Male", 0, 1)</f>
        <v>1</v>
      </c>
      <c r="M195">
        <f t="shared" ref="M195:M258" si="17">ROUND(G195, 0)</f>
        <v>44</v>
      </c>
      <c r="N195" t="str">
        <f t="shared" ref="N195:N258" si="18">IF(G195&lt;=16,"Child","Adult")</f>
        <v>Adult</v>
      </c>
      <c r="O195">
        <f t="shared" ref="O195:O258" si="19">ROUND(K195, 2)</f>
        <v>27.72</v>
      </c>
    </row>
    <row r="196" spans="1:15" x14ac:dyDescent="0.3">
      <c r="A196">
        <v>195</v>
      </c>
      <c r="B196">
        <v>1</v>
      </c>
      <c r="C196" t="str">
        <f t="shared" si="15"/>
        <v>Yes</v>
      </c>
      <c r="D196" t="s">
        <v>960</v>
      </c>
      <c r="E196" t="s">
        <v>1156</v>
      </c>
      <c r="F196" t="str" cm="1">
        <f t="array" ref="F196">IF(OR(COUNTIF(D196,"*"&amp;Preprocessing!$T$9:$T$15&amp;"*")),"Female","Male")</f>
        <v>Female</v>
      </c>
      <c r="G196">
        <v>58</v>
      </c>
      <c r="H196">
        <v>0</v>
      </c>
      <c r="I196">
        <v>0</v>
      </c>
      <c r="J196">
        <v>1</v>
      </c>
      <c r="K196">
        <v>146.52080000000001</v>
      </c>
      <c r="L196">
        <f t="shared" si="16"/>
        <v>1</v>
      </c>
      <c r="M196">
        <f t="shared" si="17"/>
        <v>58</v>
      </c>
      <c r="N196" t="str">
        <f t="shared" si="18"/>
        <v>Adult</v>
      </c>
      <c r="O196">
        <f t="shared" si="19"/>
        <v>146.52000000000001</v>
      </c>
    </row>
    <row r="197" spans="1:15" x14ac:dyDescent="0.3">
      <c r="A197">
        <v>196</v>
      </c>
      <c r="B197">
        <v>0</v>
      </c>
      <c r="C197" t="str">
        <f t="shared" si="15"/>
        <v>No</v>
      </c>
      <c r="D197" t="s">
        <v>956</v>
      </c>
      <c r="E197" t="s">
        <v>1157</v>
      </c>
      <c r="F197" t="str" cm="1">
        <f t="array" ref="F197">IF(OR(COUNTIF(D197,"*"&amp;Preprocessing!$T$9:$T$15&amp;"*")),"Female","Male")</f>
        <v>Male</v>
      </c>
      <c r="G197">
        <v>28</v>
      </c>
      <c r="H197">
        <v>0</v>
      </c>
      <c r="I197">
        <v>0</v>
      </c>
      <c r="J197">
        <v>3</v>
      </c>
      <c r="K197">
        <v>7.75</v>
      </c>
      <c r="L197">
        <f t="shared" si="16"/>
        <v>0</v>
      </c>
      <c r="M197">
        <f t="shared" si="17"/>
        <v>28</v>
      </c>
      <c r="N197" t="str">
        <f t="shared" si="18"/>
        <v>Adult</v>
      </c>
      <c r="O197">
        <f t="shared" si="19"/>
        <v>7.75</v>
      </c>
    </row>
    <row r="198" spans="1:15" x14ac:dyDescent="0.3">
      <c r="A198">
        <v>197</v>
      </c>
      <c r="B198">
        <v>0</v>
      </c>
      <c r="C198" t="str">
        <f t="shared" si="15"/>
        <v>No</v>
      </c>
      <c r="D198" t="s">
        <v>956</v>
      </c>
      <c r="E198" t="s">
        <v>1158</v>
      </c>
      <c r="F198" t="str" cm="1">
        <f t="array" ref="F198">IF(OR(COUNTIF(D198,"*"&amp;Preprocessing!$T$9:$T$15&amp;"*")),"Female","Male")</f>
        <v>Male</v>
      </c>
      <c r="G198">
        <v>42</v>
      </c>
      <c r="H198">
        <v>0</v>
      </c>
      <c r="I198">
        <v>1</v>
      </c>
      <c r="J198">
        <v>3</v>
      </c>
      <c r="K198">
        <v>8.4041999999999994</v>
      </c>
      <c r="L198">
        <f t="shared" si="16"/>
        <v>0</v>
      </c>
      <c r="M198">
        <f t="shared" si="17"/>
        <v>42</v>
      </c>
      <c r="N198" t="str">
        <f t="shared" si="18"/>
        <v>Adult</v>
      </c>
      <c r="O198">
        <f t="shared" si="19"/>
        <v>8.4</v>
      </c>
    </row>
    <row r="199" spans="1:15" x14ac:dyDescent="0.3">
      <c r="A199">
        <v>198</v>
      </c>
      <c r="B199">
        <v>1</v>
      </c>
      <c r="C199" t="str">
        <f t="shared" si="15"/>
        <v>Yes</v>
      </c>
      <c r="D199" t="s">
        <v>960</v>
      </c>
      <c r="E199" t="s">
        <v>1159</v>
      </c>
      <c r="F199" t="str" cm="1">
        <f t="array" ref="F199">IF(OR(COUNTIF(D199,"*"&amp;Preprocessing!$T$9:$T$15&amp;"*")),"Female","Male")</f>
        <v>Female</v>
      </c>
      <c r="G199">
        <v>21</v>
      </c>
      <c r="H199">
        <v>0</v>
      </c>
      <c r="I199">
        <v>0</v>
      </c>
      <c r="J199">
        <v>3</v>
      </c>
      <c r="K199">
        <v>7.75</v>
      </c>
      <c r="L199">
        <f t="shared" si="16"/>
        <v>1</v>
      </c>
      <c r="M199">
        <f t="shared" si="17"/>
        <v>21</v>
      </c>
      <c r="N199" t="str">
        <f t="shared" si="18"/>
        <v>Adult</v>
      </c>
      <c r="O199">
        <f t="shared" si="19"/>
        <v>7.75</v>
      </c>
    </row>
    <row r="200" spans="1:15" x14ac:dyDescent="0.3">
      <c r="A200">
        <v>199</v>
      </c>
      <c r="B200">
        <v>0</v>
      </c>
      <c r="C200" t="str">
        <f t="shared" si="15"/>
        <v>No</v>
      </c>
      <c r="D200" t="s">
        <v>960</v>
      </c>
      <c r="E200" t="s">
        <v>1160</v>
      </c>
      <c r="F200" t="str" cm="1">
        <f t="array" ref="F200">IF(OR(COUNTIF(D200,"*"&amp;Preprocessing!$T$9:$T$15&amp;"*")),"Female","Male")</f>
        <v>Female</v>
      </c>
      <c r="G200">
        <v>24</v>
      </c>
      <c r="H200">
        <v>0</v>
      </c>
      <c r="I200">
        <v>0</v>
      </c>
      <c r="J200">
        <v>2</v>
      </c>
      <c r="K200">
        <v>13</v>
      </c>
      <c r="L200">
        <f t="shared" si="16"/>
        <v>1</v>
      </c>
      <c r="M200">
        <f t="shared" si="17"/>
        <v>24</v>
      </c>
      <c r="N200" t="str">
        <f t="shared" si="18"/>
        <v>Adult</v>
      </c>
      <c r="O200">
        <f t="shared" si="19"/>
        <v>13</v>
      </c>
    </row>
    <row r="201" spans="1:15" x14ac:dyDescent="0.3">
      <c r="A201">
        <v>200</v>
      </c>
      <c r="B201">
        <v>0</v>
      </c>
      <c r="C201" t="str">
        <f t="shared" si="15"/>
        <v>No</v>
      </c>
      <c r="D201" t="s">
        <v>956</v>
      </c>
      <c r="E201" t="s">
        <v>1161</v>
      </c>
      <c r="F201" t="str" cm="1">
        <f t="array" ref="F201">IF(OR(COUNTIF(D201,"*"&amp;Preprocessing!$T$9:$T$15&amp;"*")),"Female","Male")</f>
        <v>Male</v>
      </c>
      <c r="G201">
        <v>28</v>
      </c>
      <c r="H201">
        <v>0</v>
      </c>
      <c r="I201">
        <v>0</v>
      </c>
      <c r="J201">
        <v>3</v>
      </c>
      <c r="K201">
        <v>9.5</v>
      </c>
      <c r="L201">
        <f t="shared" si="16"/>
        <v>0</v>
      </c>
      <c r="M201">
        <f t="shared" si="17"/>
        <v>28</v>
      </c>
      <c r="N201" t="str">
        <f t="shared" si="18"/>
        <v>Adult</v>
      </c>
      <c r="O201">
        <f t="shared" si="19"/>
        <v>9.5</v>
      </c>
    </row>
    <row r="202" spans="1:15" x14ac:dyDescent="0.3">
      <c r="A202">
        <v>201</v>
      </c>
      <c r="B202">
        <v>0</v>
      </c>
      <c r="C202" t="str">
        <f t="shared" si="15"/>
        <v>No</v>
      </c>
      <c r="D202" t="s">
        <v>956</v>
      </c>
      <c r="E202" t="s">
        <v>1162</v>
      </c>
      <c r="F202" t="str" cm="1">
        <f t="array" ref="F202">IF(OR(COUNTIF(D202,"*"&amp;Preprocessing!$T$9:$T$15&amp;"*")),"Female","Male")</f>
        <v>Male</v>
      </c>
      <c r="G202">
        <v>17</v>
      </c>
      <c r="H202">
        <v>8</v>
      </c>
      <c r="I202">
        <v>2</v>
      </c>
      <c r="J202">
        <v>3</v>
      </c>
      <c r="K202">
        <v>69.55</v>
      </c>
      <c r="L202">
        <f t="shared" si="16"/>
        <v>0</v>
      </c>
      <c r="M202">
        <f t="shared" si="17"/>
        <v>17</v>
      </c>
      <c r="N202" t="str">
        <f t="shared" si="18"/>
        <v>Adult</v>
      </c>
      <c r="O202">
        <f t="shared" si="19"/>
        <v>69.55</v>
      </c>
    </row>
    <row r="203" spans="1:15" x14ac:dyDescent="0.3">
      <c r="A203">
        <v>202</v>
      </c>
      <c r="B203">
        <v>0</v>
      </c>
      <c r="C203" t="str">
        <f t="shared" si="15"/>
        <v>No</v>
      </c>
      <c r="D203" t="s">
        <v>956</v>
      </c>
      <c r="E203" t="s">
        <v>1163</v>
      </c>
      <c r="F203" t="str" cm="1">
        <f t="array" ref="F203">IF(OR(COUNTIF(D203,"*"&amp;Preprocessing!$T$9:$T$15&amp;"*")),"Female","Male")</f>
        <v>Male</v>
      </c>
      <c r="G203">
        <v>34</v>
      </c>
      <c r="H203">
        <v>0</v>
      </c>
      <c r="I203">
        <v>0</v>
      </c>
      <c r="J203">
        <v>3</v>
      </c>
      <c r="K203">
        <v>6.4958</v>
      </c>
      <c r="L203">
        <f t="shared" si="16"/>
        <v>0</v>
      </c>
      <c r="M203">
        <f t="shared" si="17"/>
        <v>34</v>
      </c>
      <c r="N203" t="str">
        <f t="shared" si="18"/>
        <v>Adult</v>
      </c>
      <c r="O203">
        <f t="shared" si="19"/>
        <v>6.5</v>
      </c>
    </row>
    <row r="204" spans="1:15" x14ac:dyDescent="0.3">
      <c r="A204">
        <v>203</v>
      </c>
      <c r="B204">
        <v>0</v>
      </c>
      <c r="C204" t="str">
        <f t="shared" si="15"/>
        <v>No</v>
      </c>
      <c r="D204" t="s">
        <v>956</v>
      </c>
      <c r="E204" t="s">
        <v>1164</v>
      </c>
      <c r="F204" t="str" cm="1">
        <f t="array" ref="F204">IF(OR(COUNTIF(D204,"*"&amp;Preprocessing!$T$9:$T$15&amp;"*")),"Female","Male")</f>
        <v>Male</v>
      </c>
      <c r="G204">
        <v>45.5</v>
      </c>
      <c r="H204">
        <v>0</v>
      </c>
      <c r="I204">
        <v>0</v>
      </c>
      <c r="J204">
        <v>3</v>
      </c>
      <c r="K204">
        <v>7.2249999999999996</v>
      </c>
      <c r="L204">
        <f t="shared" si="16"/>
        <v>0</v>
      </c>
      <c r="M204">
        <f t="shared" si="17"/>
        <v>46</v>
      </c>
      <c r="N204" t="str">
        <f t="shared" si="18"/>
        <v>Adult</v>
      </c>
      <c r="O204">
        <f t="shared" si="19"/>
        <v>7.23</v>
      </c>
    </row>
    <row r="205" spans="1:15" x14ac:dyDescent="0.3">
      <c r="A205">
        <v>204</v>
      </c>
      <c r="B205">
        <v>1</v>
      </c>
      <c r="C205" t="str">
        <f t="shared" si="15"/>
        <v>Yes</v>
      </c>
      <c r="D205" t="s">
        <v>956</v>
      </c>
      <c r="E205" t="s">
        <v>1165</v>
      </c>
      <c r="F205" t="str" cm="1">
        <f t="array" ref="F205">IF(OR(COUNTIF(D205,"*"&amp;Preprocessing!$T$9:$T$15&amp;"*")),"Female","Male")</f>
        <v>Male</v>
      </c>
      <c r="G205">
        <v>18</v>
      </c>
      <c r="H205">
        <v>0</v>
      </c>
      <c r="I205">
        <v>0</v>
      </c>
      <c r="J205">
        <v>3</v>
      </c>
      <c r="K205">
        <v>8.0500000000000007</v>
      </c>
      <c r="L205">
        <f t="shared" si="16"/>
        <v>0</v>
      </c>
      <c r="M205">
        <f t="shared" si="17"/>
        <v>18</v>
      </c>
      <c r="N205" t="str">
        <f t="shared" si="18"/>
        <v>Adult</v>
      </c>
      <c r="O205">
        <f t="shared" si="19"/>
        <v>8.0500000000000007</v>
      </c>
    </row>
    <row r="206" spans="1:15" x14ac:dyDescent="0.3">
      <c r="A206">
        <v>205</v>
      </c>
      <c r="B206">
        <v>0</v>
      </c>
      <c r="C206" t="str">
        <f t="shared" si="15"/>
        <v>No</v>
      </c>
      <c r="D206" t="s">
        <v>960</v>
      </c>
      <c r="E206" t="s">
        <v>1166</v>
      </c>
      <c r="F206" t="str" cm="1">
        <f t="array" ref="F206">IF(OR(COUNTIF(D206,"*"&amp;Preprocessing!$T$9:$T$15&amp;"*")),"Female","Male")</f>
        <v>Female</v>
      </c>
      <c r="G206">
        <v>2</v>
      </c>
      <c r="H206">
        <v>0</v>
      </c>
      <c r="I206">
        <v>1</v>
      </c>
      <c r="J206">
        <v>3</v>
      </c>
      <c r="K206">
        <v>10.4625</v>
      </c>
      <c r="L206">
        <f t="shared" si="16"/>
        <v>1</v>
      </c>
      <c r="M206">
        <f t="shared" si="17"/>
        <v>2</v>
      </c>
      <c r="N206" t="str">
        <f t="shared" si="18"/>
        <v>Child</v>
      </c>
      <c r="O206">
        <f t="shared" si="19"/>
        <v>10.46</v>
      </c>
    </row>
    <row r="207" spans="1:15" x14ac:dyDescent="0.3">
      <c r="A207">
        <v>206</v>
      </c>
      <c r="B207">
        <v>0</v>
      </c>
      <c r="C207" t="str">
        <f t="shared" si="15"/>
        <v>No</v>
      </c>
      <c r="D207" t="s">
        <v>956</v>
      </c>
      <c r="E207" t="s">
        <v>1167</v>
      </c>
      <c r="F207" t="str" cm="1">
        <f t="array" ref="F207">IF(OR(COUNTIF(D207,"*"&amp;Preprocessing!$T$9:$T$15&amp;"*")),"Female","Male")</f>
        <v>Male</v>
      </c>
      <c r="G207">
        <v>32</v>
      </c>
      <c r="H207">
        <v>1</v>
      </c>
      <c r="I207">
        <v>0</v>
      </c>
      <c r="J207">
        <v>3</v>
      </c>
      <c r="K207">
        <v>15.85</v>
      </c>
      <c r="L207">
        <f t="shared" si="16"/>
        <v>0</v>
      </c>
      <c r="M207">
        <f t="shared" si="17"/>
        <v>32</v>
      </c>
      <c r="N207" t="str">
        <f t="shared" si="18"/>
        <v>Adult</v>
      </c>
      <c r="O207">
        <f t="shared" si="19"/>
        <v>15.85</v>
      </c>
    </row>
    <row r="208" spans="1:15" x14ac:dyDescent="0.3">
      <c r="A208">
        <v>207</v>
      </c>
      <c r="B208">
        <v>1</v>
      </c>
      <c r="C208" t="str">
        <f t="shared" si="15"/>
        <v>Yes</v>
      </c>
      <c r="D208" t="s">
        <v>956</v>
      </c>
      <c r="E208" t="s">
        <v>1168</v>
      </c>
      <c r="F208" t="str" cm="1">
        <f t="array" ref="F208">IF(OR(COUNTIF(D208,"*"&amp;Preprocessing!$T$9:$T$15&amp;"*")),"Female","Male")</f>
        <v>Male</v>
      </c>
      <c r="G208">
        <v>26</v>
      </c>
      <c r="H208">
        <v>0</v>
      </c>
      <c r="I208">
        <v>0</v>
      </c>
      <c r="J208">
        <v>3</v>
      </c>
      <c r="K208">
        <v>18.787500000000001</v>
      </c>
      <c r="L208">
        <f t="shared" si="16"/>
        <v>0</v>
      </c>
      <c r="M208">
        <f t="shared" si="17"/>
        <v>26</v>
      </c>
      <c r="N208" t="str">
        <f t="shared" si="18"/>
        <v>Adult</v>
      </c>
      <c r="O208">
        <f t="shared" si="19"/>
        <v>18.79</v>
      </c>
    </row>
    <row r="209" spans="1:15" x14ac:dyDescent="0.3">
      <c r="A209">
        <v>208</v>
      </c>
      <c r="B209">
        <v>1</v>
      </c>
      <c r="C209" t="str">
        <f t="shared" si="15"/>
        <v>Yes</v>
      </c>
      <c r="D209" t="s">
        <v>960</v>
      </c>
      <c r="E209" t="s">
        <v>1169</v>
      </c>
      <c r="F209" t="str" cm="1">
        <f t="array" ref="F209">IF(OR(COUNTIF(D209,"*"&amp;Preprocessing!$T$9:$T$15&amp;"*")),"Female","Male")</f>
        <v>Female</v>
      </c>
      <c r="G209">
        <v>16</v>
      </c>
      <c r="H209">
        <v>0</v>
      </c>
      <c r="I209">
        <v>0</v>
      </c>
      <c r="J209">
        <v>3</v>
      </c>
      <c r="K209">
        <v>7.75</v>
      </c>
      <c r="L209">
        <f t="shared" si="16"/>
        <v>1</v>
      </c>
      <c r="M209">
        <f t="shared" si="17"/>
        <v>16</v>
      </c>
      <c r="N209" t="str">
        <f t="shared" si="18"/>
        <v>Child</v>
      </c>
      <c r="O209">
        <f t="shared" si="19"/>
        <v>7.75</v>
      </c>
    </row>
    <row r="210" spans="1:15" x14ac:dyDescent="0.3">
      <c r="A210">
        <v>209</v>
      </c>
      <c r="B210">
        <v>1</v>
      </c>
      <c r="C210" t="str">
        <f t="shared" si="15"/>
        <v>Yes</v>
      </c>
      <c r="D210" t="s">
        <v>956</v>
      </c>
      <c r="E210" t="s">
        <v>1170</v>
      </c>
      <c r="F210" t="str" cm="1">
        <f t="array" ref="F210">IF(OR(COUNTIF(D210,"*"&amp;Preprocessing!$T$9:$T$15&amp;"*")),"Female","Male")</f>
        <v>Male</v>
      </c>
      <c r="G210">
        <v>40</v>
      </c>
      <c r="H210">
        <v>0</v>
      </c>
      <c r="I210">
        <v>0</v>
      </c>
      <c r="J210">
        <v>1</v>
      </c>
      <c r="K210">
        <v>31</v>
      </c>
      <c r="L210">
        <f t="shared" si="16"/>
        <v>0</v>
      </c>
      <c r="M210">
        <f t="shared" si="17"/>
        <v>40</v>
      </c>
      <c r="N210" t="str">
        <f t="shared" si="18"/>
        <v>Adult</v>
      </c>
      <c r="O210">
        <f t="shared" si="19"/>
        <v>31</v>
      </c>
    </row>
    <row r="211" spans="1:15" x14ac:dyDescent="0.3">
      <c r="A211">
        <v>210</v>
      </c>
      <c r="B211">
        <v>0</v>
      </c>
      <c r="C211" t="str">
        <f t="shared" si="15"/>
        <v>No</v>
      </c>
      <c r="D211" t="s">
        <v>956</v>
      </c>
      <c r="E211" t="s">
        <v>1171</v>
      </c>
      <c r="F211" t="str" cm="1">
        <f t="array" ref="F211">IF(OR(COUNTIF(D211,"*"&amp;Preprocessing!$T$9:$T$15&amp;"*")),"Female","Male")</f>
        <v>Male</v>
      </c>
      <c r="G211">
        <v>24</v>
      </c>
      <c r="H211">
        <v>0</v>
      </c>
      <c r="I211">
        <v>0</v>
      </c>
      <c r="J211">
        <v>3</v>
      </c>
      <c r="K211">
        <v>7.05</v>
      </c>
      <c r="L211">
        <f t="shared" si="16"/>
        <v>0</v>
      </c>
      <c r="M211">
        <f t="shared" si="17"/>
        <v>24</v>
      </c>
      <c r="N211" t="str">
        <f t="shared" si="18"/>
        <v>Adult</v>
      </c>
      <c r="O211">
        <f t="shared" si="19"/>
        <v>7.05</v>
      </c>
    </row>
    <row r="212" spans="1:15" x14ac:dyDescent="0.3">
      <c r="A212">
        <v>211</v>
      </c>
      <c r="B212">
        <v>1</v>
      </c>
      <c r="C212" t="str">
        <f t="shared" si="15"/>
        <v>Yes</v>
      </c>
      <c r="D212" t="s">
        <v>960</v>
      </c>
      <c r="E212" t="s">
        <v>1172</v>
      </c>
      <c r="F212" t="str" cm="1">
        <f t="array" ref="F212">IF(OR(COUNTIF(D212,"*"&amp;Preprocessing!$T$9:$T$15&amp;"*")),"Female","Male")</f>
        <v>Female</v>
      </c>
      <c r="G212">
        <v>35</v>
      </c>
      <c r="H212">
        <v>0</v>
      </c>
      <c r="I212">
        <v>0</v>
      </c>
      <c r="J212">
        <v>2</v>
      </c>
      <c r="K212">
        <v>21</v>
      </c>
      <c r="L212">
        <f t="shared" si="16"/>
        <v>1</v>
      </c>
      <c r="M212">
        <f t="shared" si="17"/>
        <v>35</v>
      </c>
      <c r="N212" t="str">
        <f t="shared" si="18"/>
        <v>Adult</v>
      </c>
      <c r="O212">
        <f t="shared" si="19"/>
        <v>21</v>
      </c>
    </row>
    <row r="213" spans="1:15" x14ac:dyDescent="0.3">
      <c r="A213">
        <v>212</v>
      </c>
      <c r="B213">
        <v>0</v>
      </c>
      <c r="C213" t="str">
        <f t="shared" si="15"/>
        <v>No</v>
      </c>
      <c r="D213" t="s">
        <v>956</v>
      </c>
      <c r="E213" t="s">
        <v>1173</v>
      </c>
      <c r="F213" t="str" cm="1">
        <f t="array" ref="F213">IF(OR(COUNTIF(D213,"*"&amp;Preprocessing!$T$9:$T$15&amp;"*")),"Female","Male")</f>
        <v>Male</v>
      </c>
      <c r="G213">
        <v>22</v>
      </c>
      <c r="H213">
        <v>0</v>
      </c>
      <c r="I213">
        <v>0</v>
      </c>
      <c r="J213">
        <v>3</v>
      </c>
      <c r="K213">
        <v>7.25</v>
      </c>
      <c r="L213">
        <f t="shared" si="16"/>
        <v>0</v>
      </c>
      <c r="M213">
        <f t="shared" si="17"/>
        <v>22</v>
      </c>
      <c r="N213" t="str">
        <f t="shared" si="18"/>
        <v>Adult</v>
      </c>
      <c r="O213">
        <f t="shared" si="19"/>
        <v>7.25</v>
      </c>
    </row>
    <row r="214" spans="1:15" x14ac:dyDescent="0.3">
      <c r="A214">
        <v>213</v>
      </c>
      <c r="B214">
        <v>0</v>
      </c>
      <c r="C214" t="str">
        <f t="shared" si="15"/>
        <v>No</v>
      </c>
      <c r="D214" t="s">
        <v>956</v>
      </c>
      <c r="E214" t="s">
        <v>1174</v>
      </c>
      <c r="F214" t="str" cm="1">
        <f t="array" ref="F214">IF(OR(COUNTIF(D214,"*"&amp;Preprocessing!$T$9:$T$15&amp;"*")),"Female","Male")</f>
        <v>Male</v>
      </c>
      <c r="G214">
        <v>30</v>
      </c>
      <c r="H214">
        <v>0</v>
      </c>
      <c r="I214">
        <v>0</v>
      </c>
      <c r="J214">
        <v>2</v>
      </c>
      <c r="K214">
        <v>13</v>
      </c>
      <c r="L214">
        <f t="shared" si="16"/>
        <v>0</v>
      </c>
      <c r="M214">
        <f t="shared" si="17"/>
        <v>30</v>
      </c>
      <c r="N214" t="str">
        <f t="shared" si="18"/>
        <v>Adult</v>
      </c>
      <c r="O214">
        <f t="shared" si="19"/>
        <v>13</v>
      </c>
    </row>
    <row r="215" spans="1:15" x14ac:dyDescent="0.3">
      <c r="A215">
        <v>214</v>
      </c>
      <c r="B215">
        <v>0</v>
      </c>
      <c r="C215" t="str">
        <f t="shared" si="15"/>
        <v>No</v>
      </c>
      <c r="D215" t="s">
        <v>956</v>
      </c>
      <c r="E215" t="s">
        <v>1175</v>
      </c>
      <c r="F215" t="str" cm="1">
        <f t="array" ref="F215">IF(OR(COUNTIF(D215,"*"&amp;Preprocessing!$T$9:$T$15&amp;"*")),"Female","Male")</f>
        <v>Male</v>
      </c>
      <c r="G215">
        <v>22</v>
      </c>
      <c r="H215">
        <v>1</v>
      </c>
      <c r="I215">
        <v>0</v>
      </c>
      <c r="J215">
        <v>3</v>
      </c>
      <c r="K215">
        <v>7.75</v>
      </c>
      <c r="L215">
        <f t="shared" si="16"/>
        <v>0</v>
      </c>
      <c r="M215">
        <f t="shared" si="17"/>
        <v>22</v>
      </c>
      <c r="N215" t="str">
        <f t="shared" si="18"/>
        <v>Adult</v>
      </c>
      <c r="O215">
        <f t="shared" si="19"/>
        <v>7.75</v>
      </c>
    </row>
    <row r="216" spans="1:15" x14ac:dyDescent="0.3">
      <c r="A216">
        <v>215</v>
      </c>
      <c r="B216">
        <v>1</v>
      </c>
      <c r="C216" t="str">
        <f t="shared" si="15"/>
        <v>Yes</v>
      </c>
      <c r="D216" t="s">
        <v>960</v>
      </c>
      <c r="E216" t="s">
        <v>1176</v>
      </c>
      <c r="F216" t="str" cm="1">
        <f t="array" ref="F216">IF(OR(COUNTIF(D216,"*"&amp;Preprocessing!$T$9:$T$15&amp;"*")),"Female","Male")</f>
        <v>Female</v>
      </c>
      <c r="G216">
        <v>31</v>
      </c>
      <c r="H216">
        <v>1</v>
      </c>
      <c r="I216">
        <v>0</v>
      </c>
      <c r="J216">
        <v>1</v>
      </c>
      <c r="K216">
        <v>113.27500000000001</v>
      </c>
      <c r="L216">
        <f t="shared" si="16"/>
        <v>1</v>
      </c>
      <c r="M216">
        <f t="shared" si="17"/>
        <v>31</v>
      </c>
      <c r="N216" t="str">
        <f t="shared" si="18"/>
        <v>Adult</v>
      </c>
      <c r="O216">
        <f t="shared" si="19"/>
        <v>113.28</v>
      </c>
    </row>
    <row r="217" spans="1:15" x14ac:dyDescent="0.3">
      <c r="A217">
        <v>216</v>
      </c>
      <c r="B217">
        <v>1</v>
      </c>
      <c r="C217" t="str">
        <f t="shared" si="15"/>
        <v>Yes</v>
      </c>
      <c r="D217" t="s">
        <v>960</v>
      </c>
      <c r="E217" t="s">
        <v>1177</v>
      </c>
      <c r="F217" t="str" cm="1">
        <f t="array" ref="F217">IF(OR(COUNTIF(D217,"*"&amp;Preprocessing!$T$9:$T$15&amp;"*")),"Female","Male")</f>
        <v>Female</v>
      </c>
      <c r="G217">
        <v>27</v>
      </c>
      <c r="H217">
        <v>0</v>
      </c>
      <c r="I217">
        <v>0</v>
      </c>
      <c r="J217">
        <v>3</v>
      </c>
      <c r="K217">
        <v>7.9249999999999998</v>
      </c>
      <c r="L217">
        <f t="shared" si="16"/>
        <v>1</v>
      </c>
      <c r="M217">
        <f t="shared" si="17"/>
        <v>27</v>
      </c>
      <c r="N217" t="str">
        <f t="shared" si="18"/>
        <v>Adult</v>
      </c>
      <c r="O217">
        <f t="shared" si="19"/>
        <v>7.93</v>
      </c>
    </row>
    <row r="218" spans="1:15" x14ac:dyDescent="0.3">
      <c r="A218">
        <v>217</v>
      </c>
      <c r="B218">
        <v>0</v>
      </c>
      <c r="C218" t="str">
        <f t="shared" si="15"/>
        <v>No</v>
      </c>
      <c r="D218" t="s">
        <v>956</v>
      </c>
      <c r="E218" t="s">
        <v>1178</v>
      </c>
      <c r="F218" t="str" cm="1">
        <f t="array" ref="F218">IF(OR(COUNTIF(D218,"*"&amp;Preprocessing!$T$9:$T$15&amp;"*")),"Female","Male")</f>
        <v>Male</v>
      </c>
      <c r="G218">
        <v>42</v>
      </c>
      <c r="H218">
        <v>1</v>
      </c>
      <c r="I218">
        <v>0</v>
      </c>
      <c r="J218">
        <v>2</v>
      </c>
      <c r="K218">
        <v>27</v>
      </c>
      <c r="L218">
        <f t="shared" si="16"/>
        <v>0</v>
      </c>
      <c r="M218">
        <f t="shared" si="17"/>
        <v>42</v>
      </c>
      <c r="N218" t="str">
        <f t="shared" si="18"/>
        <v>Adult</v>
      </c>
      <c r="O218">
        <f t="shared" si="19"/>
        <v>27</v>
      </c>
    </row>
    <row r="219" spans="1:15" x14ac:dyDescent="0.3">
      <c r="A219">
        <v>218</v>
      </c>
      <c r="B219">
        <v>1</v>
      </c>
      <c r="C219" t="str">
        <f t="shared" si="15"/>
        <v>Yes</v>
      </c>
      <c r="D219" t="s">
        <v>960</v>
      </c>
      <c r="E219" t="s">
        <v>1179</v>
      </c>
      <c r="F219" t="str" cm="1">
        <f t="array" ref="F219">IF(OR(COUNTIF(D219,"*"&amp;Preprocessing!$T$9:$T$15&amp;"*")),"Female","Male")</f>
        <v>Female</v>
      </c>
      <c r="G219">
        <v>32</v>
      </c>
      <c r="H219">
        <v>0</v>
      </c>
      <c r="I219">
        <v>0</v>
      </c>
      <c r="J219">
        <v>1</v>
      </c>
      <c r="K219">
        <v>76.291700000000006</v>
      </c>
      <c r="L219">
        <f t="shared" si="16"/>
        <v>1</v>
      </c>
      <c r="M219">
        <f t="shared" si="17"/>
        <v>32</v>
      </c>
      <c r="N219" t="str">
        <f t="shared" si="18"/>
        <v>Adult</v>
      </c>
      <c r="O219">
        <f t="shared" si="19"/>
        <v>76.290000000000006</v>
      </c>
    </row>
    <row r="220" spans="1:15" x14ac:dyDescent="0.3">
      <c r="A220">
        <v>219</v>
      </c>
      <c r="B220">
        <v>0</v>
      </c>
      <c r="C220" t="str">
        <f t="shared" si="15"/>
        <v>No</v>
      </c>
      <c r="D220" t="s">
        <v>956</v>
      </c>
      <c r="E220" t="s">
        <v>1180</v>
      </c>
      <c r="F220" t="str" cm="1">
        <f t="array" ref="F220">IF(OR(COUNTIF(D220,"*"&amp;Preprocessing!$T$9:$T$15&amp;"*")),"Female","Male")</f>
        <v>Male</v>
      </c>
      <c r="G220">
        <v>30</v>
      </c>
      <c r="H220">
        <v>0</v>
      </c>
      <c r="I220">
        <v>0</v>
      </c>
      <c r="J220">
        <v>2</v>
      </c>
      <c r="K220">
        <v>10.5</v>
      </c>
      <c r="L220">
        <f t="shared" si="16"/>
        <v>0</v>
      </c>
      <c r="M220">
        <f t="shared" si="17"/>
        <v>30</v>
      </c>
      <c r="N220" t="str">
        <f t="shared" si="18"/>
        <v>Adult</v>
      </c>
      <c r="O220">
        <f t="shared" si="19"/>
        <v>10.5</v>
      </c>
    </row>
    <row r="221" spans="1:15" x14ac:dyDescent="0.3">
      <c r="A221">
        <v>220</v>
      </c>
      <c r="B221">
        <v>1</v>
      </c>
      <c r="C221" t="str">
        <f t="shared" si="15"/>
        <v>Yes</v>
      </c>
      <c r="D221" t="s">
        <v>956</v>
      </c>
      <c r="E221" t="s">
        <v>1181</v>
      </c>
      <c r="F221" t="str" cm="1">
        <f t="array" ref="F221">IF(OR(COUNTIF(D221,"*"&amp;Preprocessing!$T$9:$T$15&amp;"*")),"Female","Male")</f>
        <v>Male</v>
      </c>
      <c r="G221">
        <v>16</v>
      </c>
      <c r="H221">
        <v>0</v>
      </c>
      <c r="I221">
        <v>0</v>
      </c>
      <c r="J221">
        <v>3</v>
      </c>
      <c r="K221">
        <v>8.0500000000000007</v>
      </c>
      <c r="L221">
        <f t="shared" si="16"/>
        <v>0</v>
      </c>
      <c r="M221">
        <f t="shared" si="17"/>
        <v>16</v>
      </c>
      <c r="N221" t="str">
        <f t="shared" si="18"/>
        <v>Child</v>
      </c>
      <c r="O221">
        <f t="shared" si="19"/>
        <v>8.0500000000000007</v>
      </c>
    </row>
    <row r="222" spans="1:15" x14ac:dyDescent="0.3">
      <c r="A222">
        <v>221</v>
      </c>
      <c r="B222">
        <v>0</v>
      </c>
      <c r="C222" t="str">
        <f t="shared" si="15"/>
        <v>No</v>
      </c>
      <c r="D222" t="s">
        <v>956</v>
      </c>
      <c r="E222" t="s">
        <v>1182</v>
      </c>
      <c r="F222" t="str" cm="1">
        <f t="array" ref="F222">IF(OR(COUNTIF(D222,"*"&amp;Preprocessing!$T$9:$T$15&amp;"*")),"Female","Male")</f>
        <v>Male</v>
      </c>
      <c r="G222">
        <v>27</v>
      </c>
      <c r="H222">
        <v>0</v>
      </c>
      <c r="I222">
        <v>0</v>
      </c>
      <c r="J222">
        <v>2</v>
      </c>
      <c r="K222">
        <v>13</v>
      </c>
      <c r="L222">
        <f t="shared" si="16"/>
        <v>0</v>
      </c>
      <c r="M222">
        <f t="shared" si="17"/>
        <v>27</v>
      </c>
      <c r="N222" t="str">
        <f t="shared" si="18"/>
        <v>Adult</v>
      </c>
      <c r="O222">
        <f t="shared" si="19"/>
        <v>13</v>
      </c>
    </row>
    <row r="223" spans="1:15" x14ac:dyDescent="0.3">
      <c r="A223">
        <v>222</v>
      </c>
      <c r="B223">
        <v>0</v>
      </c>
      <c r="C223" t="str">
        <f t="shared" si="15"/>
        <v>No</v>
      </c>
      <c r="D223" t="s">
        <v>956</v>
      </c>
      <c r="E223" t="s">
        <v>1183</v>
      </c>
      <c r="F223" t="str" cm="1">
        <f t="array" ref="F223">IF(OR(COUNTIF(D223,"*"&amp;Preprocessing!$T$9:$T$15&amp;"*")),"Female","Male")</f>
        <v>Male</v>
      </c>
      <c r="G223">
        <v>51</v>
      </c>
      <c r="H223">
        <v>0</v>
      </c>
      <c r="I223">
        <v>0</v>
      </c>
      <c r="J223">
        <v>3</v>
      </c>
      <c r="K223">
        <v>8.0500000000000007</v>
      </c>
      <c r="L223">
        <f t="shared" si="16"/>
        <v>0</v>
      </c>
      <c r="M223">
        <f t="shared" si="17"/>
        <v>51</v>
      </c>
      <c r="N223" t="str">
        <f t="shared" si="18"/>
        <v>Adult</v>
      </c>
      <c r="O223">
        <f t="shared" si="19"/>
        <v>8.0500000000000007</v>
      </c>
    </row>
    <row r="224" spans="1:15" x14ac:dyDescent="0.3">
      <c r="A224">
        <v>223</v>
      </c>
      <c r="B224">
        <v>0</v>
      </c>
      <c r="C224" t="str">
        <f t="shared" si="15"/>
        <v>No</v>
      </c>
      <c r="D224" t="s">
        <v>956</v>
      </c>
      <c r="E224" t="s">
        <v>1184</v>
      </c>
      <c r="F224" t="str" cm="1">
        <f t="array" ref="F224">IF(OR(COUNTIF(D224,"*"&amp;Preprocessing!$T$9:$T$15&amp;"*")),"Female","Male")</f>
        <v>Male</v>
      </c>
      <c r="G224">
        <v>22</v>
      </c>
      <c r="H224">
        <v>0</v>
      </c>
      <c r="I224">
        <v>0</v>
      </c>
      <c r="J224">
        <v>3</v>
      </c>
      <c r="K224">
        <v>7.8958000000000004</v>
      </c>
      <c r="L224">
        <f t="shared" si="16"/>
        <v>0</v>
      </c>
      <c r="M224">
        <f t="shared" si="17"/>
        <v>22</v>
      </c>
      <c r="N224" t="str">
        <f t="shared" si="18"/>
        <v>Adult</v>
      </c>
      <c r="O224">
        <f t="shared" si="19"/>
        <v>7.9</v>
      </c>
    </row>
    <row r="225" spans="1:15" x14ac:dyDescent="0.3">
      <c r="A225">
        <v>224</v>
      </c>
      <c r="B225">
        <v>1</v>
      </c>
      <c r="C225" t="str">
        <f t="shared" si="15"/>
        <v>Yes</v>
      </c>
      <c r="D225" t="s">
        <v>956</v>
      </c>
      <c r="E225" t="s">
        <v>1185</v>
      </c>
      <c r="F225" t="str" cm="1">
        <f t="array" ref="F225">IF(OR(COUNTIF(D225,"*"&amp;Preprocessing!$T$9:$T$15&amp;"*")),"Female","Male")</f>
        <v>Male</v>
      </c>
      <c r="G225">
        <v>38</v>
      </c>
      <c r="H225">
        <v>1</v>
      </c>
      <c r="I225">
        <v>0</v>
      </c>
      <c r="J225">
        <v>1</v>
      </c>
      <c r="K225">
        <v>90</v>
      </c>
      <c r="L225">
        <f t="shared" si="16"/>
        <v>0</v>
      </c>
      <c r="M225">
        <f t="shared" si="17"/>
        <v>38</v>
      </c>
      <c r="N225" t="str">
        <f t="shared" si="18"/>
        <v>Adult</v>
      </c>
      <c r="O225">
        <f t="shared" si="19"/>
        <v>90</v>
      </c>
    </row>
    <row r="226" spans="1:15" x14ac:dyDescent="0.3">
      <c r="A226">
        <v>225</v>
      </c>
      <c r="B226">
        <v>0</v>
      </c>
      <c r="C226" t="str">
        <f t="shared" si="15"/>
        <v>No</v>
      </c>
      <c r="D226" t="s">
        <v>956</v>
      </c>
      <c r="E226" t="s">
        <v>1186</v>
      </c>
      <c r="F226" t="str" cm="1">
        <f t="array" ref="F226">IF(OR(COUNTIF(D226,"*"&amp;Preprocessing!$T$9:$T$15&amp;"*")),"Female","Male")</f>
        <v>Male</v>
      </c>
      <c r="G226">
        <v>22</v>
      </c>
      <c r="H226">
        <v>0</v>
      </c>
      <c r="I226">
        <v>0</v>
      </c>
      <c r="J226">
        <v>3</v>
      </c>
      <c r="K226">
        <v>9.35</v>
      </c>
      <c r="L226">
        <f t="shared" si="16"/>
        <v>0</v>
      </c>
      <c r="M226">
        <f t="shared" si="17"/>
        <v>22</v>
      </c>
      <c r="N226" t="str">
        <f t="shared" si="18"/>
        <v>Adult</v>
      </c>
      <c r="O226">
        <f t="shared" si="19"/>
        <v>9.35</v>
      </c>
    </row>
    <row r="227" spans="1:15" x14ac:dyDescent="0.3">
      <c r="A227">
        <v>226</v>
      </c>
      <c r="B227">
        <v>1</v>
      </c>
      <c r="C227" t="str">
        <f t="shared" si="15"/>
        <v>Yes</v>
      </c>
      <c r="D227" t="s">
        <v>956</v>
      </c>
      <c r="E227" t="s">
        <v>1187</v>
      </c>
      <c r="F227" t="str" cm="1">
        <f t="array" ref="F227">IF(OR(COUNTIF(D227,"*"&amp;Preprocessing!$T$9:$T$15&amp;"*")),"Female","Male")</f>
        <v>Male</v>
      </c>
      <c r="G227">
        <v>19</v>
      </c>
      <c r="H227">
        <v>0</v>
      </c>
      <c r="I227">
        <v>0</v>
      </c>
      <c r="J227">
        <v>2</v>
      </c>
      <c r="K227">
        <v>10.5</v>
      </c>
      <c r="L227">
        <f t="shared" si="16"/>
        <v>0</v>
      </c>
      <c r="M227">
        <f t="shared" si="17"/>
        <v>19</v>
      </c>
      <c r="N227" t="str">
        <f t="shared" si="18"/>
        <v>Adult</v>
      </c>
      <c r="O227">
        <f t="shared" si="19"/>
        <v>10.5</v>
      </c>
    </row>
    <row r="228" spans="1:15" x14ac:dyDescent="0.3">
      <c r="A228">
        <v>227</v>
      </c>
      <c r="B228">
        <v>0</v>
      </c>
      <c r="C228" t="str">
        <f t="shared" si="15"/>
        <v>No</v>
      </c>
      <c r="D228" t="s">
        <v>956</v>
      </c>
      <c r="E228" t="s">
        <v>1188</v>
      </c>
      <c r="F228" t="str" cm="1">
        <f t="array" ref="F228">IF(OR(COUNTIF(D228,"*"&amp;Preprocessing!$T$9:$T$15&amp;"*")),"Female","Male")</f>
        <v>Male</v>
      </c>
      <c r="G228">
        <v>20.5</v>
      </c>
      <c r="H228">
        <v>0</v>
      </c>
      <c r="I228">
        <v>0</v>
      </c>
      <c r="J228">
        <v>3</v>
      </c>
      <c r="K228">
        <v>7.25</v>
      </c>
      <c r="L228">
        <f t="shared" si="16"/>
        <v>0</v>
      </c>
      <c r="M228">
        <f t="shared" si="17"/>
        <v>21</v>
      </c>
      <c r="N228" t="str">
        <f t="shared" si="18"/>
        <v>Adult</v>
      </c>
      <c r="O228">
        <f t="shared" si="19"/>
        <v>7.25</v>
      </c>
    </row>
    <row r="229" spans="1:15" x14ac:dyDescent="0.3">
      <c r="A229">
        <v>228</v>
      </c>
      <c r="B229">
        <v>0</v>
      </c>
      <c r="C229" t="str">
        <f t="shared" si="15"/>
        <v>No</v>
      </c>
      <c r="D229" t="s">
        <v>956</v>
      </c>
      <c r="E229" t="s">
        <v>1189</v>
      </c>
      <c r="F229" t="str" cm="1">
        <f t="array" ref="F229">IF(OR(COUNTIF(D229,"*"&amp;Preprocessing!$T$9:$T$15&amp;"*")),"Female","Male")</f>
        <v>Male</v>
      </c>
      <c r="G229">
        <v>18</v>
      </c>
      <c r="H229">
        <v>0</v>
      </c>
      <c r="I229">
        <v>0</v>
      </c>
      <c r="J229">
        <v>2</v>
      </c>
      <c r="K229">
        <v>13</v>
      </c>
      <c r="L229">
        <f t="shared" si="16"/>
        <v>0</v>
      </c>
      <c r="M229">
        <f t="shared" si="17"/>
        <v>18</v>
      </c>
      <c r="N229" t="str">
        <f t="shared" si="18"/>
        <v>Adult</v>
      </c>
      <c r="O229">
        <f t="shared" si="19"/>
        <v>13</v>
      </c>
    </row>
    <row r="230" spans="1:15" x14ac:dyDescent="0.3">
      <c r="A230">
        <v>229</v>
      </c>
      <c r="B230">
        <v>0</v>
      </c>
      <c r="C230" t="str">
        <f t="shared" si="15"/>
        <v>No</v>
      </c>
      <c r="D230" t="s">
        <v>960</v>
      </c>
      <c r="E230" t="s">
        <v>1190</v>
      </c>
      <c r="F230" t="str" cm="1">
        <f t="array" ref="F230">IF(OR(COUNTIF(D230,"*"&amp;Preprocessing!$T$9:$T$15&amp;"*")),"Female","Male")</f>
        <v>Female</v>
      </c>
      <c r="G230">
        <v>12</v>
      </c>
      <c r="H230">
        <v>3</v>
      </c>
      <c r="I230">
        <v>1</v>
      </c>
      <c r="J230">
        <v>3</v>
      </c>
      <c r="K230">
        <v>25.466699999999999</v>
      </c>
      <c r="L230">
        <f t="shared" si="16"/>
        <v>1</v>
      </c>
      <c r="M230">
        <f t="shared" si="17"/>
        <v>12</v>
      </c>
      <c r="N230" t="str">
        <f t="shared" si="18"/>
        <v>Child</v>
      </c>
      <c r="O230">
        <f t="shared" si="19"/>
        <v>25.47</v>
      </c>
    </row>
    <row r="231" spans="1:15" x14ac:dyDescent="0.3">
      <c r="A231">
        <v>230</v>
      </c>
      <c r="B231">
        <v>1</v>
      </c>
      <c r="C231" t="str">
        <f t="shared" si="15"/>
        <v>Yes</v>
      </c>
      <c r="D231" t="s">
        <v>958</v>
      </c>
      <c r="E231" t="s">
        <v>1191</v>
      </c>
      <c r="F231" t="str" cm="1">
        <f t="array" ref="F231">IF(OR(COUNTIF(D231,"*"&amp;Preprocessing!$T$9:$T$15&amp;"*")),"Female","Male")</f>
        <v>Female</v>
      </c>
      <c r="G231">
        <v>35</v>
      </c>
      <c r="H231">
        <v>1</v>
      </c>
      <c r="I231">
        <v>0</v>
      </c>
      <c r="J231">
        <v>1</v>
      </c>
      <c r="K231">
        <v>83.474999999999994</v>
      </c>
      <c r="L231">
        <f t="shared" si="16"/>
        <v>1</v>
      </c>
      <c r="M231">
        <f t="shared" si="17"/>
        <v>35</v>
      </c>
      <c r="N231" t="str">
        <f t="shared" si="18"/>
        <v>Adult</v>
      </c>
      <c r="O231">
        <f t="shared" si="19"/>
        <v>83.48</v>
      </c>
    </row>
    <row r="232" spans="1:15" x14ac:dyDescent="0.3">
      <c r="A232">
        <v>231</v>
      </c>
      <c r="B232">
        <v>0</v>
      </c>
      <c r="C232" t="str">
        <f t="shared" si="15"/>
        <v>No</v>
      </c>
      <c r="D232" t="s">
        <v>956</v>
      </c>
      <c r="E232" t="s">
        <v>1192</v>
      </c>
      <c r="F232" t="str" cm="1">
        <f t="array" ref="F232">IF(OR(COUNTIF(D232,"*"&amp;Preprocessing!$T$9:$T$15&amp;"*")),"Female","Male")</f>
        <v>Male</v>
      </c>
      <c r="G232">
        <v>29</v>
      </c>
      <c r="H232">
        <v>0</v>
      </c>
      <c r="I232">
        <v>0</v>
      </c>
      <c r="J232">
        <v>3</v>
      </c>
      <c r="K232">
        <v>7.7750000000000004</v>
      </c>
      <c r="L232">
        <f t="shared" si="16"/>
        <v>0</v>
      </c>
      <c r="M232">
        <f t="shared" si="17"/>
        <v>29</v>
      </c>
      <c r="N232" t="str">
        <f t="shared" si="18"/>
        <v>Adult</v>
      </c>
      <c r="O232">
        <f t="shared" si="19"/>
        <v>7.78</v>
      </c>
    </row>
    <row r="233" spans="1:15" x14ac:dyDescent="0.3">
      <c r="A233">
        <v>232</v>
      </c>
      <c r="B233">
        <v>0</v>
      </c>
      <c r="C233" t="str">
        <f t="shared" si="15"/>
        <v>No</v>
      </c>
      <c r="D233" t="s">
        <v>956</v>
      </c>
      <c r="E233" t="s">
        <v>1193</v>
      </c>
      <c r="F233" t="str" cm="1">
        <f t="array" ref="F233">IF(OR(COUNTIF(D233,"*"&amp;Preprocessing!$T$9:$T$15&amp;"*")),"Female","Male")</f>
        <v>Male</v>
      </c>
      <c r="G233">
        <v>59</v>
      </c>
      <c r="H233">
        <v>0</v>
      </c>
      <c r="I233">
        <v>0</v>
      </c>
      <c r="J233">
        <v>2</v>
      </c>
      <c r="K233">
        <v>13.5</v>
      </c>
      <c r="L233">
        <f t="shared" si="16"/>
        <v>0</v>
      </c>
      <c r="M233">
        <f t="shared" si="17"/>
        <v>59</v>
      </c>
      <c r="N233" t="str">
        <f t="shared" si="18"/>
        <v>Adult</v>
      </c>
      <c r="O233">
        <f t="shared" si="19"/>
        <v>13.5</v>
      </c>
    </row>
    <row r="234" spans="1:15" x14ac:dyDescent="0.3">
      <c r="A234">
        <v>233</v>
      </c>
      <c r="B234">
        <v>1</v>
      </c>
      <c r="C234" t="str">
        <f t="shared" si="15"/>
        <v>Yes</v>
      </c>
      <c r="D234" t="s">
        <v>960</v>
      </c>
      <c r="E234" t="s">
        <v>1194</v>
      </c>
      <c r="F234" t="str" cm="1">
        <f t="array" ref="F234">IF(OR(COUNTIF(D234,"*"&amp;Preprocessing!$T$9:$T$15&amp;"*")),"Female","Male")</f>
        <v>Female</v>
      </c>
      <c r="G234">
        <v>5</v>
      </c>
      <c r="H234">
        <v>4</v>
      </c>
      <c r="I234">
        <v>2</v>
      </c>
      <c r="J234">
        <v>3</v>
      </c>
      <c r="K234">
        <v>31.387499999999999</v>
      </c>
      <c r="L234">
        <f t="shared" si="16"/>
        <v>1</v>
      </c>
      <c r="M234">
        <f t="shared" si="17"/>
        <v>5</v>
      </c>
      <c r="N234" t="str">
        <f t="shared" si="18"/>
        <v>Child</v>
      </c>
      <c r="O234">
        <f t="shared" si="19"/>
        <v>31.39</v>
      </c>
    </row>
    <row r="235" spans="1:15" x14ac:dyDescent="0.3">
      <c r="A235">
        <v>234</v>
      </c>
      <c r="B235">
        <v>0</v>
      </c>
      <c r="C235" t="str">
        <f t="shared" si="15"/>
        <v>No</v>
      </c>
      <c r="D235" t="s">
        <v>956</v>
      </c>
      <c r="E235" t="s">
        <v>1195</v>
      </c>
      <c r="F235" t="str" cm="1">
        <f t="array" ref="F235">IF(OR(COUNTIF(D235,"*"&amp;Preprocessing!$T$9:$T$15&amp;"*")),"Female","Male")</f>
        <v>Male</v>
      </c>
      <c r="G235">
        <v>24</v>
      </c>
      <c r="H235">
        <v>0</v>
      </c>
      <c r="I235">
        <v>0</v>
      </c>
      <c r="J235">
        <v>2</v>
      </c>
      <c r="K235">
        <v>10.5</v>
      </c>
      <c r="L235">
        <f t="shared" si="16"/>
        <v>0</v>
      </c>
      <c r="M235">
        <f t="shared" si="17"/>
        <v>24</v>
      </c>
      <c r="N235" t="str">
        <f t="shared" si="18"/>
        <v>Adult</v>
      </c>
      <c r="O235">
        <f t="shared" si="19"/>
        <v>10.5</v>
      </c>
    </row>
    <row r="236" spans="1:15" x14ac:dyDescent="0.3">
      <c r="A236">
        <v>235</v>
      </c>
      <c r="B236">
        <v>0</v>
      </c>
      <c r="C236" t="str">
        <f t="shared" si="15"/>
        <v>No</v>
      </c>
      <c r="D236" t="s">
        <v>960</v>
      </c>
      <c r="E236" t="s">
        <v>1196</v>
      </c>
      <c r="F236" t="str" cm="1">
        <f t="array" ref="F236">IF(OR(COUNTIF(D236,"*"&amp;Preprocessing!$T$9:$T$15&amp;"*")),"Female","Male")</f>
        <v>Female</v>
      </c>
      <c r="G236">
        <v>21</v>
      </c>
      <c r="H236">
        <v>0</v>
      </c>
      <c r="I236">
        <v>0</v>
      </c>
      <c r="J236">
        <v>3</v>
      </c>
      <c r="K236">
        <v>7.55</v>
      </c>
      <c r="L236">
        <f t="shared" si="16"/>
        <v>1</v>
      </c>
      <c r="M236">
        <f t="shared" si="17"/>
        <v>21</v>
      </c>
      <c r="N236" t="str">
        <f t="shared" si="18"/>
        <v>Adult</v>
      </c>
      <c r="O236">
        <f t="shared" si="19"/>
        <v>7.55</v>
      </c>
    </row>
    <row r="237" spans="1:15" x14ac:dyDescent="0.3">
      <c r="A237">
        <v>236</v>
      </c>
      <c r="B237">
        <v>0</v>
      </c>
      <c r="C237" t="str">
        <f t="shared" si="15"/>
        <v>No</v>
      </c>
      <c r="D237" t="s">
        <v>956</v>
      </c>
      <c r="E237" t="s">
        <v>1197</v>
      </c>
      <c r="F237" t="str" cm="1">
        <f t="array" ref="F237">IF(OR(COUNTIF(D237,"*"&amp;Preprocessing!$T$9:$T$15&amp;"*")),"Female","Male")</f>
        <v>Male</v>
      </c>
      <c r="G237">
        <v>44</v>
      </c>
      <c r="H237">
        <v>1</v>
      </c>
      <c r="I237">
        <v>0</v>
      </c>
      <c r="J237">
        <v>2</v>
      </c>
      <c r="K237">
        <v>26</v>
      </c>
      <c r="L237">
        <f t="shared" si="16"/>
        <v>0</v>
      </c>
      <c r="M237">
        <f t="shared" si="17"/>
        <v>44</v>
      </c>
      <c r="N237" t="str">
        <f t="shared" si="18"/>
        <v>Adult</v>
      </c>
      <c r="O237">
        <f t="shared" si="19"/>
        <v>26</v>
      </c>
    </row>
    <row r="238" spans="1:15" x14ac:dyDescent="0.3">
      <c r="A238">
        <v>237</v>
      </c>
      <c r="B238">
        <v>1</v>
      </c>
      <c r="C238" t="str">
        <f t="shared" si="15"/>
        <v>Yes</v>
      </c>
      <c r="D238" t="s">
        <v>960</v>
      </c>
      <c r="E238" t="s">
        <v>1198</v>
      </c>
      <c r="F238" t="str" cm="1">
        <f t="array" ref="F238">IF(OR(COUNTIF(D238,"*"&amp;Preprocessing!$T$9:$T$15&amp;"*")),"Female","Male")</f>
        <v>Female</v>
      </c>
      <c r="G238">
        <v>8</v>
      </c>
      <c r="H238">
        <v>0</v>
      </c>
      <c r="I238">
        <v>2</v>
      </c>
      <c r="J238">
        <v>2</v>
      </c>
      <c r="K238">
        <v>26.25</v>
      </c>
      <c r="L238">
        <f t="shared" si="16"/>
        <v>1</v>
      </c>
      <c r="M238">
        <f t="shared" si="17"/>
        <v>8</v>
      </c>
      <c r="N238" t="str">
        <f t="shared" si="18"/>
        <v>Child</v>
      </c>
      <c r="O238">
        <f t="shared" si="19"/>
        <v>26.25</v>
      </c>
    </row>
    <row r="239" spans="1:15" x14ac:dyDescent="0.3">
      <c r="A239">
        <v>238</v>
      </c>
      <c r="B239">
        <v>0</v>
      </c>
      <c r="C239" t="str">
        <f t="shared" si="15"/>
        <v>No</v>
      </c>
      <c r="D239" t="s">
        <v>956</v>
      </c>
      <c r="E239" t="s">
        <v>1199</v>
      </c>
      <c r="F239" t="str" cm="1">
        <f t="array" ref="F239">IF(OR(COUNTIF(D239,"*"&amp;Preprocessing!$T$9:$T$15&amp;"*")),"Female","Male")</f>
        <v>Male</v>
      </c>
      <c r="G239">
        <v>19</v>
      </c>
      <c r="H239">
        <v>0</v>
      </c>
      <c r="I239">
        <v>0</v>
      </c>
      <c r="J239">
        <v>2</v>
      </c>
      <c r="K239">
        <v>10.5</v>
      </c>
      <c r="L239">
        <f t="shared" si="16"/>
        <v>0</v>
      </c>
      <c r="M239">
        <f t="shared" si="17"/>
        <v>19</v>
      </c>
      <c r="N239" t="str">
        <f t="shared" si="18"/>
        <v>Adult</v>
      </c>
      <c r="O239">
        <f t="shared" si="19"/>
        <v>10.5</v>
      </c>
    </row>
    <row r="240" spans="1:15" x14ac:dyDescent="0.3">
      <c r="A240">
        <v>239</v>
      </c>
      <c r="B240">
        <v>0</v>
      </c>
      <c r="C240" t="str">
        <f t="shared" si="15"/>
        <v>No</v>
      </c>
      <c r="D240" t="s">
        <v>956</v>
      </c>
      <c r="E240" t="s">
        <v>1200</v>
      </c>
      <c r="F240" t="str" cm="1">
        <f t="array" ref="F240">IF(OR(COUNTIF(D240,"*"&amp;Preprocessing!$T$9:$T$15&amp;"*")),"Female","Male")</f>
        <v>Male</v>
      </c>
      <c r="G240">
        <v>33</v>
      </c>
      <c r="H240">
        <v>0</v>
      </c>
      <c r="I240">
        <v>0</v>
      </c>
      <c r="J240">
        <v>2</v>
      </c>
      <c r="K240">
        <v>12.275</v>
      </c>
      <c r="L240">
        <f t="shared" si="16"/>
        <v>0</v>
      </c>
      <c r="M240">
        <f t="shared" si="17"/>
        <v>33</v>
      </c>
      <c r="N240" t="str">
        <f t="shared" si="18"/>
        <v>Adult</v>
      </c>
      <c r="O240">
        <f t="shared" si="19"/>
        <v>12.28</v>
      </c>
    </row>
    <row r="241" spans="1:15" x14ac:dyDescent="0.3">
      <c r="A241">
        <v>240</v>
      </c>
      <c r="B241">
        <v>0</v>
      </c>
      <c r="C241" t="str">
        <f t="shared" si="15"/>
        <v>No</v>
      </c>
      <c r="D241" t="s">
        <v>960</v>
      </c>
      <c r="E241" t="s">
        <v>1201</v>
      </c>
      <c r="F241" t="str" cm="1">
        <f t="array" ref="F241">IF(OR(COUNTIF(D241,"*"&amp;Preprocessing!$T$9:$T$15&amp;"*")),"Female","Male")</f>
        <v>Female</v>
      </c>
      <c r="G241">
        <v>19</v>
      </c>
      <c r="H241">
        <v>1</v>
      </c>
      <c r="I241">
        <v>0</v>
      </c>
      <c r="J241">
        <v>3</v>
      </c>
      <c r="K241">
        <v>14.4542</v>
      </c>
      <c r="L241">
        <f t="shared" si="16"/>
        <v>1</v>
      </c>
      <c r="M241">
        <f t="shared" si="17"/>
        <v>19</v>
      </c>
      <c r="N241" t="str">
        <f t="shared" si="18"/>
        <v>Adult</v>
      </c>
      <c r="O241">
        <f t="shared" si="19"/>
        <v>14.45</v>
      </c>
    </row>
    <row r="242" spans="1:15" x14ac:dyDescent="0.3">
      <c r="A242">
        <v>241</v>
      </c>
      <c r="B242">
        <v>1</v>
      </c>
      <c r="C242" t="str">
        <f t="shared" si="15"/>
        <v>Yes</v>
      </c>
      <c r="D242" t="s">
        <v>960</v>
      </c>
      <c r="E242" t="s">
        <v>1202</v>
      </c>
      <c r="F242" t="str" cm="1">
        <f t="array" ref="F242">IF(OR(COUNTIF(D242,"*"&amp;Preprocessing!$T$9:$T$15&amp;"*")),"Female","Male")</f>
        <v>Female</v>
      </c>
      <c r="G242">
        <v>18</v>
      </c>
      <c r="H242">
        <v>1</v>
      </c>
      <c r="I242">
        <v>0</v>
      </c>
      <c r="J242">
        <v>3</v>
      </c>
      <c r="K242">
        <v>15.5</v>
      </c>
      <c r="L242">
        <f t="shared" si="16"/>
        <v>1</v>
      </c>
      <c r="M242">
        <f t="shared" si="17"/>
        <v>18</v>
      </c>
      <c r="N242" t="str">
        <f t="shared" si="18"/>
        <v>Adult</v>
      </c>
      <c r="O242">
        <f t="shared" si="19"/>
        <v>15.5</v>
      </c>
    </row>
    <row r="243" spans="1:15" x14ac:dyDescent="0.3">
      <c r="A243">
        <v>242</v>
      </c>
      <c r="B243">
        <v>0</v>
      </c>
      <c r="C243" t="str">
        <f t="shared" si="15"/>
        <v>No</v>
      </c>
      <c r="D243" t="s">
        <v>956</v>
      </c>
      <c r="E243" t="s">
        <v>1203</v>
      </c>
      <c r="F243" t="str" cm="1">
        <f t="array" ref="F243">IF(OR(COUNTIF(D243,"*"&amp;Preprocessing!$T$9:$T$15&amp;"*")),"Female","Male")</f>
        <v>Male</v>
      </c>
      <c r="G243">
        <v>29</v>
      </c>
      <c r="H243">
        <v>0</v>
      </c>
      <c r="I243">
        <v>0</v>
      </c>
      <c r="J243">
        <v>2</v>
      </c>
      <c r="K243">
        <v>10.5</v>
      </c>
      <c r="L243">
        <f t="shared" si="16"/>
        <v>0</v>
      </c>
      <c r="M243">
        <f t="shared" si="17"/>
        <v>29</v>
      </c>
      <c r="N243" t="str">
        <f t="shared" si="18"/>
        <v>Adult</v>
      </c>
      <c r="O243">
        <f t="shared" si="19"/>
        <v>10.5</v>
      </c>
    </row>
    <row r="244" spans="1:15" x14ac:dyDescent="0.3">
      <c r="A244">
        <v>243</v>
      </c>
      <c r="B244">
        <v>0</v>
      </c>
      <c r="C244" t="str">
        <f t="shared" si="15"/>
        <v>No</v>
      </c>
      <c r="D244" t="s">
        <v>956</v>
      </c>
      <c r="E244" t="s">
        <v>1204</v>
      </c>
      <c r="F244" t="str" cm="1">
        <f t="array" ref="F244">IF(OR(COUNTIF(D244,"*"&amp;Preprocessing!$T$9:$T$15&amp;"*")),"Female","Male")</f>
        <v>Male</v>
      </c>
      <c r="G244">
        <v>22</v>
      </c>
      <c r="H244">
        <v>0</v>
      </c>
      <c r="I244">
        <v>0</v>
      </c>
      <c r="J244">
        <v>3</v>
      </c>
      <c r="K244">
        <v>7.125</v>
      </c>
      <c r="L244">
        <f t="shared" si="16"/>
        <v>0</v>
      </c>
      <c r="M244">
        <f t="shared" si="17"/>
        <v>22</v>
      </c>
      <c r="N244" t="str">
        <f t="shared" si="18"/>
        <v>Adult</v>
      </c>
      <c r="O244">
        <f t="shared" si="19"/>
        <v>7.13</v>
      </c>
    </row>
    <row r="245" spans="1:15" x14ac:dyDescent="0.3">
      <c r="A245">
        <v>244</v>
      </c>
      <c r="B245">
        <v>0</v>
      </c>
      <c r="C245" t="str">
        <f t="shared" si="15"/>
        <v>No</v>
      </c>
      <c r="D245" t="s">
        <v>956</v>
      </c>
      <c r="E245" t="s">
        <v>1205</v>
      </c>
      <c r="F245" t="str" cm="1">
        <f t="array" ref="F245">IF(OR(COUNTIF(D245,"*"&amp;Preprocessing!$T$9:$T$15&amp;"*")),"Female","Male")</f>
        <v>Male</v>
      </c>
      <c r="G245">
        <v>30</v>
      </c>
      <c r="H245">
        <v>0</v>
      </c>
      <c r="I245">
        <v>0</v>
      </c>
      <c r="J245">
        <v>3</v>
      </c>
      <c r="K245">
        <v>7.2249999999999996</v>
      </c>
      <c r="L245">
        <f t="shared" si="16"/>
        <v>0</v>
      </c>
      <c r="M245">
        <f t="shared" si="17"/>
        <v>30</v>
      </c>
      <c r="N245" t="str">
        <f t="shared" si="18"/>
        <v>Adult</v>
      </c>
      <c r="O245">
        <f t="shared" si="19"/>
        <v>7.23</v>
      </c>
    </row>
    <row r="246" spans="1:15" x14ac:dyDescent="0.3">
      <c r="A246">
        <v>245</v>
      </c>
      <c r="B246">
        <v>0</v>
      </c>
      <c r="C246" t="str">
        <f t="shared" si="15"/>
        <v>No</v>
      </c>
      <c r="D246" t="s">
        <v>1206</v>
      </c>
      <c r="E246" t="s">
        <v>1207</v>
      </c>
      <c r="F246" t="str" cm="1">
        <f t="array" ref="F246">IF(OR(COUNTIF(D246,"*"&amp;Preprocessing!$T$9:$T$15&amp;"*")),"Female","Male")</f>
        <v>Male</v>
      </c>
      <c r="G246">
        <v>44</v>
      </c>
      <c r="H246">
        <v>2</v>
      </c>
      <c r="I246">
        <v>0</v>
      </c>
      <c r="J246">
        <v>1</v>
      </c>
      <c r="K246">
        <v>90</v>
      </c>
      <c r="L246">
        <f t="shared" si="16"/>
        <v>0</v>
      </c>
      <c r="M246">
        <f t="shared" si="17"/>
        <v>44</v>
      </c>
      <c r="N246" t="str">
        <f t="shared" si="18"/>
        <v>Adult</v>
      </c>
      <c r="O246">
        <f t="shared" si="19"/>
        <v>90</v>
      </c>
    </row>
    <row r="247" spans="1:15" x14ac:dyDescent="0.3">
      <c r="A247">
        <v>246</v>
      </c>
      <c r="B247">
        <v>0</v>
      </c>
      <c r="C247" t="str">
        <f t="shared" si="15"/>
        <v>No</v>
      </c>
      <c r="D247" t="s">
        <v>960</v>
      </c>
      <c r="E247" t="s">
        <v>1208</v>
      </c>
      <c r="F247" t="str" cm="1">
        <f t="array" ref="F247">IF(OR(COUNTIF(D247,"*"&amp;Preprocessing!$T$9:$T$15&amp;"*")),"Female","Male")</f>
        <v>Female</v>
      </c>
      <c r="G247">
        <v>25</v>
      </c>
      <c r="H247">
        <v>0</v>
      </c>
      <c r="I247">
        <v>0</v>
      </c>
      <c r="J247">
        <v>3</v>
      </c>
      <c r="K247">
        <v>7.7750000000000004</v>
      </c>
      <c r="L247">
        <f t="shared" si="16"/>
        <v>1</v>
      </c>
      <c r="M247">
        <f t="shared" si="17"/>
        <v>25</v>
      </c>
      <c r="N247" t="str">
        <f t="shared" si="18"/>
        <v>Adult</v>
      </c>
      <c r="O247">
        <f t="shared" si="19"/>
        <v>7.78</v>
      </c>
    </row>
    <row r="248" spans="1:15" x14ac:dyDescent="0.3">
      <c r="A248">
        <v>247</v>
      </c>
      <c r="B248">
        <v>1</v>
      </c>
      <c r="C248" t="str">
        <f t="shared" si="15"/>
        <v>Yes</v>
      </c>
      <c r="D248" t="s">
        <v>958</v>
      </c>
      <c r="E248" t="s">
        <v>1209</v>
      </c>
      <c r="F248" t="str" cm="1">
        <f t="array" ref="F248">IF(OR(COUNTIF(D248,"*"&amp;Preprocessing!$T$9:$T$15&amp;"*")),"Female","Male")</f>
        <v>Female</v>
      </c>
      <c r="G248">
        <v>24</v>
      </c>
      <c r="H248">
        <v>0</v>
      </c>
      <c r="I248">
        <v>2</v>
      </c>
      <c r="J248">
        <v>2</v>
      </c>
      <c r="K248">
        <v>14.5</v>
      </c>
      <c r="L248">
        <f t="shared" si="16"/>
        <v>1</v>
      </c>
      <c r="M248">
        <f t="shared" si="17"/>
        <v>24</v>
      </c>
      <c r="N248" t="str">
        <f t="shared" si="18"/>
        <v>Adult</v>
      </c>
      <c r="O248">
        <f t="shared" si="19"/>
        <v>14.5</v>
      </c>
    </row>
    <row r="249" spans="1:15" x14ac:dyDescent="0.3">
      <c r="A249">
        <v>248</v>
      </c>
      <c r="B249">
        <v>1</v>
      </c>
      <c r="C249" t="str">
        <f t="shared" si="15"/>
        <v>Yes</v>
      </c>
      <c r="D249" t="s">
        <v>956</v>
      </c>
      <c r="E249" t="s">
        <v>1210</v>
      </c>
      <c r="F249" t="str" cm="1">
        <f t="array" ref="F249">IF(OR(COUNTIF(D249,"*"&amp;Preprocessing!$T$9:$T$15&amp;"*")),"Female","Male")</f>
        <v>Male</v>
      </c>
      <c r="G249">
        <v>37</v>
      </c>
      <c r="H249">
        <v>1</v>
      </c>
      <c r="I249">
        <v>1</v>
      </c>
      <c r="J249">
        <v>1</v>
      </c>
      <c r="K249">
        <v>52.554200000000002</v>
      </c>
      <c r="L249">
        <f t="shared" si="16"/>
        <v>0</v>
      </c>
      <c r="M249">
        <f t="shared" si="17"/>
        <v>37</v>
      </c>
      <c r="N249" t="str">
        <f t="shared" si="18"/>
        <v>Adult</v>
      </c>
      <c r="O249">
        <f t="shared" si="19"/>
        <v>52.55</v>
      </c>
    </row>
    <row r="250" spans="1:15" x14ac:dyDescent="0.3">
      <c r="A250">
        <v>249</v>
      </c>
      <c r="B250">
        <v>0</v>
      </c>
      <c r="C250" t="str">
        <f t="shared" si="15"/>
        <v>No</v>
      </c>
      <c r="D250" t="s">
        <v>1109</v>
      </c>
      <c r="E250" t="s">
        <v>1211</v>
      </c>
      <c r="F250" t="str" cm="1">
        <f t="array" ref="F250">IF(OR(COUNTIF(D250,"*"&amp;Preprocessing!$T$9:$T$15&amp;"*")),"Female","Male")</f>
        <v>Male</v>
      </c>
      <c r="G250">
        <v>54</v>
      </c>
      <c r="H250">
        <v>1</v>
      </c>
      <c r="I250">
        <v>0</v>
      </c>
      <c r="J250">
        <v>2</v>
      </c>
      <c r="K250">
        <v>26</v>
      </c>
      <c r="L250">
        <f t="shared" si="16"/>
        <v>0</v>
      </c>
      <c r="M250">
        <f t="shared" si="17"/>
        <v>54</v>
      </c>
      <c r="N250" t="str">
        <f t="shared" si="18"/>
        <v>Adult</v>
      </c>
      <c r="O250">
        <f t="shared" si="19"/>
        <v>26</v>
      </c>
    </row>
    <row r="251" spans="1:15" x14ac:dyDescent="0.3">
      <c r="A251">
        <v>250</v>
      </c>
      <c r="B251">
        <v>0</v>
      </c>
      <c r="C251" t="str">
        <f t="shared" si="15"/>
        <v>No</v>
      </c>
      <c r="D251" t="s">
        <v>956</v>
      </c>
      <c r="E251" t="s">
        <v>1212</v>
      </c>
      <c r="F251" t="str" cm="1">
        <f t="array" ref="F251">IF(OR(COUNTIF(D251,"*"&amp;Preprocessing!$T$9:$T$15&amp;"*")),"Female","Male")</f>
        <v>Male</v>
      </c>
      <c r="G251">
        <v>18</v>
      </c>
      <c r="H251">
        <v>0</v>
      </c>
      <c r="I251">
        <v>0</v>
      </c>
      <c r="J251">
        <v>3</v>
      </c>
      <c r="K251">
        <v>7.25</v>
      </c>
      <c r="L251">
        <f t="shared" si="16"/>
        <v>0</v>
      </c>
      <c r="M251">
        <f t="shared" si="17"/>
        <v>18</v>
      </c>
      <c r="N251" t="str">
        <f t="shared" si="18"/>
        <v>Adult</v>
      </c>
      <c r="O251">
        <f t="shared" si="19"/>
        <v>7.25</v>
      </c>
    </row>
    <row r="252" spans="1:15" x14ac:dyDescent="0.3">
      <c r="A252">
        <v>251</v>
      </c>
      <c r="B252">
        <v>0</v>
      </c>
      <c r="C252" t="str">
        <f t="shared" si="15"/>
        <v>No</v>
      </c>
      <c r="D252" t="s">
        <v>958</v>
      </c>
      <c r="E252" t="s">
        <v>1213</v>
      </c>
      <c r="F252" t="str" cm="1">
        <f t="array" ref="F252">IF(OR(COUNTIF(D252,"*"&amp;Preprocessing!$T$9:$T$15&amp;"*")),"Female","Male")</f>
        <v>Female</v>
      </c>
      <c r="G252">
        <v>29</v>
      </c>
      <c r="H252">
        <v>1</v>
      </c>
      <c r="I252">
        <v>1</v>
      </c>
      <c r="J252">
        <v>3</v>
      </c>
      <c r="K252">
        <v>10.4625</v>
      </c>
      <c r="L252">
        <f t="shared" si="16"/>
        <v>1</v>
      </c>
      <c r="M252">
        <f t="shared" si="17"/>
        <v>29</v>
      </c>
      <c r="N252" t="str">
        <f t="shared" si="18"/>
        <v>Adult</v>
      </c>
      <c r="O252">
        <f t="shared" si="19"/>
        <v>10.46</v>
      </c>
    </row>
    <row r="253" spans="1:15" x14ac:dyDescent="0.3">
      <c r="A253">
        <v>252</v>
      </c>
      <c r="B253">
        <v>0</v>
      </c>
      <c r="C253" t="str">
        <f t="shared" si="15"/>
        <v>No</v>
      </c>
      <c r="D253" t="s">
        <v>956</v>
      </c>
      <c r="E253" t="s">
        <v>1214</v>
      </c>
      <c r="F253" t="str" cm="1">
        <f t="array" ref="F253">IF(OR(COUNTIF(D253,"*"&amp;Preprocessing!$T$9:$T$15&amp;"*")),"Female","Male")</f>
        <v>Male</v>
      </c>
      <c r="G253">
        <v>62</v>
      </c>
      <c r="H253">
        <v>0</v>
      </c>
      <c r="I253">
        <v>0</v>
      </c>
      <c r="J253">
        <v>1</v>
      </c>
      <c r="K253">
        <v>26.55</v>
      </c>
      <c r="L253">
        <f t="shared" si="16"/>
        <v>0</v>
      </c>
      <c r="M253">
        <f t="shared" si="17"/>
        <v>62</v>
      </c>
      <c r="N253" t="str">
        <f t="shared" si="18"/>
        <v>Adult</v>
      </c>
      <c r="O253">
        <f t="shared" si="19"/>
        <v>26.55</v>
      </c>
    </row>
    <row r="254" spans="1:15" x14ac:dyDescent="0.3">
      <c r="A254">
        <v>253</v>
      </c>
      <c r="B254">
        <v>0</v>
      </c>
      <c r="C254" t="str">
        <f t="shared" si="15"/>
        <v>No</v>
      </c>
      <c r="D254" t="s">
        <v>956</v>
      </c>
      <c r="E254" t="s">
        <v>1215</v>
      </c>
      <c r="F254" t="str" cm="1">
        <f t="array" ref="F254">IF(OR(COUNTIF(D254,"*"&amp;Preprocessing!$T$9:$T$15&amp;"*")),"Female","Male")</f>
        <v>Male</v>
      </c>
      <c r="G254">
        <v>30</v>
      </c>
      <c r="H254">
        <v>1</v>
      </c>
      <c r="I254">
        <v>0</v>
      </c>
      <c r="J254">
        <v>3</v>
      </c>
      <c r="K254">
        <v>16.100000000000001</v>
      </c>
      <c r="L254">
        <f t="shared" si="16"/>
        <v>0</v>
      </c>
      <c r="M254">
        <f t="shared" si="17"/>
        <v>30</v>
      </c>
      <c r="N254" t="str">
        <f t="shared" si="18"/>
        <v>Adult</v>
      </c>
      <c r="O254">
        <f t="shared" si="19"/>
        <v>16.100000000000001</v>
      </c>
    </row>
    <row r="255" spans="1:15" x14ac:dyDescent="0.3">
      <c r="A255">
        <v>254</v>
      </c>
      <c r="B255">
        <v>0</v>
      </c>
      <c r="C255" t="str">
        <f t="shared" si="15"/>
        <v>No</v>
      </c>
      <c r="D255" t="s">
        <v>958</v>
      </c>
      <c r="E255" t="s">
        <v>1216</v>
      </c>
      <c r="F255" t="str" cm="1">
        <f t="array" ref="F255">IF(OR(COUNTIF(D255,"*"&amp;Preprocessing!$T$9:$T$15&amp;"*")),"Female","Male")</f>
        <v>Female</v>
      </c>
      <c r="G255">
        <v>41</v>
      </c>
      <c r="H255">
        <v>0</v>
      </c>
      <c r="I255">
        <v>2</v>
      </c>
      <c r="J255">
        <v>3</v>
      </c>
      <c r="K255">
        <v>20.212499999999999</v>
      </c>
      <c r="L255">
        <f t="shared" si="16"/>
        <v>1</v>
      </c>
      <c r="M255">
        <f t="shared" si="17"/>
        <v>41</v>
      </c>
      <c r="N255" t="str">
        <f t="shared" si="18"/>
        <v>Adult</v>
      </c>
      <c r="O255">
        <f t="shared" si="19"/>
        <v>20.21</v>
      </c>
    </row>
    <row r="256" spans="1:15" x14ac:dyDescent="0.3">
      <c r="A256">
        <v>255</v>
      </c>
      <c r="B256">
        <v>1</v>
      </c>
      <c r="C256" t="str">
        <f t="shared" si="15"/>
        <v>Yes</v>
      </c>
      <c r="D256" t="s">
        <v>958</v>
      </c>
      <c r="E256" t="s">
        <v>1217</v>
      </c>
      <c r="F256" t="str" cm="1">
        <f t="array" ref="F256">IF(OR(COUNTIF(D256,"*"&amp;Preprocessing!$T$9:$T$15&amp;"*")),"Female","Male")</f>
        <v>Female</v>
      </c>
      <c r="G256">
        <v>29</v>
      </c>
      <c r="H256">
        <v>0</v>
      </c>
      <c r="I256">
        <v>2</v>
      </c>
      <c r="J256">
        <v>3</v>
      </c>
      <c r="K256">
        <v>15.245799999999999</v>
      </c>
      <c r="L256">
        <f t="shared" si="16"/>
        <v>1</v>
      </c>
      <c r="M256">
        <f t="shared" si="17"/>
        <v>29</v>
      </c>
      <c r="N256" t="str">
        <f t="shared" si="18"/>
        <v>Adult</v>
      </c>
      <c r="O256">
        <f t="shared" si="19"/>
        <v>15.25</v>
      </c>
    </row>
    <row r="257" spans="1:15" x14ac:dyDescent="0.3">
      <c r="A257">
        <v>256</v>
      </c>
      <c r="B257">
        <v>1</v>
      </c>
      <c r="C257" t="str">
        <f t="shared" si="15"/>
        <v>Yes</v>
      </c>
      <c r="D257" t="s">
        <v>958</v>
      </c>
      <c r="E257" t="s">
        <v>1218</v>
      </c>
      <c r="F257" t="str" cm="1">
        <f t="array" ref="F257">IF(OR(COUNTIF(D257,"*"&amp;Preprocessing!$T$9:$T$15&amp;"*")),"Female","Male")</f>
        <v>Female</v>
      </c>
      <c r="G257">
        <v>38</v>
      </c>
      <c r="H257">
        <v>0</v>
      </c>
      <c r="I257">
        <v>0</v>
      </c>
      <c r="J257">
        <v>1</v>
      </c>
      <c r="K257">
        <v>79.2</v>
      </c>
      <c r="L257">
        <f t="shared" si="16"/>
        <v>1</v>
      </c>
      <c r="M257">
        <f t="shared" si="17"/>
        <v>38</v>
      </c>
      <c r="N257" t="str">
        <f t="shared" si="18"/>
        <v>Adult</v>
      </c>
      <c r="O257">
        <f t="shared" si="19"/>
        <v>79.2</v>
      </c>
    </row>
    <row r="258" spans="1:15" x14ac:dyDescent="0.3">
      <c r="A258">
        <v>257</v>
      </c>
      <c r="B258">
        <v>1</v>
      </c>
      <c r="C258" t="str">
        <f t="shared" si="15"/>
        <v>Yes</v>
      </c>
      <c r="D258" t="s">
        <v>960</v>
      </c>
      <c r="E258" t="s">
        <v>1219</v>
      </c>
      <c r="F258" t="str" cm="1">
        <f t="array" ref="F258">IF(OR(COUNTIF(D258,"*"&amp;Preprocessing!$T$9:$T$15&amp;"*")),"Female","Male")</f>
        <v>Female</v>
      </c>
      <c r="G258">
        <v>30</v>
      </c>
      <c r="H258">
        <v>0</v>
      </c>
      <c r="I258">
        <v>0</v>
      </c>
      <c r="J258">
        <v>1</v>
      </c>
      <c r="K258">
        <v>86.5</v>
      </c>
      <c r="L258">
        <f t="shared" si="16"/>
        <v>1</v>
      </c>
      <c r="M258">
        <f t="shared" si="17"/>
        <v>30</v>
      </c>
      <c r="N258" t="str">
        <f t="shared" si="18"/>
        <v>Adult</v>
      </c>
      <c r="O258">
        <f t="shared" si="19"/>
        <v>86.5</v>
      </c>
    </row>
    <row r="259" spans="1:15" x14ac:dyDescent="0.3">
      <c r="A259">
        <v>258</v>
      </c>
      <c r="B259">
        <v>1</v>
      </c>
      <c r="C259" t="str">
        <f t="shared" ref="C259:C322" si="20">IF(B259=0,"No","Yes")</f>
        <v>Yes</v>
      </c>
      <c r="D259" t="s">
        <v>960</v>
      </c>
      <c r="E259" t="s">
        <v>1220</v>
      </c>
      <c r="F259" t="str" cm="1">
        <f t="array" ref="F259">IF(OR(COUNTIF(D259,"*"&amp;Preprocessing!$T$9:$T$15&amp;"*")),"Female","Male")</f>
        <v>Female</v>
      </c>
      <c r="G259">
        <v>35</v>
      </c>
      <c r="H259">
        <v>0</v>
      </c>
      <c r="I259">
        <v>0</v>
      </c>
      <c r="J259">
        <v>1</v>
      </c>
      <c r="K259">
        <v>512.32920000000001</v>
      </c>
      <c r="L259">
        <f t="shared" ref="L259:L322" si="21">IF(F259 = "Male", 0, 1)</f>
        <v>1</v>
      </c>
      <c r="M259">
        <f t="shared" ref="M259:M322" si="22">ROUND(G259, 0)</f>
        <v>35</v>
      </c>
      <c r="N259" t="str">
        <f t="shared" ref="N259:N322" si="23">IF(G259&lt;=16,"Child","Adult")</f>
        <v>Adult</v>
      </c>
      <c r="O259">
        <f t="shared" ref="O259:O322" si="24">ROUND(K259, 2)</f>
        <v>512.33000000000004</v>
      </c>
    </row>
    <row r="260" spans="1:15" x14ac:dyDescent="0.3">
      <c r="A260">
        <v>259</v>
      </c>
      <c r="B260">
        <v>1</v>
      </c>
      <c r="C260" t="str">
        <f t="shared" si="20"/>
        <v>Yes</v>
      </c>
      <c r="D260" t="s">
        <v>958</v>
      </c>
      <c r="E260" t="s">
        <v>1221</v>
      </c>
      <c r="F260" t="str" cm="1">
        <f t="array" ref="F260">IF(OR(COUNTIF(D260,"*"&amp;Preprocessing!$T$9:$T$15&amp;"*")),"Female","Male")</f>
        <v>Female</v>
      </c>
      <c r="G260">
        <v>50</v>
      </c>
      <c r="H260">
        <v>0</v>
      </c>
      <c r="I260">
        <v>1</v>
      </c>
      <c r="J260">
        <v>2</v>
      </c>
      <c r="K260">
        <v>26</v>
      </c>
      <c r="L260">
        <f t="shared" si="21"/>
        <v>1</v>
      </c>
      <c r="M260">
        <f t="shared" si="22"/>
        <v>50</v>
      </c>
      <c r="N260" t="str">
        <f t="shared" si="23"/>
        <v>Adult</v>
      </c>
      <c r="O260">
        <f t="shared" si="24"/>
        <v>26</v>
      </c>
    </row>
    <row r="261" spans="1:15" x14ac:dyDescent="0.3">
      <c r="A261">
        <v>260</v>
      </c>
      <c r="B261">
        <v>1</v>
      </c>
      <c r="C261" t="str">
        <f t="shared" si="20"/>
        <v>Yes</v>
      </c>
      <c r="D261" t="s">
        <v>966</v>
      </c>
      <c r="E261" t="s">
        <v>1222</v>
      </c>
      <c r="F261" t="str" cm="1">
        <f t="array" ref="F261">IF(OR(COUNTIF(D261,"*"&amp;Preprocessing!$T$9:$T$15&amp;"*")),"Female","Male")</f>
        <v>Male</v>
      </c>
      <c r="G261">
        <v>3</v>
      </c>
      <c r="H261">
        <v>4</v>
      </c>
      <c r="I261">
        <v>2</v>
      </c>
      <c r="J261">
        <v>3</v>
      </c>
      <c r="K261">
        <v>31.387499999999999</v>
      </c>
      <c r="L261">
        <f t="shared" si="21"/>
        <v>0</v>
      </c>
      <c r="M261">
        <f t="shared" si="22"/>
        <v>3</v>
      </c>
      <c r="N261" t="str">
        <f t="shared" si="23"/>
        <v>Child</v>
      </c>
      <c r="O261">
        <f t="shared" si="24"/>
        <v>31.39</v>
      </c>
    </row>
    <row r="262" spans="1:15" x14ac:dyDescent="0.3">
      <c r="A262">
        <v>261</v>
      </c>
      <c r="B262">
        <v>0</v>
      </c>
      <c r="C262" t="str">
        <f t="shared" si="20"/>
        <v>No</v>
      </c>
      <c r="D262" t="s">
        <v>956</v>
      </c>
      <c r="E262" t="s">
        <v>1223</v>
      </c>
      <c r="F262" t="str" cm="1">
        <f t="array" ref="F262">IF(OR(COUNTIF(D262,"*"&amp;Preprocessing!$T$9:$T$15&amp;"*")),"Female","Male")</f>
        <v>Male</v>
      </c>
      <c r="G262">
        <v>52</v>
      </c>
      <c r="H262">
        <v>1</v>
      </c>
      <c r="I262">
        <v>1</v>
      </c>
      <c r="J262">
        <v>1</v>
      </c>
      <c r="K262">
        <v>79.650000000000006</v>
      </c>
      <c r="L262">
        <f t="shared" si="21"/>
        <v>0</v>
      </c>
      <c r="M262">
        <f t="shared" si="22"/>
        <v>52</v>
      </c>
      <c r="N262" t="str">
        <f t="shared" si="23"/>
        <v>Adult</v>
      </c>
      <c r="O262">
        <f t="shared" si="24"/>
        <v>79.650000000000006</v>
      </c>
    </row>
    <row r="263" spans="1:15" x14ac:dyDescent="0.3">
      <c r="A263">
        <v>262</v>
      </c>
      <c r="B263">
        <v>0</v>
      </c>
      <c r="C263" t="str">
        <f t="shared" si="20"/>
        <v>No</v>
      </c>
      <c r="D263" t="s">
        <v>956</v>
      </c>
      <c r="E263" t="s">
        <v>1224</v>
      </c>
      <c r="F263" t="str" cm="1">
        <f t="array" ref="F263">IF(OR(COUNTIF(D263,"*"&amp;Preprocessing!$T$9:$T$15&amp;"*")),"Female","Male")</f>
        <v>Male</v>
      </c>
      <c r="G263">
        <v>40</v>
      </c>
      <c r="H263">
        <v>0</v>
      </c>
      <c r="I263">
        <v>0</v>
      </c>
      <c r="J263">
        <v>1</v>
      </c>
      <c r="K263">
        <v>0</v>
      </c>
      <c r="L263">
        <f t="shared" si="21"/>
        <v>0</v>
      </c>
      <c r="M263">
        <f t="shared" si="22"/>
        <v>40</v>
      </c>
      <c r="N263" t="str">
        <f t="shared" si="23"/>
        <v>Adult</v>
      </c>
      <c r="O263">
        <f t="shared" si="24"/>
        <v>0</v>
      </c>
    </row>
    <row r="264" spans="1:15" x14ac:dyDescent="0.3">
      <c r="A264">
        <v>263</v>
      </c>
      <c r="B264">
        <v>0</v>
      </c>
      <c r="C264" t="str">
        <f t="shared" si="20"/>
        <v>No</v>
      </c>
      <c r="D264" t="s">
        <v>960</v>
      </c>
      <c r="E264" t="s">
        <v>1225</v>
      </c>
      <c r="F264" t="str" cm="1">
        <f t="array" ref="F264">IF(OR(COUNTIF(D264,"*"&amp;Preprocessing!$T$9:$T$15&amp;"*")),"Female","Male")</f>
        <v>Female</v>
      </c>
      <c r="G264">
        <v>21</v>
      </c>
      <c r="H264">
        <v>0</v>
      </c>
      <c r="I264">
        <v>0</v>
      </c>
      <c r="J264">
        <v>3</v>
      </c>
      <c r="K264">
        <v>7.75</v>
      </c>
      <c r="L264">
        <f t="shared" si="21"/>
        <v>1</v>
      </c>
      <c r="M264">
        <f t="shared" si="22"/>
        <v>21</v>
      </c>
      <c r="N264" t="str">
        <f t="shared" si="23"/>
        <v>Adult</v>
      </c>
      <c r="O264">
        <f t="shared" si="24"/>
        <v>7.75</v>
      </c>
    </row>
    <row r="265" spans="1:15" x14ac:dyDescent="0.3">
      <c r="A265">
        <v>264</v>
      </c>
      <c r="B265">
        <v>0</v>
      </c>
      <c r="C265" t="str">
        <f t="shared" si="20"/>
        <v>No</v>
      </c>
      <c r="D265" t="s">
        <v>956</v>
      </c>
      <c r="E265" t="s">
        <v>1226</v>
      </c>
      <c r="F265" t="str" cm="1">
        <f t="array" ref="F265">IF(OR(COUNTIF(D265,"*"&amp;Preprocessing!$T$9:$T$15&amp;"*")),"Female","Male")</f>
        <v>Male</v>
      </c>
      <c r="G265">
        <v>36</v>
      </c>
      <c r="H265">
        <v>0</v>
      </c>
      <c r="I265">
        <v>0</v>
      </c>
      <c r="J265">
        <v>2</v>
      </c>
      <c r="K265">
        <v>10.5</v>
      </c>
      <c r="L265">
        <f t="shared" si="21"/>
        <v>0</v>
      </c>
      <c r="M265">
        <f t="shared" si="22"/>
        <v>36</v>
      </c>
      <c r="N265" t="str">
        <f t="shared" si="23"/>
        <v>Adult</v>
      </c>
      <c r="O265">
        <f t="shared" si="24"/>
        <v>10.5</v>
      </c>
    </row>
    <row r="266" spans="1:15" x14ac:dyDescent="0.3">
      <c r="A266">
        <v>265</v>
      </c>
      <c r="B266">
        <v>0</v>
      </c>
      <c r="C266" t="str">
        <f t="shared" si="20"/>
        <v>No</v>
      </c>
      <c r="D266" t="s">
        <v>956</v>
      </c>
      <c r="E266" t="s">
        <v>1227</v>
      </c>
      <c r="F266" t="str" cm="1">
        <f t="array" ref="F266">IF(OR(COUNTIF(D266,"*"&amp;Preprocessing!$T$9:$T$15&amp;"*")),"Female","Male")</f>
        <v>Male</v>
      </c>
      <c r="G266">
        <v>16</v>
      </c>
      <c r="H266">
        <v>4</v>
      </c>
      <c r="I266">
        <v>1</v>
      </c>
      <c r="J266">
        <v>3</v>
      </c>
      <c r="K266">
        <v>39.6875</v>
      </c>
      <c r="L266">
        <f t="shared" si="21"/>
        <v>0</v>
      </c>
      <c r="M266">
        <f t="shared" si="22"/>
        <v>16</v>
      </c>
      <c r="N266" t="str">
        <f t="shared" si="23"/>
        <v>Child</v>
      </c>
      <c r="O266">
        <f t="shared" si="24"/>
        <v>39.69</v>
      </c>
    </row>
    <row r="267" spans="1:15" x14ac:dyDescent="0.3">
      <c r="A267">
        <v>266</v>
      </c>
      <c r="B267">
        <v>1</v>
      </c>
      <c r="C267" t="str">
        <f t="shared" si="20"/>
        <v>Yes</v>
      </c>
      <c r="D267" t="s">
        <v>956</v>
      </c>
      <c r="E267" t="s">
        <v>1228</v>
      </c>
      <c r="F267" t="str" cm="1">
        <f t="array" ref="F267">IF(OR(COUNTIF(D267,"*"&amp;Preprocessing!$T$9:$T$15&amp;"*")),"Female","Male")</f>
        <v>Male</v>
      </c>
      <c r="G267">
        <v>25</v>
      </c>
      <c r="H267">
        <v>1</v>
      </c>
      <c r="I267">
        <v>0</v>
      </c>
      <c r="J267">
        <v>3</v>
      </c>
      <c r="K267">
        <v>7.7750000000000004</v>
      </c>
      <c r="L267">
        <f t="shared" si="21"/>
        <v>0</v>
      </c>
      <c r="M267">
        <f t="shared" si="22"/>
        <v>25</v>
      </c>
      <c r="N267" t="str">
        <f t="shared" si="23"/>
        <v>Adult</v>
      </c>
      <c r="O267">
        <f t="shared" si="24"/>
        <v>7.78</v>
      </c>
    </row>
    <row r="268" spans="1:15" x14ac:dyDescent="0.3">
      <c r="A268">
        <v>267</v>
      </c>
      <c r="B268">
        <v>1</v>
      </c>
      <c r="C268" t="str">
        <f t="shared" si="20"/>
        <v>Yes</v>
      </c>
      <c r="D268" t="s">
        <v>958</v>
      </c>
      <c r="E268" t="s">
        <v>1229</v>
      </c>
      <c r="F268" t="str" cm="1">
        <f t="array" ref="F268">IF(OR(COUNTIF(D268,"*"&amp;Preprocessing!$T$9:$T$15&amp;"*")),"Female","Male")</f>
        <v>Female</v>
      </c>
      <c r="G268">
        <v>58</v>
      </c>
      <c r="H268">
        <v>0</v>
      </c>
      <c r="I268">
        <v>1</v>
      </c>
      <c r="J268">
        <v>1</v>
      </c>
      <c r="K268">
        <v>153.46250000000001</v>
      </c>
      <c r="L268">
        <f t="shared" si="21"/>
        <v>1</v>
      </c>
      <c r="M268">
        <f t="shared" si="22"/>
        <v>58</v>
      </c>
      <c r="N268" t="str">
        <f t="shared" si="23"/>
        <v>Adult</v>
      </c>
      <c r="O268">
        <f t="shared" si="24"/>
        <v>153.46</v>
      </c>
    </row>
    <row r="269" spans="1:15" x14ac:dyDescent="0.3">
      <c r="A269">
        <v>268</v>
      </c>
      <c r="B269">
        <v>1</v>
      </c>
      <c r="C269" t="str">
        <f t="shared" si="20"/>
        <v>Yes</v>
      </c>
      <c r="D269" t="s">
        <v>960</v>
      </c>
      <c r="E269" t="s">
        <v>1230</v>
      </c>
      <c r="F269" t="str" cm="1">
        <f t="array" ref="F269">IF(OR(COUNTIF(D269,"*"&amp;Preprocessing!$T$9:$T$15&amp;"*")),"Female","Male")</f>
        <v>Female</v>
      </c>
      <c r="G269">
        <v>35</v>
      </c>
      <c r="H269">
        <v>0</v>
      </c>
      <c r="I269">
        <v>0</v>
      </c>
      <c r="J269">
        <v>1</v>
      </c>
      <c r="K269">
        <v>135.63329999999999</v>
      </c>
      <c r="L269">
        <f t="shared" si="21"/>
        <v>1</v>
      </c>
      <c r="M269">
        <f t="shared" si="22"/>
        <v>35</v>
      </c>
      <c r="N269" t="str">
        <f t="shared" si="23"/>
        <v>Adult</v>
      </c>
      <c r="O269">
        <f t="shared" si="24"/>
        <v>135.63</v>
      </c>
    </row>
    <row r="270" spans="1:15" x14ac:dyDescent="0.3">
      <c r="A270">
        <v>269</v>
      </c>
      <c r="B270">
        <v>0</v>
      </c>
      <c r="C270" t="str">
        <f t="shared" si="20"/>
        <v>No</v>
      </c>
      <c r="D270" t="s">
        <v>956</v>
      </c>
      <c r="E270" t="s">
        <v>1231</v>
      </c>
      <c r="F270" t="str" cm="1">
        <f t="array" ref="F270">IF(OR(COUNTIF(D270,"*"&amp;Preprocessing!$T$9:$T$15&amp;"*")),"Female","Male")</f>
        <v>Male</v>
      </c>
      <c r="G270">
        <v>28</v>
      </c>
      <c r="H270">
        <v>0</v>
      </c>
      <c r="I270">
        <v>0</v>
      </c>
      <c r="J270">
        <v>1</v>
      </c>
      <c r="K270">
        <v>31</v>
      </c>
      <c r="L270">
        <f t="shared" si="21"/>
        <v>0</v>
      </c>
      <c r="M270">
        <f t="shared" si="22"/>
        <v>28</v>
      </c>
      <c r="N270" t="str">
        <f t="shared" si="23"/>
        <v>Adult</v>
      </c>
      <c r="O270">
        <f t="shared" si="24"/>
        <v>31</v>
      </c>
    </row>
    <row r="271" spans="1:15" x14ac:dyDescent="0.3">
      <c r="A271">
        <v>270</v>
      </c>
      <c r="B271">
        <v>1</v>
      </c>
      <c r="C271" t="str">
        <f t="shared" si="20"/>
        <v>Yes</v>
      </c>
      <c r="D271" t="s">
        <v>956</v>
      </c>
      <c r="E271" t="s">
        <v>1232</v>
      </c>
      <c r="F271" t="str" cm="1">
        <f t="array" ref="F271">IF(OR(COUNTIF(D271,"*"&amp;Preprocessing!$T$9:$T$15&amp;"*")),"Female","Male")</f>
        <v>Male</v>
      </c>
      <c r="G271">
        <v>25</v>
      </c>
      <c r="H271">
        <v>0</v>
      </c>
      <c r="I271">
        <v>0</v>
      </c>
      <c r="J271">
        <v>3</v>
      </c>
      <c r="K271">
        <v>0</v>
      </c>
      <c r="L271">
        <f t="shared" si="21"/>
        <v>0</v>
      </c>
      <c r="M271">
        <f t="shared" si="22"/>
        <v>25</v>
      </c>
      <c r="N271" t="str">
        <f t="shared" si="23"/>
        <v>Adult</v>
      </c>
      <c r="O271">
        <f t="shared" si="24"/>
        <v>0</v>
      </c>
    </row>
    <row r="272" spans="1:15" x14ac:dyDescent="0.3">
      <c r="A272">
        <v>271</v>
      </c>
      <c r="B272">
        <v>1</v>
      </c>
      <c r="C272" t="str">
        <f t="shared" si="20"/>
        <v>Yes</v>
      </c>
      <c r="D272" t="s">
        <v>958</v>
      </c>
      <c r="E272" t="s">
        <v>1233</v>
      </c>
      <c r="F272" t="str" cm="1">
        <f t="array" ref="F272">IF(OR(COUNTIF(D272,"*"&amp;Preprocessing!$T$9:$T$15&amp;"*")),"Female","Male")</f>
        <v>Female</v>
      </c>
      <c r="G272">
        <v>41</v>
      </c>
      <c r="H272">
        <v>0</v>
      </c>
      <c r="I272">
        <v>1</v>
      </c>
      <c r="J272">
        <v>2</v>
      </c>
      <c r="K272">
        <v>19.5</v>
      </c>
      <c r="L272">
        <f t="shared" si="21"/>
        <v>1</v>
      </c>
      <c r="M272">
        <f t="shared" si="22"/>
        <v>41</v>
      </c>
      <c r="N272" t="str">
        <f t="shared" si="23"/>
        <v>Adult</v>
      </c>
      <c r="O272">
        <f t="shared" si="24"/>
        <v>19.5</v>
      </c>
    </row>
    <row r="273" spans="1:15" x14ac:dyDescent="0.3">
      <c r="A273">
        <v>272</v>
      </c>
      <c r="B273">
        <v>0</v>
      </c>
      <c r="C273" t="str">
        <f t="shared" si="20"/>
        <v>No</v>
      </c>
      <c r="D273" t="s">
        <v>956</v>
      </c>
      <c r="E273" t="s">
        <v>1234</v>
      </c>
      <c r="F273" t="str" cm="1">
        <f t="array" ref="F273">IF(OR(COUNTIF(D273,"*"&amp;Preprocessing!$T$9:$T$15&amp;"*")),"Female","Male")</f>
        <v>Male</v>
      </c>
      <c r="G273">
        <v>37</v>
      </c>
      <c r="H273">
        <v>0</v>
      </c>
      <c r="I273">
        <v>1</v>
      </c>
      <c r="J273">
        <v>1</v>
      </c>
      <c r="K273">
        <v>29.7</v>
      </c>
      <c r="L273">
        <f t="shared" si="21"/>
        <v>0</v>
      </c>
      <c r="M273">
        <f t="shared" si="22"/>
        <v>37</v>
      </c>
      <c r="N273" t="str">
        <f t="shared" si="23"/>
        <v>Adult</v>
      </c>
      <c r="O273">
        <f t="shared" si="24"/>
        <v>29.7</v>
      </c>
    </row>
    <row r="274" spans="1:15" x14ac:dyDescent="0.3">
      <c r="A274">
        <v>273</v>
      </c>
      <c r="B274">
        <v>1</v>
      </c>
      <c r="C274" t="str">
        <f t="shared" si="20"/>
        <v>Yes</v>
      </c>
      <c r="D274" t="s">
        <v>960</v>
      </c>
      <c r="E274" t="s">
        <v>1235</v>
      </c>
      <c r="F274" t="str" cm="1">
        <f t="array" ref="F274">IF(OR(COUNTIF(D274,"*"&amp;Preprocessing!$T$9:$T$15&amp;"*")),"Female","Male")</f>
        <v>Female</v>
      </c>
      <c r="G274">
        <v>33</v>
      </c>
      <c r="H274">
        <v>0</v>
      </c>
      <c r="I274">
        <v>0</v>
      </c>
      <c r="J274">
        <v>3</v>
      </c>
      <c r="K274">
        <v>7.75</v>
      </c>
      <c r="L274">
        <f t="shared" si="21"/>
        <v>1</v>
      </c>
      <c r="M274">
        <f t="shared" si="22"/>
        <v>33</v>
      </c>
      <c r="N274" t="str">
        <f t="shared" si="23"/>
        <v>Adult</v>
      </c>
      <c r="O274">
        <f t="shared" si="24"/>
        <v>7.75</v>
      </c>
    </row>
    <row r="275" spans="1:15" x14ac:dyDescent="0.3">
      <c r="A275">
        <v>274</v>
      </c>
      <c r="B275">
        <v>1</v>
      </c>
      <c r="C275" t="str">
        <f t="shared" si="20"/>
        <v>Yes</v>
      </c>
      <c r="D275" t="s">
        <v>960</v>
      </c>
      <c r="E275" t="s">
        <v>1236</v>
      </c>
      <c r="F275" t="str" cm="1">
        <f t="array" ref="F275">IF(OR(COUNTIF(D275,"*"&amp;Preprocessing!$T$9:$T$15&amp;"*")),"Female","Male")</f>
        <v>Female</v>
      </c>
      <c r="G275">
        <v>63</v>
      </c>
      <c r="H275">
        <v>1</v>
      </c>
      <c r="I275">
        <v>0</v>
      </c>
      <c r="J275">
        <v>1</v>
      </c>
      <c r="K275">
        <v>77.958299999999994</v>
      </c>
      <c r="L275">
        <f t="shared" si="21"/>
        <v>1</v>
      </c>
      <c r="M275">
        <f t="shared" si="22"/>
        <v>63</v>
      </c>
      <c r="N275" t="str">
        <f t="shared" si="23"/>
        <v>Adult</v>
      </c>
      <c r="O275">
        <f t="shared" si="24"/>
        <v>77.959999999999994</v>
      </c>
    </row>
    <row r="276" spans="1:15" x14ac:dyDescent="0.3">
      <c r="A276">
        <v>275</v>
      </c>
      <c r="B276">
        <v>0</v>
      </c>
      <c r="C276" t="str">
        <f t="shared" si="20"/>
        <v>No</v>
      </c>
      <c r="D276" t="s">
        <v>960</v>
      </c>
      <c r="E276" t="s">
        <v>1237</v>
      </c>
      <c r="F276" t="str" cm="1">
        <f t="array" ref="F276">IF(OR(COUNTIF(D276,"*"&amp;Preprocessing!$T$9:$T$15&amp;"*")),"Female","Male")</f>
        <v>Female</v>
      </c>
      <c r="G276">
        <v>45</v>
      </c>
      <c r="H276">
        <v>0</v>
      </c>
      <c r="I276">
        <v>0</v>
      </c>
      <c r="J276">
        <v>3</v>
      </c>
      <c r="K276">
        <v>7.75</v>
      </c>
      <c r="L276">
        <f t="shared" si="21"/>
        <v>1</v>
      </c>
      <c r="M276">
        <f t="shared" si="22"/>
        <v>45</v>
      </c>
      <c r="N276" t="str">
        <f t="shared" si="23"/>
        <v>Adult</v>
      </c>
      <c r="O276">
        <f t="shared" si="24"/>
        <v>7.75</v>
      </c>
    </row>
    <row r="277" spans="1:15" x14ac:dyDescent="0.3">
      <c r="A277">
        <v>276</v>
      </c>
      <c r="B277">
        <v>0</v>
      </c>
      <c r="C277" t="str">
        <f t="shared" si="20"/>
        <v>No</v>
      </c>
      <c r="D277" t="s">
        <v>956</v>
      </c>
      <c r="E277" t="s">
        <v>1238</v>
      </c>
      <c r="F277" t="str" cm="1">
        <f t="array" ref="F277">IF(OR(COUNTIF(D277,"*"&amp;Preprocessing!$T$9:$T$15&amp;"*")),"Female","Male")</f>
        <v>Male</v>
      </c>
      <c r="G277">
        <v>21</v>
      </c>
      <c r="H277">
        <v>0</v>
      </c>
      <c r="I277">
        <v>0</v>
      </c>
      <c r="J277">
        <v>2</v>
      </c>
      <c r="K277">
        <v>0</v>
      </c>
      <c r="L277">
        <f t="shared" si="21"/>
        <v>0</v>
      </c>
      <c r="M277">
        <f t="shared" si="22"/>
        <v>21</v>
      </c>
      <c r="N277" t="str">
        <f t="shared" si="23"/>
        <v>Adult</v>
      </c>
      <c r="O277">
        <f t="shared" si="24"/>
        <v>0</v>
      </c>
    </row>
    <row r="278" spans="1:15" x14ac:dyDescent="0.3">
      <c r="A278">
        <v>277</v>
      </c>
      <c r="B278">
        <v>0</v>
      </c>
      <c r="C278" t="str">
        <f t="shared" si="20"/>
        <v>No</v>
      </c>
      <c r="D278" t="s">
        <v>966</v>
      </c>
      <c r="E278" t="s">
        <v>1239</v>
      </c>
      <c r="F278" t="str" cm="1">
        <f t="array" ref="F278">IF(OR(COUNTIF(D278,"*"&amp;Preprocessing!$T$9:$T$15&amp;"*")),"Female","Male")</f>
        <v>Male</v>
      </c>
      <c r="G278">
        <v>7</v>
      </c>
      <c r="H278">
        <v>4</v>
      </c>
      <c r="I278">
        <v>1</v>
      </c>
      <c r="J278">
        <v>3</v>
      </c>
      <c r="K278">
        <v>29.125</v>
      </c>
      <c r="L278">
        <f t="shared" si="21"/>
        <v>0</v>
      </c>
      <c r="M278">
        <f t="shared" si="22"/>
        <v>7</v>
      </c>
      <c r="N278" t="str">
        <f t="shared" si="23"/>
        <v>Child</v>
      </c>
      <c r="O278">
        <f t="shared" si="24"/>
        <v>29.13</v>
      </c>
    </row>
    <row r="279" spans="1:15" x14ac:dyDescent="0.3">
      <c r="A279">
        <v>278</v>
      </c>
      <c r="B279">
        <v>1</v>
      </c>
      <c r="C279" t="str">
        <f t="shared" si="20"/>
        <v>Yes</v>
      </c>
      <c r="D279" t="s">
        <v>958</v>
      </c>
      <c r="E279" t="s">
        <v>1240</v>
      </c>
      <c r="F279" t="str" cm="1">
        <f t="array" ref="F279">IF(OR(COUNTIF(D279,"*"&amp;Preprocessing!$T$9:$T$15&amp;"*")),"Female","Male")</f>
        <v>Female</v>
      </c>
      <c r="G279">
        <v>35</v>
      </c>
      <c r="H279">
        <v>1</v>
      </c>
      <c r="I279">
        <v>1</v>
      </c>
      <c r="J279">
        <v>3</v>
      </c>
      <c r="K279">
        <v>20.25</v>
      </c>
      <c r="L279">
        <f t="shared" si="21"/>
        <v>1</v>
      </c>
      <c r="M279">
        <f t="shared" si="22"/>
        <v>35</v>
      </c>
      <c r="N279" t="str">
        <f t="shared" si="23"/>
        <v>Adult</v>
      </c>
      <c r="O279">
        <f t="shared" si="24"/>
        <v>20.25</v>
      </c>
    </row>
    <row r="280" spans="1:15" x14ac:dyDescent="0.3">
      <c r="A280">
        <v>279</v>
      </c>
      <c r="B280">
        <v>0</v>
      </c>
      <c r="C280" t="str">
        <f t="shared" si="20"/>
        <v>No</v>
      </c>
      <c r="D280" t="s">
        <v>956</v>
      </c>
      <c r="E280" t="s">
        <v>1241</v>
      </c>
      <c r="F280" t="str" cm="1">
        <f t="array" ref="F280">IF(OR(COUNTIF(D280,"*"&amp;Preprocessing!$T$9:$T$15&amp;"*")),"Female","Male")</f>
        <v>Male</v>
      </c>
      <c r="G280">
        <v>65</v>
      </c>
      <c r="H280">
        <v>0</v>
      </c>
      <c r="I280">
        <v>0</v>
      </c>
      <c r="J280">
        <v>3</v>
      </c>
      <c r="K280">
        <v>7.75</v>
      </c>
      <c r="L280">
        <f t="shared" si="21"/>
        <v>0</v>
      </c>
      <c r="M280">
        <f t="shared" si="22"/>
        <v>65</v>
      </c>
      <c r="N280" t="str">
        <f t="shared" si="23"/>
        <v>Adult</v>
      </c>
      <c r="O280">
        <f t="shared" si="24"/>
        <v>7.75</v>
      </c>
    </row>
    <row r="281" spans="1:15" x14ac:dyDescent="0.3">
      <c r="A281">
        <v>280</v>
      </c>
      <c r="B281">
        <v>0</v>
      </c>
      <c r="C281" t="str">
        <f t="shared" si="20"/>
        <v>No</v>
      </c>
      <c r="D281" t="s">
        <v>956</v>
      </c>
      <c r="E281" t="s">
        <v>1242</v>
      </c>
      <c r="F281" t="str" cm="1">
        <f t="array" ref="F281">IF(OR(COUNTIF(D281,"*"&amp;Preprocessing!$T$9:$T$15&amp;"*")),"Female","Male")</f>
        <v>Male</v>
      </c>
      <c r="G281">
        <v>28</v>
      </c>
      <c r="H281">
        <v>0</v>
      </c>
      <c r="I281">
        <v>0</v>
      </c>
      <c r="J281">
        <v>3</v>
      </c>
      <c r="K281">
        <v>7.8541999999999996</v>
      </c>
      <c r="L281">
        <f t="shared" si="21"/>
        <v>0</v>
      </c>
      <c r="M281">
        <f t="shared" si="22"/>
        <v>28</v>
      </c>
      <c r="N281" t="str">
        <f t="shared" si="23"/>
        <v>Adult</v>
      </c>
      <c r="O281">
        <f t="shared" si="24"/>
        <v>7.85</v>
      </c>
    </row>
    <row r="282" spans="1:15" x14ac:dyDescent="0.3">
      <c r="A282">
        <v>281</v>
      </c>
      <c r="B282">
        <v>0</v>
      </c>
      <c r="C282" t="str">
        <f t="shared" si="20"/>
        <v>No</v>
      </c>
      <c r="D282" t="s">
        <v>956</v>
      </c>
      <c r="E282" t="s">
        <v>1243</v>
      </c>
      <c r="F282" t="str" cm="1">
        <f t="array" ref="F282">IF(OR(COUNTIF(D282,"*"&amp;Preprocessing!$T$9:$T$15&amp;"*")),"Female","Male")</f>
        <v>Male</v>
      </c>
      <c r="G282">
        <v>16</v>
      </c>
      <c r="H282">
        <v>0</v>
      </c>
      <c r="I282">
        <v>0</v>
      </c>
      <c r="J282">
        <v>3</v>
      </c>
      <c r="K282">
        <v>9.5</v>
      </c>
      <c r="L282">
        <f t="shared" si="21"/>
        <v>0</v>
      </c>
      <c r="M282">
        <f t="shared" si="22"/>
        <v>16</v>
      </c>
      <c r="N282" t="str">
        <f t="shared" si="23"/>
        <v>Child</v>
      </c>
      <c r="O282">
        <f t="shared" si="24"/>
        <v>9.5</v>
      </c>
    </row>
    <row r="283" spans="1:15" x14ac:dyDescent="0.3">
      <c r="A283">
        <v>282</v>
      </c>
      <c r="B283">
        <v>1</v>
      </c>
      <c r="C283" t="str">
        <f t="shared" si="20"/>
        <v>Yes</v>
      </c>
      <c r="D283" t="s">
        <v>956</v>
      </c>
      <c r="E283" t="s">
        <v>1244</v>
      </c>
      <c r="F283" t="str" cm="1">
        <f t="array" ref="F283">IF(OR(COUNTIF(D283,"*"&amp;Preprocessing!$T$9:$T$15&amp;"*")),"Female","Male")</f>
        <v>Male</v>
      </c>
      <c r="G283">
        <v>19</v>
      </c>
      <c r="H283">
        <v>0</v>
      </c>
      <c r="I283">
        <v>0</v>
      </c>
      <c r="J283">
        <v>3</v>
      </c>
      <c r="K283">
        <v>8.0500000000000007</v>
      </c>
      <c r="L283">
        <f t="shared" si="21"/>
        <v>0</v>
      </c>
      <c r="M283">
        <f t="shared" si="22"/>
        <v>19</v>
      </c>
      <c r="N283" t="str">
        <f t="shared" si="23"/>
        <v>Adult</v>
      </c>
      <c r="O283">
        <f t="shared" si="24"/>
        <v>8.0500000000000007</v>
      </c>
    </row>
    <row r="284" spans="1:15" x14ac:dyDescent="0.3">
      <c r="A284">
        <v>283</v>
      </c>
      <c r="B284">
        <v>0</v>
      </c>
      <c r="C284" t="str">
        <f t="shared" si="20"/>
        <v>No</v>
      </c>
      <c r="D284" t="s">
        <v>956</v>
      </c>
      <c r="E284" t="s">
        <v>1245</v>
      </c>
      <c r="F284" t="str" cm="1">
        <f t="array" ref="F284">IF(OR(COUNTIF(D284,"*"&amp;Preprocessing!$T$9:$T$15&amp;"*")),"Female","Male")</f>
        <v>Male</v>
      </c>
      <c r="G284">
        <v>57</v>
      </c>
      <c r="H284">
        <v>0</v>
      </c>
      <c r="I284">
        <v>0</v>
      </c>
      <c r="J284">
        <v>1</v>
      </c>
      <c r="K284">
        <v>26</v>
      </c>
      <c r="L284">
        <f t="shared" si="21"/>
        <v>0</v>
      </c>
      <c r="M284">
        <f t="shared" si="22"/>
        <v>57</v>
      </c>
      <c r="N284" t="str">
        <f t="shared" si="23"/>
        <v>Adult</v>
      </c>
      <c r="O284">
        <f t="shared" si="24"/>
        <v>26</v>
      </c>
    </row>
    <row r="285" spans="1:15" x14ac:dyDescent="0.3">
      <c r="A285">
        <v>284</v>
      </c>
      <c r="B285">
        <v>0</v>
      </c>
      <c r="C285" t="str">
        <f t="shared" si="20"/>
        <v>No</v>
      </c>
      <c r="D285" t="s">
        <v>956</v>
      </c>
      <c r="E285" t="s">
        <v>1246</v>
      </c>
      <c r="F285" t="str" cm="1">
        <f t="array" ref="F285">IF(OR(COUNTIF(D285,"*"&amp;Preprocessing!$T$9:$T$15&amp;"*")),"Female","Male")</f>
        <v>Male</v>
      </c>
      <c r="G285">
        <v>33</v>
      </c>
      <c r="H285">
        <v>0</v>
      </c>
      <c r="I285">
        <v>0</v>
      </c>
      <c r="J285">
        <v>3</v>
      </c>
      <c r="K285">
        <v>8.6624999999999996</v>
      </c>
      <c r="L285">
        <f t="shared" si="21"/>
        <v>0</v>
      </c>
      <c r="M285">
        <f t="shared" si="22"/>
        <v>33</v>
      </c>
      <c r="N285" t="str">
        <f t="shared" si="23"/>
        <v>Adult</v>
      </c>
      <c r="O285">
        <f t="shared" si="24"/>
        <v>8.66</v>
      </c>
    </row>
    <row r="286" spans="1:15" x14ac:dyDescent="0.3">
      <c r="A286">
        <v>285</v>
      </c>
      <c r="B286">
        <v>1</v>
      </c>
      <c r="C286" t="str">
        <f t="shared" si="20"/>
        <v>Yes</v>
      </c>
      <c r="D286" t="s">
        <v>956</v>
      </c>
      <c r="E286" t="s">
        <v>1247</v>
      </c>
      <c r="F286" t="str" cm="1">
        <f t="array" ref="F286">IF(OR(COUNTIF(D286,"*"&amp;Preprocessing!$T$9:$T$15&amp;"*")),"Female","Male")</f>
        <v>Male</v>
      </c>
      <c r="G286">
        <v>30</v>
      </c>
      <c r="H286">
        <v>0</v>
      </c>
      <c r="I286">
        <v>0</v>
      </c>
      <c r="J286">
        <v>3</v>
      </c>
      <c r="K286">
        <v>9.5</v>
      </c>
      <c r="L286">
        <f t="shared" si="21"/>
        <v>0</v>
      </c>
      <c r="M286">
        <f t="shared" si="22"/>
        <v>30</v>
      </c>
      <c r="N286" t="str">
        <f t="shared" si="23"/>
        <v>Adult</v>
      </c>
      <c r="O286">
        <f t="shared" si="24"/>
        <v>9.5</v>
      </c>
    </row>
    <row r="287" spans="1:15" x14ac:dyDescent="0.3">
      <c r="A287">
        <v>286</v>
      </c>
      <c r="B287">
        <v>0</v>
      </c>
      <c r="C287" t="str">
        <f t="shared" si="20"/>
        <v>No</v>
      </c>
      <c r="D287" t="s">
        <v>956</v>
      </c>
      <c r="E287" t="s">
        <v>1248</v>
      </c>
      <c r="F287" t="str" cm="1">
        <f t="array" ref="F287">IF(OR(COUNTIF(D287,"*"&amp;Preprocessing!$T$9:$T$15&amp;"*")),"Female","Male")</f>
        <v>Male</v>
      </c>
      <c r="G287">
        <v>22</v>
      </c>
      <c r="H287">
        <v>0</v>
      </c>
      <c r="I287">
        <v>0</v>
      </c>
      <c r="J287">
        <v>3</v>
      </c>
      <c r="K287">
        <v>7.8958000000000004</v>
      </c>
      <c r="L287">
        <f t="shared" si="21"/>
        <v>0</v>
      </c>
      <c r="M287">
        <f t="shared" si="22"/>
        <v>22</v>
      </c>
      <c r="N287" t="str">
        <f t="shared" si="23"/>
        <v>Adult</v>
      </c>
      <c r="O287">
        <f t="shared" si="24"/>
        <v>7.9</v>
      </c>
    </row>
    <row r="288" spans="1:15" x14ac:dyDescent="0.3">
      <c r="A288">
        <v>287</v>
      </c>
      <c r="B288">
        <v>1</v>
      </c>
      <c r="C288" t="str">
        <f t="shared" si="20"/>
        <v>Yes</v>
      </c>
      <c r="D288" t="s">
        <v>956</v>
      </c>
      <c r="E288" t="s">
        <v>1249</v>
      </c>
      <c r="F288" t="str" cm="1">
        <f t="array" ref="F288">IF(OR(COUNTIF(D288,"*"&amp;Preprocessing!$T$9:$T$15&amp;"*")),"Female","Male")</f>
        <v>Male</v>
      </c>
      <c r="G288">
        <v>42</v>
      </c>
      <c r="H288">
        <v>0</v>
      </c>
      <c r="I288">
        <v>0</v>
      </c>
      <c r="J288">
        <v>2</v>
      </c>
      <c r="K288">
        <v>13</v>
      </c>
      <c r="L288">
        <f t="shared" si="21"/>
        <v>0</v>
      </c>
      <c r="M288">
        <f t="shared" si="22"/>
        <v>42</v>
      </c>
      <c r="N288" t="str">
        <f t="shared" si="23"/>
        <v>Adult</v>
      </c>
      <c r="O288">
        <f t="shared" si="24"/>
        <v>13</v>
      </c>
    </row>
    <row r="289" spans="1:15" x14ac:dyDescent="0.3">
      <c r="A289">
        <v>288</v>
      </c>
      <c r="B289">
        <v>1</v>
      </c>
      <c r="C289" t="str">
        <f t="shared" si="20"/>
        <v>Yes</v>
      </c>
      <c r="D289" t="s">
        <v>960</v>
      </c>
      <c r="E289" t="s">
        <v>1250</v>
      </c>
      <c r="F289" t="str" cm="1">
        <f t="array" ref="F289">IF(OR(COUNTIF(D289,"*"&amp;Preprocessing!$T$9:$T$15&amp;"*")),"Female","Male")</f>
        <v>Female</v>
      </c>
      <c r="G289">
        <v>22</v>
      </c>
      <c r="H289">
        <v>0</v>
      </c>
      <c r="I289">
        <v>0</v>
      </c>
      <c r="J289">
        <v>3</v>
      </c>
      <c r="K289">
        <v>7.75</v>
      </c>
      <c r="L289">
        <f t="shared" si="21"/>
        <v>1</v>
      </c>
      <c r="M289">
        <f t="shared" si="22"/>
        <v>22</v>
      </c>
      <c r="N289" t="str">
        <f t="shared" si="23"/>
        <v>Adult</v>
      </c>
      <c r="O289">
        <f t="shared" si="24"/>
        <v>7.75</v>
      </c>
    </row>
    <row r="290" spans="1:15" x14ac:dyDescent="0.3">
      <c r="A290">
        <v>289</v>
      </c>
      <c r="B290">
        <v>1</v>
      </c>
      <c r="C290" t="str">
        <f t="shared" si="20"/>
        <v>Yes</v>
      </c>
      <c r="D290" t="s">
        <v>960</v>
      </c>
      <c r="E290" t="s">
        <v>1251</v>
      </c>
      <c r="F290" t="str" cm="1">
        <f t="array" ref="F290">IF(OR(COUNTIF(D290,"*"&amp;Preprocessing!$T$9:$T$15&amp;"*")),"Female","Male")</f>
        <v>Female</v>
      </c>
      <c r="G290">
        <v>26</v>
      </c>
      <c r="H290">
        <v>0</v>
      </c>
      <c r="I290">
        <v>0</v>
      </c>
      <c r="J290">
        <v>1</v>
      </c>
      <c r="K290">
        <v>78.849999999999994</v>
      </c>
      <c r="L290">
        <f t="shared" si="21"/>
        <v>1</v>
      </c>
      <c r="M290">
        <f t="shared" si="22"/>
        <v>26</v>
      </c>
      <c r="N290" t="str">
        <f t="shared" si="23"/>
        <v>Adult</v>
      </c>
      <c r="O290">
        <f t="shared" si="24"/>
        <v>78.849999999999994</v>
      </c>
    </row>
    <row r="291" spans="1:15" x14ac:dyDescent="0.3">
      <c r="A291">
        <v>290</v>
      </c>
      <c r="B291">
        <v>1</v>
      </c>
      <c r="C291" t="str">
        <f t="shared" si="20"/>
        <v>Yes</v>
      </c>
      <c r="D291" t="s">
        <v>958</v>
      </c>
      <c r="E291" t="s">
        <v>1252</v>
      </c>
      <c r="F291" t="str" cm="1">
        <f t="array" ref="F291">IF(OR(COUNTIF(D291,"*"&amp;Preprocessing!$T$9:$T$15&amp;"*")),"Female","Male")</f>
        <v>Female</v>
      </c>
      <c r="G291">
        <v>19</v>
      </c>
      <c r="H291">
        <v>1</v>
      </c>
      <c r="I291">
        <v>0</v>
      </c>
      <c r="J291">
        <v>1</v>
      </c>
      <c r="K291">
        <v>91.0792</v>
      </c>
      <c r="L291">
        <f t="shared" si="21"/>
        <v>1</v>
      </c>
      <c r="M291">
        <f t="shared" si="22"/>
        <v>19</v>
      </c>
      <c r="N291" t="str">
        <f t="shared" si="23"/>
        <v>Adult</v>
      </c>
      <c r="O291">
        <f t="shared" si="24"/>
        <v>91.08</v>
      </c>
    </row>
    <row r="292" spans="1:15" x14ac:dyDescent="0.3">
      <c r="A292">
        <v>291</v>
      </c>
      <c r="B292">
        <v>0</v>
      </c>
      <c r="C292" t="str">
        <f t="shared" si="20"/>
        <v>No</v>
      </c>
      <c r="D292" t="s">
        <v>956</v>
      </c>
      <c r="E292" t="s">
        <v>1253</v>
      </c>
      <c r="F292" t="str" cm="1">
        <f t="array" ref="F292">IF(OR(COUNTIF(D292,"*"&amp;Preprocessing!$T$9:$T$15&amp;"*")),"Female","Male")</f>
        <v>Male</v>
      </c>
      <c r="G292">
        <v>36</v>
      </c>
      <c r="H292">
        <v>0</v>
      </c>
      <c r="I292">
        <v>0</v>
      </c>
      <c r="J292">
        <v>2</v>
      </c>
      <c r="K292">
        <v>12.875</v>
      </c>
      <c r="L292">
        <f t="shared" si="21"/>
        <v>0</v>
      </c>
      <c r="M292">
        <f t="shared" si="22"/>
        <v>36</v>
      </c>
      <c r="N292" t="str">
        <f t="shared" si="23"/>
        <v>Adult</v>
      </c>
      <c r="O292">
        <f t="shared" si="24"/>
        <v>12.88</v>
      </c>
    </row>
    <row r="293" spans="1:15" x14ac:dyDescent="0.3">
      <c r="A293">
        <v>292</v>
      </c>
      <c r="B293">
        <v>0</v>
      </c>
      <c r="C293" t="str">
        <f t="shared" si="20"/>
        <v>No</v>
      </c>
      <c r="D293" t="s">
        <v>960</v>
      </c>
      <c r="E293" t="s">
        <v>1254</v>
      </c>
      <c r="F293" t="str" cm="1">
        <f t="array" ref="F293">IF(OR(COUNTIF(D293,"*"&amp;Preprocessing!$T$9:$T$15&amp;"*")),"Female","Male")</f>
        <v>Female</v>
      </c>
      <c r="G293">
        <v>24</v>
      </c>
      <c r="H293">
        <v>0</v>
      </c>
      <c r="I293">
        <v>0</v>
      </c>
      <c r="J293">
        <v>3</v>
      </c>
      <c r="K293">
        <v>8.85</v>
      </c>
      <c r="L293">
        <f t="shared" si="21"/>
        <v>1</v>
      </c>
      <c r="M293">
        <f t="shared" si="22"/>
        <v>24</v>
      </c>
      <c r="N293" t="str">
        <f t="shared" si="23"/>
        <v>Adult</v>
      </c>
      <c r="O293">
        <f t="shared" si="24"/>
        <v>8.85</v>
      </c>
    </row>
    <row r="294" spans="1:15" x14ac:dyDescent="0.3">
      <c r="A294">
        <v>293</v>
      </c>
      <c r="B294">
        <v>0</v>
      </c>
      <c r="C294" t="str">
        <f t="shared" si="20"/>
        <v>No</v>
      </c>
      <c r="D294" t="s">
        <v>956</v>
      </c>
      <c r="E294" t="s">
        <v>1255</v>
      </c>
      <c r="F294" t="str" cm="1">
        <f t="array" ref="F294">IF(OR(COUNTIF(D294,"*"&amp;Preprocessing!$T$9:$T$15&amp;"*")),"Female","Male")</f>
        <v>Male</v>
      </c>
      <c r="G294">
        <v>24</v>
      </c>
      <c r="H294">
        <v>0</v>
      </c>
      <c r="I294">
        <v>0</v>
      </c>
      <c r="J294">
        <v>3</v>
      </c>
      <c r="K294">
        <v>7.8958000000000004</v>
      </c>
      <c r="L294">
        <f t="shared" si="21"/>
        <v>0</v>
      </c>
      <c r="M294">
        <f t="shared" si="22"/>
        <v>24</v>
      </c>
      <c r="N294" t="str">
        <f t="shared" si="23"/>
        <v>Adult</v>
      </c>
      <c r="O294">
        <f t="shared" si="24"/>
        <v>7.9</v>
      </c>
    </row>
    <row r="295" spans="1:15" x14ac:dyDescent="0.3">
      <c r="A295">
        <v>294</v>
      </c>
      <c r="B295">
        <v>0</v>
      </c>
      <c r="C295" t="str">
        <f t="shared" si="20"/>
        <v>No</v>
      </c>
      <c r="D295" t="s">
        <v>956</v>
      </c>
      <c r="E295" t="s">
        <v>1256</v>
      </c>
      <c r="F295" t="str" cm="1">
        <f t="array" ref="F295">IF(OR(COUNTIF(D295,"*"&amp;Preprocessing!$T$9:$T$15&amp;"*")),"Female","Male")</f>
        <v>Male</v>
      </c>
      <c r="G295">
        <v>30</v>
      </c>
      <c r="H295">
        <v>0</v>
      </c>
      <c r="I295">
        <v>0</v>
      </c>
      <c r="J295">
        <v>1</v>
      </c>
      <c r="K295">
        <v>27.720800000000001</v>
      </c>
      <c r="L295">
        <f t="shared" si="21"/>
        <v>0</v>
      </c>
      <c r="M295">
        <f t="shared" si="22"/>
        <v>30</v>
      </c>
      <c r="N295" t="str">
        <f t="shared" si="23"/>
        <v>Adult</v>
      </c>
      <c r="O295">
        <f t="shared" si="24"/>
        <v>27.72</v>
      </c>
    </row>
    <row r="296" spans="1:15" x14ac:dyDescent="0.3">
      <c r="A296">
        <v>295</v>
      </c>
      <c r="B296">
        <v>0</v>
      </c>
      <c r="C296" t="str">
        <f t="shared" si="20"/>
        <v>No</v>
      </c>
      <c r="D296" t="s">
        <v>956</v>
      </c>
      <c r="E296" t="s">
        <v>1257</v>
      </c>
      <c r="F296" t="str" cm="1">
        <f t="array" ref="F296">IF(OR(COUNTIF(D296,"*"&amp;Preprocessing!$T$9:$T$15&amp;"*")),"Female","Male")</f>
        <v>Male</v>
      </c>
      <c r="G296">
        <v>23.5</v>
      </c>
      <c r="H296">
        <v>0</v>
      </c>
      <c r="I296">
        <v>0</v>
      </c>
      <c r="J296">
        <v>3</v>
      </c>
      <c r="K296">
        <v>7.2291999999999996</v>
      </c>
      <c r="L296">
        <f t="shared" si="21"/>
        <v>0</v>
      </c>
      <c r="M296">
        <f t="shared" si="22"/>
        <v>24</v>
      </c>
      <c r="N296" t="str">
        <f t="shared" si="23"/>
        <v>Adult</v>
      </c>
      <c r="O296">
        <f t="shared" si="24"/>
        <v>7.23</v>
      </c>
    </row>
    <row r="297" spans="1:15" x14ac:dyDescent="0.3">
      <c r="A297">
        <v>296</v>
      </c>
      <c r="B297">
        <v>0</v>
      </c>
      <c r="C297" t="str">
        <f t="shared" si="20"/>
        <v>No</v>
      </c>
      <c r="D297" t="s">
        <v>960</v>
      </c>
      <c r="E297" t="s">
        <v>1258</v>
      </c>
      <c r="F297" t="str" cm="1">
        <f t="array" ref="F297">IF(OR(COUNTIF(D297,"*"&amp;Preprocessing!$T$9:$T$15&amp;"*")),"Female","Male")</f>
        <v>Female</v>
      </c>
      <c r="G297">
        <v>2</v>
      </c>
      <c r="H297">
        <v>1</v>
      </c>
      <c r="I297">
        <v>2</v>
      </c>
      <c r="J297">
        <v>1</v>
      </c>
      <c r="K297">
        <v>151.55000000000001</v>
      </c>
      <c r="L297">
        <f t="shared" si="21"/>
        <v>1</v>
      </c>
      <c r="M297">
        <f t="shared" si="22"/>
        <v>2</v>
      </c>
      <c r="N297" t="str">
        <f t="shared" si="23"/>
        <v>Child</v>
      </c>
      <c r="O297">
        <f t="shared" si="24"/>
        <v>151.55000000000001</v>
      </c>
    </row>
    <row r="298" spans="1:15" x14ac:dyDescent="0.3">
      <c r="A298">
        <v>297</v>
      </c>
      <c r="B298">
        <v>1</v>
      </c>
      <c r="C298" t="str">
        <f t="shared" si="20"/>
        <v>Yes</v>
      </c>
      <c r="D298" t="s">
        <v>956</v>
      </c>
      <c r="E298" t="s">
        <v>1259</v>
      </c>
      <c r="F298" t="str" cm="1">
        <f t="array" ref="F298">IF(OR(COUNTIF(D298,"*"&amp;Preprocessing!$T$9:$T$15&amp;"*")),"Female","Male")</f>
        <v>Male</v>
      </c>
      <c r="G298">
        <v>47</v>
      </c>
      <c r="H298">
        <v>0</v>
      </c>
      <c r="I298">
        <v>0</v>
      </c>
      <c r="J298">
        <v>1</v>
      </c>
      <c r="K298">
        <v>30.5</v>
      </c>
      <c r="L298">
        <f t="shared" si="21"/>
        <v>0</v>
      </c>
      <c r="M298">
        <f t="shared" si="22"/>
        <v>47</v>
      </c>
      <c r="N298" t="str">
        <f t="shared" si="23"/>
        <v>Adult</v>
      </c>
      <c r="O298">
        <f t="shared" si="24"/>
        <v>30.5</v>
      </c>
    </row>
    <row r="299" spans="1:15" x14ac:dyDescent="0.3">
      <c r="A299">
        <v>298</v>
      </c>
      <c r="B299">
        <v>1</v>
      </c>
      <c r="C299" t="str">
        <f t="shared" si="20"/>
        <v>Yes</v>
      </c>
      <c r="D299" t="s">
        <v>958</v>
      </c>
      <c r="E299" t="s">
        <v>1260</v>
      </c>
      <c r="F299" t="str" cm="1">
        <f t="array" ref="F299">IF(OR(COUNTIF(D299,"*"&amp;Preprocessing!$T$9:$T$15&amp;"*")),"Female","Male")</f>
        <v>Female</v>
      </c>
      <c r="G299">
        <v>50</v>
      </c>
      <c r="H299">
        <v>0</v>
      </c>
      <c r="I299">
        <v>1</v>
      </c>
      <c r="J299">
        <v>1</v>
      </c>
      <c r="K299">
        <v>247.52080000000001</v>
      </c>
      <c r="L299">
        <f t="shared" si="21"/>
        <v>1</v>
      </c>
      <c r="M299">
        <f t="shared" si="22"/>
        <v>50</v>
      </c>
      <c r="N299" t="str">
        <f t="shared" si="23"/>
        <v>Adult</v>
      </c>
      <c r="O299">
        <f t="shared" si="24"/>
        <v>247.52</v>
      </c>
    </row>
    <row r="300" spans="1:15" x14ac:dyDescent="0.3">
      <c r="A300">
        <v>299</v>
      </c>
      <c r="B300">
        <v>1</v>
      </c>
      <c r="C300" t="str">
        <f t="shared" si="20"/>
        <v>Yes</v>
      </c>
      <c r="D300" t="s">
        <v>960</v>
      </c>
      <c r="E300" t="s">
        <v>1261</v>
      </c>
      <c r="F300" t="str" cm="1">
        <f t="array" ref="F300">IF(OR(COUNTIF(D300,"*"&amp;Preprocessing!$T$9:$T$15&amp;"*")),"Female","Male")</f>
        <v>Female</v>
      </c>
      <c r="G300">
        <v>20</v>
      </c>
      <c r="H300">
        <v>0</v>
      </c>
      <c r="I300">
        <v>0</v>
      </c>
      <c r="J300">
        <v>3</v>
      </c>
      <c r="K300">
        <v>7.75</v>
      </c>
      <c r="L300">
        <f t="shared" si="21"/>
        <v>1</v>
      </c>
      <c r="M300">
        <f t="shared" si="22"/>
        <v>20</v>
      </c>
      <c r="N300" t="str">
        <f t="shared" si="23"/>
        <v>Adult</v>
      </c>
      <c r="O300">
        <f t="shared" si="24"/>
        <v>7.75</v>
      </c>
    </row>
    <row r="301" spans="1:15" x14ac:dyDescent="0.3">
      <c r="A301">
        <v>300</v>
      </c>
      <c r="B301">
        <v>1</v>
      </c>
      <c r="C301" t="str">
        <f t="shared" si="20"/>
        <v>Yes</v>
      </c>
      <c r="D301" t="s">
        <v>956</v>
      </c>
      <c r="E301" t="s">
        <v>1262</v>
      </c>
      <c r="F301" t="str" cm="1">
        <f t="array" ref="F301">IF(OR(COUNTIF(D301,"*"&amp;Preprocessing!$T$9:$T$15&amp;"*")),"Female","Male")</f>
        <v>Male</v>
      </c>
      <c r="G301">
        <v>24</v>
      </c>
      <c r="H301">
        <v>2</v>
      </c>
      <c r="I301">
        <v>0</v>
      </c>
      <c r="J301">
        <v>3</v>
      </c>
      <c r="K301">
        <v>23.25</v>
      </c>
      <c r="L301">
        <f t="shared" si="21"/>
        <v>0</v>
      </c>
      <c r="M301">
        <f t="shared" si="22"/>
        <v>24</v>
      </c>
      <c r="N301" t="str">
        <f t="shared" si="23"/>
        <v>Adult</v>
      </c>
      <c r="O301">
        <f t="shared" si="24"/>
        <v>23.25</v>
      </c>
    </row>
    <row r="302" spans="1:15" x14ac:dyDescent="0.3">
      <c r="A302">
        <v>301</v>
      </c>
      <c r="B302">
        <v>0</v>
      </c>
      <c r="C302" t="str">
        <f t="shared" si="20"/>
        <v>No</v>
      </c>
      <c r="D302" t="s">
        <v>956</v>
      </c>
      <c r="E302" t="s">
        <v>1263</v>
      </c>
      <c r="F302" t="str" cm="1">
        <f t="array" ref="F302">IF(OR(COUNTIF(D302,"*"&amp;Preprocessing!$T$9:$T$15&amp;"*")),"Female","Male")</f>
        <v>Male</v>
      </c>
      <c r="G302">
        <v>19</v>
      </c>
      <c r="H302">
        <v>0</v>
      </c>
      <c r="I302">
        <v>0</v>
      </c>
      <c r="J302">
        <v>3</v>
      </c>
      <c r="K302">
        <v>0</v>
      </c>
      <c r="L302">
        <f t="shared" si="21"/>
        <v>0</v>
      </c>
      <c r="M302">
        <f t="shared" si="22"/>
        <v>19</v>
      </c>
      <c r="N302" t="str">
        <f t="shared" si="23"/>
        <v>Adult</v>
      </c>
      <c r="O302">
        <f t="shared" si="24"/>
        <v>0</v>
      </c>
    </row>
    <row r="303" spans="1:15" x14ac:dyDescent="0.3">
      <c r="A303">
        <v>302</v>
      </c>
      <c r="B303">
        <v>1</v>
      </c>
      <c r="C303" t="str">
        <f t="shared" si="20"/>
        <v>Yes</v>
      </c>
      <c r="D303" t="s">
        <v>960</v>
      </c>
      <c r="E303" t="s">
        <v>1264</v>
      </c>
      <c r="F303" t="str" cm="1">
        <f t="array" ref="F303">IF(OR(COUNTIF(D303,"*"&amp;Preprocessing!$T$9:$T$15&amp;"*")),"Female","Male")</f>
        <v>Female</v>
      </c>
      <c r="G303">
        <v>46</v>
      </c>
      <c r="H303">
        <v>0</v>
      </c>
      <c r="I303">
        <v>0</v>
      </c>
      <c r="J303">
        <v>2</v>
      </c>
      <c r="K303">
        <v>12.35</v>
      </c>
      <c r="L303">
        <f t="shared" si="21"/>
        <v>1</v>
      </c>
      <c r="M303">
        <f t="shared" si="22"/>
        <v>46</v>
      </c>
      <c r="N303" t="str">
        <f t="shared" si="23"/>
        <v>Adult</v>
      </c>
      <c r="O303">
        <f t="shared" si="24"/>
        <v>12.35</v>
      </c>
    </row>
    <row r="304" spans="1:15" x14ac:dyDescent="0.3">
      <c r="A304">
        <v>303</v>
      </c>
      <c r="B304">
        <v>0</v>
      </c>
      <c r="C304" t="str">
        <f t="shared" si="20"/>
        <v>No</v>
      </c>
      <c r="D304" t="s">
        <v>956</v>
      </c>
      <c r="E304" t="s">
        <v>1265</v>
      </c>
      <c r="F304" t="str" cm="1">
        <f t="array" ref="F304">IF(OR(COUNTIF(D304,"*"&amp;Preprocessing!$T$9:$T$15&amp;"*")),"Female","Male")</f>
        <v>Male</v>
      </c>
      <c r="G304">
        <v>28</v>
      </c>
      <c r="H304">
        <v>0</v>
      </c>
      <c r="I304">
        <v>0</v>
      </c>
      <c r="J304">
        <v>3</v>
      </c>
      <c r="K304">
        <v>8.0500000000000007</v>
      </c>
      <c r="L304">
        <f t="shared" si="21"/>
        <v>0</v>
      </c>
      <c r="M304">
        <f t="shared" si="22"/>
        <v>28</v>
      </c>
      <c r="N304" t="str">
        <f t="shared" si="23"/>
        <v>Adult</v>
      </c>
      <c r="O304">
        <f t="shared" si="24"/>
        <v>8.0500000000000007</v>
      </c>
    </row>
    <row r="305" spans="1:15" x14ac:dyDescent="0.3">
      <c r="A305">
        <v>304</v>
      </c>
      <c r="B305">
        <v>1</v>
      </c>
      <c r="C305" t="str">
        <f t="shared" si="20"/>
        <v>Yes</v>
      </c>
      <c r="D305" t="s">
        <v>966</v>
      </c>
      <c r="E305" t="s">
        <v>1266</v>
      </c>
      <c r="F305" t="str" cm="1">
        <f t="array" ref="F305">IF(OR(COUNTIF(D305,"*"&amp;Preprocessing!$T$9:$T$15&amp;"*")),"Female","Male")</f>
        <v>Male</v>
      </c>
      <c r="G305">
        <v>0.92</v>
      </c>
      <c r="H305">
        <v>1</v>
      </c>
      <c r="I305">
        <v>2</v>
      </c>
      <c r="J305">
        <v>1</v>
      </c>
      <c r="K305">
        <v>151.55000000000001</v>
      </c>
      <c r="L305">
        <f t="shared" si="21"/>
        <v>0</v>
      </c>
      <c r="M305">
        <f t="shared" si="22"/>
        <v>1</v>
      </c>
      <c r="N305" t="str">
        <f t="shared" si="23"/>
        <v>Child</v>
      </c>
      <c r="O305">
        <f t="shared" si="24"/>
        <v>151.55000000000001</v>
      </c>
    </row>
    <row r="306" spans="1:15" x14ac:dyDescent="0.3">
      <c r="A306">
        <v>305</v>
      </c>
      <c r="B306">
        <v>1</v>
      </c>
      <c r="C306" t="str">
        <f t="shared" si="20"/>
        <v>Yes</v>
      </c>
      <c r="D306" t="s">
        <v>960</v>
      </c>
      <c r="E306" t="s">
        <v>1267</v>
      </c>
      <c r="F306" t="str" cm="1">
        <f t="array" ref="F306">IF(OR(COUNTIF(D306,"*"&amp;Preprocessing!$T$9:$T$15&amp;"*")),"Female","Male")</f>
        <v>Female</v>
      </c>
      <c r="G306">
        <v>42</v>
      </c>
      <c r="H306">
        <v>0</v>
      </c>
      <c r="I306">
        <v>0</v>
      </c>
      <c r="J306">
        <v>1</v>
      </c>
      <c r="K306">
        <v>110.88330000000001</v>
      </c>
      <c r="L306">
        <f t="shared" si="21"/>
        <v>1</v>
      </c>
      <c r="M306">
        <f t="shared" si="22"/>
        <v>42</v>
      </c>
      <c r="N306" t="str">
        <f t="shared" si="23"/>
        <v>Adult</v>
      </c>
      <c r="O306">
        <f t="shared" si="24"/>
        <v>110.88</v>
      </c>
    </row>
    <row r="307" spans="1:15" x14ac:dyDescent="0.3">
      <c r="A307">
        <v>306</v>
      </c>
      <c r="B307">
        <v>1</v>
      </c>
      <c r="C307" t="str">
        <f t="shared" si="20"/>
        <v>Yes</v>
      </c>
      <c r="D307" t="s">
        <v>958</v>
      </c>
      <c r="E307" t="s">
        <v>1268</v>
      </c>
      <c r="F307" t="str" cm="1">
        <f t="array" ref="F307">IF(OR(COUNTIF(D307,"*"&amp;Preprocessing!$T$9:$T$15&amp;"*")),"Female","Male")</f>
        <v>Female</v>
      </c>
      <c r="G307">
        <v>17</v>
      </c>
      <c r="H307">
        <v>1</v>
      </c>
      <c r="I307">
        <v>0</v>
      </c>
      <c r="J307">
        <v>1</v>
      </c>
      <c r="K307">
        <v>108.9</v>
      </c>
      <c r="L307">
        <f t="shared" si="21"/>
        <v>1</v>
      </c>
      <c r="M307">
        <f t="shared" si="22"/>
        <v>17</v>
      </c>
      <c r="N307" t="str">
        <f t="shared" si="23"/>
        <v>Adult</v>
      </c>
      <c r="O307">
        <f t="shared" si="24"/>
        <v>108.9</v>
      </c>
    </row>
    <row r="308" spans="1:15" x14ac:dyDescent="0.3">
      <c r="A308">
        <v>307</v>
      </c>
      <c r="B308">
        <v>0</v>
      </c>
      <c r="C308" t="str">
        <f t="shared" si="20"/>
        <v>No</v>
      </c>
      <c r="D308" t="s">
        <v>956</v>
      </c>
      <c r="E308" t="s">
        <v>1269</v>
      </c>
      <c r="F308" t="str" cm="1">
        <f t="array" ref="F308">IF(OR(COUNTIF(D308,"*"&amp;Preprocessing!$T$9:$T$15&amp;"*")),"Female","Male")</f>
        <v>Male</v>
      </c>
      <c r="G308">
        <v>30</v>
      </c>
      <c r="H308">
        <v>1</v>
      </c>
      <c r="I308">
        <v>0</v>
      </c>
      <c r="J308">
        <v>2</v>
      </c>
      <c r="K308">
        <v>24</v>
      </c>
      <c r="L308">
        <f t="shared" si="21"/>
        <v>0</v>
      </c>
      <c r="M308">
        <f t="shared" si="22"/>
        <v>30</v>
      </c>
      <c r="N308" t="str">
        <f t="shared" si="23"/>
        <v>Adult</v>
      </c>
      <c r="O308">
        <f t="shared" si="24"/>
        <v>24</v>
      </c>
    </row>
    <row r="309" spans="1:15" x14ac:dyDescent="0.3">
      <c r="A309">
        <v>308</v>
      </c>
      <c r="B309">
        <v>1</v>
      </c>
      <c r="C309" t="str">
        <f t="shared" si="20"/>
        <v>Yes</v>
      </c>
      <c r="D309" t="s">
        <v>960</v>
      </c>
      <c r="E309" t="s">
        <v>1270</v>
      </c>
      <c r="F309" t="str" cm="1">
        <f t="array" ref="F309">IF(OR(COUNTIF(D309,"*"&amp;Preprocessing!$T$9:$T$15&amp;"*")),"Female","Male")</f>
        <v>Female</v>
      </c>
      <c r="G309">
        <v>30</v>
      </c>
      <c r="H309">
        <v>0</v>
      </c>
      <c r="I309">
        <v>0</v>
      </c>
      <c r="J309">
        <v>1</v>
      </c>
      <c r="K309">
        <v>56.929200000000002</v>
      </c>
      <c r="L309">
        <f t="shared" si="21"/>
        <v>1</v>
      </c>
      <c r="M309">
        <f t="shared" si="22"/>
        <v>30</v>
      </c>
      <c r="N309" t="str">
        <f t="shared" si="23"/>
        <v>Adult</v>
      </c>
      <c r="O309">
        <f t="shared" si="24"/>
        <v>56.93</v>
      </c>
    </row>
    <row r="310" spans="1:15" x14ac:dyDescent="0.3">
      <c r="A310">
        <v>309</v>
      </c>
      <c r="B310">
        <v>1</v>
      </c>
      <c r="C310" t="str">
        <f t="shared" si="20"/>
        <v>Yes</v>
      </c>
      <c r="D310" t="s">
        <v>960</v>
      </c>
      <c r="E310" t="s">
        <v>1271</v>
      </c>
      <c r="F310" t="str" cm="1">
        <f t="array" ref="F310">IF(OR(COUNTIF(D310,"*"&amp;Preprocessing!$T$9:$T$15&amp;"*")),"Female","Male")</f>
        <v>Female</v>
      </c>
      <c r="G310">
        <v>24</v>
      </c>
      <c r="H310">
        <v>0</v>
      </c>
      <c r="I310">
        <v>0</v>
      </c>
      <c r="J310">
        <v>1</v>
      </c>
      <c r="K310">
        <v>83.158299999999997</v>
      </c>
      <c r="L310">
        <f t="shared" si="21"/>
        <v>1</v>
      </c>
      <c r="M310">
        <f t="shared" si="22"/>
        <v>24</v>
      </c>
      <c r="N310" t="str">
        <f t="shared" si="23"/>
        <v>Adult</v>
      </c>
      <c r="O310">
        <f t="shared" si="24"/>
        <v>83.16</v>
      </c>
    </row>
    <row r="311" spans="1:15" x14ac:dyDescent="0.3">
      <c r="A311">
        <v>310</v>
      </c>
      <c r="B311">
        <v>1</v>
      </c>
      <c r="C311" t="str">
        <f t="shared" si="20"/>
        <v>Yes</v>
      </c>
      <c r="D311" t="s">
        <v>960</v>
      </c>
      <c r="E311" t="s">
        <v>1272</v>
      </c>
      <c r="F311" t="str" cm="1">
        <f t="array" ref="F311">IF(OR(COUNTIF(D311,"*"&amp;Preprocessing!$T$9:$T$15&amp;"*")),"Female","Male")</f>
        <v>Female</v>
      </c>
      <c r="G311">
        <v>18</v>
      </c>
      <c r="H311">
        <v>2</v>
      </c>
      <c r="I311">
        <v>2</v>
      </c>
      <c r="J311">
        <v>1</v>
      </c>
      <c r="K311">
        <v>262.375</v>
      </c>
      <c r="L311">
        <f t="shared" si="21"/>
        <v>1</v>
      </c>
      <c r="M311">
        <f t="shared" si="22"/>
        <v>18</v>
      </c>
      <c r="N311" t="str">
        <f t="shared" si="23"/>
        <v>Adult</v>
      </c>
      <c r="O311">
        <f t="shared" si="24"/>
        <v>262.38</v>
      </c>
    </row>
    <row r="312" spans="1:15" x14ac:dyDescent="0.3">
      <c r="A312">
        <v>311</v>
      </c>
      <c r="B312">
        <v>0</v>
      </c>
      <c r="C312" t="str">
        <f t="shared" si="20"/>
        <v>No</v>
      </c>
      <c r="D312" t="s">
        <v>958</v>
      </c>
      <c r="E312" t="s">
        <v>1273</v>
      </c>
      <c r="F312" t="str" cm="1">
        <f t="array" ref="F312">IF(OR(COUNTIF(D312,"*"&amp;Preprocessing!$T$9:$T$15&amp;"*")),"Female","Male")</f>
        <v>Female</v>
      </c>
      <c r="G312">
        <v>26</v>
      </c>
      <c r="H312">
        <v>1</v>
      </c>
      <c r="I312">
        <v>1</v>
      </c>
      <c r="J312">
        <v>2</v>
      </c>
      <c r="K312">
        <v>26</v>
      </c>
      <c r="L312">
        <f t="shared" si="21"/>
        <v>1</v>
      </c>
      <c r="M312">
        <f t="shared" si="22"/>
        <v>26</v>
      </c>
      <c r="N312" t="str">
        <f t="shared" si="23"/>
        <v>Adult</v>
      </c>
      <c r="O312">
        <f t="shared" si="24"/>
        <v>26</v>
      </c>
    </row>
    <row r="313" spans="1:15" x14ac:dyDescent="0.3">
      <c r="A313">
        <v>312</v>
      </c>
      <c r="B313">
        <v>0</v>
      </c>
      <c r="C313" t="str">
        <f t="shared" si="20"/>
        <v>No</v>
      </c>
      <c r="D313" t="s">
        <v>956</v>
      </c>
      <c r="E313" t="s">
        <v>1274</v>
      </c>
      <c r="F313" t="str" cm="1">
        <f t="array" ref="F313">IF(OR(COUNTIF(D313,"*"&amp;Preprocessing!$T$9:$T$15&amp;"*")),"Female","Male")</f>
        <v>Male</v>
      </c>
      <c r="G313">
        <v>28</v>
      </c>
      <c r="H313">
        <v>0</v>
      </c>
      <c r="I313">
        <v>0</v>
      </c>
      <c r="J313">
        <v>3</v>
      </c>
      <c r="K313">
        <v>7.8958000000000004</v>
      </c>
      <c r="L313">
        <f t="shared" si="21"/>
        <v>0</v>
      </c>
      <c r="M313">
        <f t="shared" si="22"/>
        <v>28</v>
      </c>
      <c r="N313" t="str">
        <f t="shared" si="23"/>
        <v>Adult</v>
      </c>
      <c r="O313">
        <f t="shared" si="24"/>
        <v>7.9</v>
      </c>
    </row>
    <row r="314" spans="1:15" x14ac:dyDescent="0.3">
      <c r="A314">
        <v>313</v>
      </c>
      <c r="B314">
        <v>0</v>
      </c>
      <c r="C314" t="str">
        <f t="shared" si="20"/>
        <v>No</v>
      </c>
      <c r="D314" t="s">
        <v>956</v>
      </c>
      <c r="E314" t="s">
        <v>1275</v>
      </c>
      <c r="F314" t="str" cm="1">
        <f t="array" ref="F314">IF(OR(COUNTIF(D314,"*"&amp;Preprocessing!$T$9:$T$15&amp;"*")),"Female","Male")</f>
        <v>Male</v>
      </c>
      <c r="G314">
        <v>43</v>
      </c>
      <c r="H314">
        <v>1</v>
      </c>
      <c r="I314">
        <v>1</v>
      </c>
      <c r="J314">
        <v>2</v>
      </c>
      <c r="K314">
        <v>26.25</v>
      </c>
      <c r="L314">
        <f t="shared" si="21"/>
        <v>0</v>
      </c>
      <c r="M314">
        <f t="shared" si="22"/>
        <v>43</v>
      </c>
      <c r="N314" t="str">
        <f t="shared" si="23"/>
        <v>Adult</v>
      </c>
      <c r="O314">
        <f t="shared" si="24"/>
        <v>26.25</v>
      </c>
    </row>
    <row r="315" spans="1:15" x14ac:dyDescent="0.3">
      <c r="A315">
        <v>314</v>
      </c>
      <c r="B315">
        <v>1</v>
      </c>
      <c r="C315" t="str">
        <f t="shared" si="20"/>
        <v>Yes</v>
      </c>
      <c r="D315" t="s">
        <v>960</v>
      </c>
      <c r="E315" t="s">
        <v>1276</v>
      </c>
      <c r="F315" t="str" cm="1">
        <f t="array" ref="F315">IF(OR(COUNTIF(D315,"*"&amp;Preprocessing!$T$9:$T$15&amp;"*")),"Female","Male")</f>
        <v>Female</v>
      </c>
      <c r="G315">
        <v>26</v>
      </c>
      <c r="H315">
        <v>0</v>
      </c>
      <c r="I315">
        <v>0</v>
      </c>
      <c r="J315">
        <v>3</v>
      </c>
      <c r="K315">
        <v>7.8541999999999996</v>
      </c>
      <c r="L315">
        <f t="shared" si="21"/>
        <v>1</v>
      </c>
      <c r="M315">
        <f t="shared" si="22"/>
        <v>26</v>
      </c>
      <c r="N315" t="str">
        <f t="shared" si="23"/>
        <v>Adult</v>
      </c>
      <c r="O315">
        <f t="shared" si="24"/>
        <v>7.85</v>
      </c>
    </row>
    <row r="316" spans="1:15" x14ac:dyDescent="0.3">
      <c r="A316">
        <v>315</v>
      </c>
      <c r="B316">
        <v>1</v>
      </c>
      <c r="C316" t="str">
        <f t="shared" si="20"/>
        <v>Yes</v>
      </c>
      <c r="D316" t="s">
        <v>958</v>
      </c>
      <c r="E316" t="s">
        <v>1277</v>
      </c>
      <c r="F316" t="str" cm="1">
        <f t="array" ref="F316">IF(OR(COUNTIF(D316,"*"&amp;Preprocessing!$T$9:$T$15&amp;"*")),"Female","Male")</f>
        <v>Female</v>
      </c>
      <c r="G316">
        <v>24</v>
      </c>
      <c r="H316">
        <v>1</v>
      </c>
      <c r="I316">
        <v>0</v>
      </c>
      <c r="J316">
        <v>2</v>
      </c>
      <c r="K316">
        <v>26</v>
      </c>
      <c r="L316">
        <f t="shared" si="21"/>
        <v>1</v>
      </c>
      <c r="M316">
        <f t="shared" si="22"/>
        <v>24</v>
      </c>
      <c r="N316" t="str">
        <f t="shared" si="23"/>
        <v>Adult</v>
      </c>
      <c r="O316">
        <f t="shared" si="24"/>
        <v>26</v>
      </c>
    </row>
    <row r="317" spans="1:15" x14ac:dyDescent="0.3">
      <c r="A317">
        <v>316</v>
      </c>
      <c r="B317">
        <v>0</v>
      </c>
      <c r="C317" t="str">
        <f t="shared" si="20"/>
        <v>No</v>
      </c>
      <c r="D317" t="s">
        <v>1206</v>
      </c>
      <c r="E317" t="s">
        <v>1278</v>
      </c>
      <c r="F317" t="str" cm="1">
        <f t="array" ref="F317">IF(OR(COUNTIF(D317,"*"&amp;Preprocessing!$T$9:$T$15&amp;"*")),"Female","Male")</f>
        <v>Male</v>
      </c>
      <c r="G317">
        <v>54</v>
      </c>
      <c r="H317">
        <v>0</v>
      </c>
      <c r="I317">
        <v>0</v>
      </c>
      <c r="J317">
        <v>2</v>
      </c>
      <c r="K317">
        <v>14</v>
      </c>
      <c r="L317">
        <f t="shared" si="21"/>
        <v>0</v>
      </c>
      <c r="M317">
        <f t="shared" si="22"/>
        <v>54</v>
      </c>
      <c r="N317" t="str">
        <f t="shared" si="23"/>
        <v>Adult</v>
      </c>
      <c r="O317">
        <f t="shared" si="24"/>
        <v>14</v>
      </c>
    </row>
    <row r="318" spans="1:15" x14ac:dyDescent="0.3">
      <c r="A318">
        <v>317</v>
      </c>
      <c r="B318">
        <v>1</v>
      </c>
      <c r="C318" t="str">
        <f t="shared" si="20"/>
        <v>Yes</v>
      </c>
      <c r="D318" t="s">
        <v>960</v>
      </c>
      <c r="E318" t="s">
        <v>1279</v>
      </c>
      <c r="F318" t="str" cm="1">
        <f t="array" ref="F318">IF(OR(COUNTIF(D318,"*"&amp;Preprocessing!$T$9:$T$15&amp;"*")),"Female","Male")</f>
        <v>Female</v>
      </c>
      <c r="G318">
        <v>31</v>
      </c>
      <c r="H318">
        <v>0</v>
      </c>
      <c r="I318">
        <v>2</v>
      </c>
      <c r="J318">
        <v>1</v>
      </c>
      <c r="K318">
        <v>164.86670000000001</v>
      </c>
      <c r="L318">
        <f t="shared" si="21"/>
        <v>1</v>
      </c>
      <c r="M318">
        <f t="shared" si="22"/>
        <v>31</v>
      </c>
      <c r="N318" t="str">
        <f t="shared" si="23"/>
        <v>Adult</v>
      </c>
      <c r="O318">
        <f t="shared" si="24"/>
        <v>164.87</v>
      </c>
    </row>
    <row r="319" spans="1:15" x14ac:dyDescent="0.3">
      <c r="A319">
        <v>318</v>
      </c>
      <c r="B319">
        <v>1</v>
      </c>
      <c r="C319" t="str">
        <f t="shared" si="20"/>
        <v>Yes</v>
      </c>
      <c r="D319" t="s">
        <v>958</v>
      </c>
      <c r="E319" t="s">
        <v>1280</v>
      </c>
      <c r="F319" t="str" cm="1">
        <f t="array" ref="F319">IF(OR(COUNTIF(D319,"*"&amp;Preprocessing!$T$9:$T$15&amp;"*")),"Female","Male")</f>
        <v>Female</v>
      </c>
      <c r="G319">
        <v>40</v>
      </c>
      <c r="H319">
        <v>1</v>
      </c>
      <c r="I319">
        <v>1</v>
      </c>
      <c r="J319">
        <v>1</v>
      </c>
      <c r="K319">
        <v>134.5</v>
      </c>
      <c r="L319">
        <f t="shared" si="21"/>
        <v>1</v>
      </c>
      <c r="M319">
        <f t="shared" si="22"/>
        <v>40</v>
      </c>
      <c r="N319" t="str">
        <f t="shared" si="23"/>
        <v>Adult</v>
      </c>
      <c r="O319">
        <f t="shared" si="24"/>
        <v>134.5</v>
      </c>
    </row>
    <row r="320" spans="1:15" x14ac:dyDescent="0.3">
      <c r="A320">
        <v>319</v>
      </c>
      <c r="B320">
        <v>0</v>
      </c>
      <c r="C320" t="str">
        <f t="shared" si="20"/>
        <v>No</v>
      </c>
      <c r="D320" t="s">
        <v>956</v>
      </c>
      <c r="E320" t="s">
        <v>1281</v>
      </c>
      <c r="F320" t="str" cm="1">
        <f t="array" ref="F320">IF(OR(COUNTIF(D320,"*"&amp;Preprocessing!$T$9:$T$15&amp;"*")),"Female","Male")</f>
        <v>Male</v>
      </c>
      <c r="G320">
        <v>22</v>
      </c>
      <c r="H320">
        <v>0</v>
      </c>
      <c r="I320">
        <v>0</v>
      </c>
      <c r="J320">
        <v>3</v>
      </c>
      <c r="K320">
        <v>7.25</v>
      </c>
      <c r="L320">
        <f t="shared" si="21"/>
        <v>0</v>
      </c>
      <c r="M320">
        <f t="shared" si="22"/>
        <v>22</v>
      </c>
      <c r="N320" t="str">
        <f t="shared" si="23"/>
        <v>Adult</v>
      </c>
      <c r="O320">
        <f t="shared" si="24"/>
        <v>7.25</v>
      </c>
    </row>
    <row r="321" spans="1:15" x14ac:dyDescent="0.3">
      <c r="A321">
        <v>320</v>
      </c>
      <c r="B321">
        <v>0</v>
      </c>
      <c r="C321" t="str">
        <f t="shared" si="20"/>
        <v>No</v>
      </c>
      <c r="D321" t="s">
        <v>956</v>
      </c>
      <c r="E321" t="s">
        <v>1282</v>
      </c>
      <c r="F321" t="str" cm="1">
        <f t="array" ref="F321">IF(OR(COUNTIF(D321,"*"&amp;Preprocessing!$T$9:$T$15&amp;"*")),"Female","Male")</f>
        <v>Male</v>
      </c>
      <c r="G321">
        <v>27</v>
      </c>
      <c r="H321">
        <v>0</v>
      </c>
      <c r="I321">
        <v>0</v>
      </c>
      <c r="J321">
        <v>3</v>
      </c>
      <c r="K321">
        <v>7.8958000000000004</v>
      </c>
      <c r="L321">
        <f t="shared" si="21"/>
        <v>0</v>
      </c>
      <c r="M321">
        <f t="shared" si="22"/>
        <v>27</v>
      </c>
      <c r="N321" t="str">
        <f t="shared" si="23"/>
        <v>Adult</v>
      </c>
      <c r="O321">
        <f t="shared" si="24"/>
        <v>7.9</v>
      </c>
    </row>
    <row r="322" spans="1:15" x14ac:dyDescent="0.3">
      <c r="A322">
        <v>321</v>
      </c>
      <c r="B322">
        <v>1</v>
      </c>
      <c r="C322" t="str">
        <f t="shared" si="20"/>
        <v>Yes</v>
      </c>
      <c r="D322" t="s">
        <v>960</v>
      </c>
      <c r="E322" t="s">
        <v>1283</v>
      </c>
      <c r="F322" t="str" cm="1">
        <f t="array" ref="F322">IF(OR(COUNTIF(D322,"*"&amp;Preprocessing!$T$9:$T$15&amp;"*")),"Female","Male")</f>
        <v>Female</v>
      </c>
      <c r="G322">
        <v>30</v>
      </c>
      <c r="H322">
        <v>0</v>
      </c>
      <c r="I322">
        <v>0</v>
      </c>
      <c r="J322">
        <v>2</v>
      </c>
      <c r="K322">
        <v>12.35</v>
      </c>
      <c r="L322">
        <f t="shared" si="21"/>
        <v>1</v>
      </c>
      <c r="M322">
        <f t="shared" si="22"/>
        <v>30</v>
      </c>
      <c r="N322" t="str">
        <f t="shared" si="23"/>
        <v>Adult</v>
      </c>
      <c r="O322">
        <f t="shared" si="24"/>
        <v>12.35</v>
      </c>
    </row>
    <row r="323" spans="1:15" x14ac:dyDescent="0.3">
      <c r="A323">
        <v>322</v>
      </c>
      <c r="B323">
        <v>1</v>
      </c>
      <c r="C323" t="str">
        <f t="shared" ref="C323:C386" si="25">IF(B323=0,"No","Yes")</f>
        <v>Yes</v>
      </c>
      <c r="D323" t="s">
        <v>958</v>
      </c>
      <c r="E323" t="s">
        <v>1284</v>
      </c>
      <c r="F323" t="str" cm="1">
        <f t="array" ref="F323">IF(OR(COUNTIF(D323,"*"&amp;Preprocessing!$T$9:$T$15&amp;"*")),"Female","Male")</f>
        <v>Female</v>
      </c>
      <c r="G323">
        <v>22</v>
      </c>
      <c r="H323">
        <v>1</v>
      </c>
      <c r="I323">
        <v>1</v>
      </c>
      <c r="J323">
        <v>2</v>
      </c>
      <c r="K323">
        <v>29</v>
      </c>
      <c r="L323">
        <f t="shared" ref="L323:L386" si="26">IF(F323 = "Male", 0, 1)</f>
        <v>1</v>
      </c>
      <c r="M323">
        <f t="shared" ref="M323:M386" si="27">ROUND(G323, 0)</f>
        <v>22</v>
      </c>
      <c r="N323" t="str">
        <f t="shared" ref="N323:N386" si="28">IF(G323&lt;=16,"Child","Adult")</f>
        <v>Adult</v>
      </c>
      <c r="O323">
        <f t="shared" ref="O323:O386" si="29">ROUND(K323, 2)</f>
        <v>29</v>
      </c>
    </row>
    <row r="324" spans="1:15" x14ac:dyDescent="0.3">
      <c r="A324">
        <v>323</v>
      </c>
      <c r="B324">
        <v>0</v>
      </c>
      <c r="C324" t="str">
        <f t="shared" si="25"/>
        <v>No</v>
      </c>
      <c r="D324" t="s">
        <v>956</v>
      </c>
      <c r="E324" t="s">
        <v>1285</v>
      </c>
      <c r="F324" t="str" cm="1">
        <f t="array" ref="F324">IF(OR(COUNTIF(D324,"*"&amp;Preprocessing!$T$9:$T$15&amp;"*")),"Female","Male")</f>
        <v>Male</v>
      </c>
      <c r="G324">
        <v>20</v>
      </c>
      <c r="H324">
        <v>8</v>
      </c>
      <c r="I324">
        <v>2</v>
      </c>
      <c r="J324">
        <v>3</v>
      </c>
      <c r="K324">
        <v>69.55</v>
      </c>
      <c r="L324">
        <f t="shared" si="26"/>
        <v>0</v>
      </c>
      <c r="M324">
        <f t="shared" si="27"/>
        <v>20</v>
      </c>
      <c r="N324" t="str">
        <f t="shared" si="28"/>
        <v>Adult</v>
      </c>
      <c r="O324">
        <f t="shared" si="29"/>
        <v>69.55</v>
      </c>
    </row>
    <row r="325" spans="1:15" x14ac:dyDescent="0.3">
      <c r="A325">
        <v>324</v>
      </c>
      <c r="B325">
        <v>1</v>
      </c>
      <c r="C325" t="str">
        <f t="shared" si="25"/>
        <v>Yes</v>
      </c>
      <c r="D325" t="s">
        <v>960</v>
      </c>
      <c r="E325" t="s">
        <v>1286</v>
      </c>
      <c r="F325" t="str" cm="1">
        <f t="array" ref="F325">IF(OR(COUNTIF(D325,"*"&amp;Preprocessing!$T$9:$T$15&amp;"*")),"Female","Male")</f>
        <v>Female</v>
      </c>
      <c r="G325">
        <v>36</v>
      </c>
      <c r="H325">
        <v>0</v>
      </c>
      <c r="I325">
        <v>0</v>
      </c>
      <c r="J325">
        <v>1</v>
      </c>
      <c r="K325">
        <v>135.63329999999999</v>
      </c>
      <c r="L325">
        <f t="shared" si="26"/>
        <v>1</v>
      </c>
      <c r="M325">
        <f t="shared" si="27"/>
        <v>36</v>
      </c>
      <c r="N325" t="str">
        <f t="shared" si="28"/>
        <v>Adult</v>
      </c>
      <c r="O325">
        <f t="shared" si="29"/>
        <v>135.63</v>
      </c>
    </row>
    <row r="326" spans="1:15" x14ac:dyDescent="0.3">
      <c r="A326">
        <v>325</v>
      </c>
      <c r="B326">
        <v>0</v>
      </c>
      <c r="C326" t="str">
        <f t="shared" si="25"/>
        <v>No</v>
      </c>
      <c r="D326" t="s">
        <v>956</v>
      </c>
      <c r="E326" t="s">
        <v>1287</v>
      </c>
      <c r="F326" t="str" cm="1">
        <f t="array" ref="F326">IF(OR(COUNTIF(D326,"*"&amp;Preprocessing!$T$9:$T$15&amp;"*")),"Female","Male")</f>
        <v>Male</v>
      </c>
      <c r="G326">
        <v>61</v>
      </c>
      <c r="H326">
        <v>0</v>
      </c>
      <c r="I326">
        <v>0</v>
      </c>
      <c r="J326">
        <v>3</v>
      </c>
      <c r="K326">
        <v>6.2374999999999998</v>
      </c>
      <c r="L326">
        <f t="shared" si="26"/>
        <v>0</v>
      </c>
      <c r="M326">
        <f t="shared" si="27"/>
        <v>61</v>
      </c>
      <c r="N326" t="str">
        <f t="shared" si="28"/>
        <v>Adult</v>
      </c>
      <c r="O326">
        <f t="shared" si="29"/>
        <v>6.24</v>
      </c>
    </row>
    <row r="327" spans="1:15" x14ac:dyDescent="0.3">
      <c r="A327">
        <v>326</v>
      </c>
      <c r="B327">
        <v>1</v>
      </c>
      <c r="C327" t="str">
        <f t="shared" si="25"/>
        <v>Yes</v>
      </c>
      <c r="D327" t="s">
        <v>958</v>
      </c>
      <c r="E327" t="s">
        <v>1288</v>
      </c>
      <c r="F327" t="str" cm="1">
        <f t="array" ref="F327">IF(OR(COUNTIF(D327,"*"&amp;Preprocessing!$T$9:$T$15&amp;"*")),"Female","Male")</f>
        <v>Female</v>
      </c>
      <c r="G327">
        <v>36</v>
      </c>
      <c r="H327">
        <v>0</v>
      </c>
      <c r="I327">
        <v>0</v>
      </c>
      <c r="J327">
        <v>2</v>
      </c>
      <c r="K327">
        <v>13</v>
      </c>
      <c r="L327">
        <f t="shared" si="26"/>
        <v>1</v>
      </c>
      <c r="M327">
        <f t="shared" si="27"/>
        <v>36</v>
      </c>
      <c r="N327" t="str">
        <f t="shared" si="28"/>
        <v>Adult</v>
      </c>
      <c r="O327">
        <f t="shared" si="29"/>
        <v>13</v>
      </c>
    </row>
    <row r="328" spans="1:15" x14ac:dyDescent="0.3">
      <c r="A328">
        <v>327</v>
      </c>
      <c r="B328">
        <v>1</v>
      </c>
      <c r="C328" t="str">
        <f t="shared" si="25"/>
        <v>Yes</v>
      </c>
      <c r="D328" t="s">
        <v>958</v>
      </c>
      <c r="E328" t="s">
        <v>1289</v>
      </c>
      <c r="F328" t="str" cm="1">
        <f t="array" ref="F328">IF(OR(COUNTIF(D328,"*"&amp;Preprocessing!$T$9:$T$15&amp;"*")),"Female","Male")</f>
        <v>Female</v>
      </c>
      <c r="G328">
        <v>31</v>
      </c>
      <c r="H328">
        <v>1</v>
      </c>
      <c r="I328">
        <v>1</v>
      </c>
      <c r="J328">
        <v>3</v>
      </c>
      <c r="K328">
        <v>20.524999999999999</v>
      </c>
      <c r="L328">
        <f t="shared" si="26"/>
        <v>1</v>
      </c>
      <c r="M328">
        <f t="shared" si="27"/>
        <v>31</v>
      </c>
      <c r="N328" t="str">
        <f t="shared" si="28"/>
        <v>Adult</v>
      </c>
      <c r="O328">
        <f t="shared" si="29"/>
        <v>20.53</v>
      </c>
    </row>
    <row r="329" spans="1:15" x14ac:dyDescent="0.3">
      <c r="A329">
        <v>328</v>
      </c>
      <c r="B329">
        <v>1</v>
      </c>
      <c r="C329" t="str">
        <f t="shared" si="25"/>
        <v>Yes</v>
      </c>
      <c r="D329" t="s">
        <v>960</v>
      </c>
      <c r="E329" t="s">
        <v>1290</v>
      </c>
      <c r="F329" t="str" cm="1">
        <f t="array" ref="F329">IF(OR(COUNTIF(D329,"*"&amp;Preprocessing!$T$9:$T$15&amp;"*")),"Female","Male")</f>
        <v>Female</v>
      </c>
      <c r="G329">
        <v>16</v>
      </c>
      <c r="H329">
        <v>0</v>
      </c>
      <c r="I329">
        <v>1</v>
      </c>
      <c r="J329">
        <v>1</v>
      </c>
      <c r="K329">
        <v>57.979199999999999</v>
      </c>
      <c r="L329">
        <f t="shared" si="26"/>
        <v>1</v>
      </c>
      <c r="M329">
        <f t="shared" si="27"/>
        <v>16</v>
      </c>
      <c r="N329" t="str">
        <f t="shared" si="28"/>
        <v>Child</v>
      </c>
      <c r="O329">
        <f t="shared" si="29"/>
        <v>57.98</v>
      </c>
    </row>
    <row r="330" spans="1:15" x14ac:dyDescent="0.3">
      <c r="A330">
        <v>329</v>
      </c>
      <c r="B330">
        <v>1</v>
      </c>
      <c r="C330" t="str">
        <f t="shared" si="25"/>
        <v>Yes</v>
      </c>
      <c r="D330" t="s">
        <v>960</v>
      </c>
      <c r="E330" t="s">
        <v>1291</v>
      </c>
      <c r="F330" t="str" cm="1">
        <f t="array" ref="F330">IF(OR(COUNTIF(D330,"*"&amp;Preprocessing!$T$9:$T$15&amp;"*")),"Female","Male")</f>
        <v>Female</v>
      </c>
      <c r="G330">
        <v>28</v>
      </c>
      <c r="H330">
        <v>2</v>
      </c>
      <c r="I330">
        <v>0</v>
      </c>
      <c r="J330">
        <v>3</v>
      </c>
      <c r="K330">
        <v>23.25</v>
      </c>
      <c r="L330">
        <f t="shared" si="26"/>
        <v>1</v>
      </c>
      <c r="M330">
        <f t="shared" si="27"/>
        <v>28</v>
      </c>
      <c r="N330" t="str">
        <f t="shared" si="28"/>
        <v>Adult</v>
      </c>
      <c r="O330">
        <f t="shared" si="29"/>
        <v>23.25</v>
      </c>
    </row>
    <row r="331" spans="1:15" x14ac:dyDescent="0.3">
      <c r="A331">
        <v>330</v>
      </c>
      <c r="B331">
        <v>0</v>
      </c>
      <c r="C331" t="str">
        <f t="shared" si="25"/>
        <v>No</v>
      </c>
      <c r="D331" t="s">
        <v>956</v>
      </c>
      <c r="E331" t="s">
        <v>1292</v>
      </c>
      <c r="F331" t="str" cm="1">
        <f t="array" ref="F331">IF(OR(COUNTIF(D331,"*"&amp;Preprocessing!$T$9:$T$15&amp;"*")),"Female","Male")</f>
        <v>Male</v>
      </c>
      <c r="G331">
        <v>45.5</v>
      </c>
      <c r="H331">
        <v>0</v>
      </c>
      <c r="I331">
        <v>0</v>
      </c>
      <c r="J331">
        <v>1</v>
      </c>
      <c r="K331">
        <v>28.5</v>
      </c>
      <c r="L331">
        <f t="shared" si="26"/>
        <v>0</v>
      </c>
      <c r="M331">
        <f t="shared" si="27"/>
        <v>46</v>
      </c>
      <c r="N331" t="str">
        <f t="shared" si="28"/>
        <v>Adult</v>
      </c>
      <c r="O331">
        <f t="shared" si="29"/>
        <v>28.5</v>
      </c>
    </row>
    <row r="332" spans="1:15" x14ac:dyDescent="0.3">
      <c r="A332">
        <v>331</v>
      </c>
      <c r="B332">
        <v>0</v>
      </c>
      <c r="C332" t="str">
        <f t="shared" si="25"/>
        <v>No</v>
      </c>
      <c r="D332" t="s">
        <v>956</v>
      </c>
      <c r="E332" t="s">
        <v>1293</v>
      </c>
      <c r="F332" t="str" cm="1">
        <f t="array" ref="F332">IF(OR(COUNTIF(D332,"*"&amp;Preprocessing!$T$9:$T$15&amp;"*")),"Female","Male")</f>
        <v>Male</v>
      </c>
      <c r="G332">
        <v>38</v>
      </c>
      <c r="H332">
        <v>0</v>
      </c>
      <c r="I332">
        <v>1</v>
      </c>
      <c r="J332">
        <v>1</v>
      </c>
      <c r="K332">
        <v>153.46250000000001</v>
      </c>
      <c r="L332">
        <f t="shared" si="26"/>
        <v>0</v>
      </c>
      <c r="M332">
        <f t="shared" si="27"/>
        <v>38</v>
      </c>
      <c r="N332" t="str">
        <f t="shared" si="28"/>
        <v>Adult</v>
      </c>
      <c r="O332">
        <f t="shared" si="29"/>
        <v>153.46</v>
      </c>
    </row>
    <row r="333" spans="1:15" x14ac:dyDescent="0.3">
      <c r="A333">
        <v>332</v>
      </c>
      <c r="B333">
        <v>0</v>
      </c>
      <c r="C333" t="str">
        <f t="shared" si="25"/>
        <v>No</v>
      </c>
      <c r="D333" t="s">
        <v>956</v>
      </c>
      <c r="E333" t="s">
        <v>1294</v>
      </c>
      <c r="F333" t="str" cm="1">
        <f t="array" ref="F333">IF(OR(COUNTIF(D333,"*"&amp;Preprocessing!$T$9:$T$15&amp;"*")),"Female","Male")</f>
        <v>Male</v>
      </c>
      <c r="G333">
        <v>16</v>
      </c>
      <c r="H333">
        <v>2</v>
      </c>
      <c r="I333">
        <v>0</v>
      </c>
      <c r="J333">
        <v>3</v>
      </c>
      <c r="K333">
        <v>18</v>
      </c>
      <c r="L333">
        <f t="shared" si="26"/>
        <v>0</v>
      </c>
      <c r="M333">
        <f t="shared" si="27"/>
        <v>16</v>
      </c>
      <c r="N333" t="str">
        <f t="shared" si="28"/>
        <v>Child</v>
      </c>
      <c r="O333">
        <f t="shared" si="29"/>
        <v>18</v>
      </c>
    </row>
    <row r="334" spans="1:15" x14ac:dyDescent="0.3">
      <c r="A334">
        <v>333</v>
      </c>
      <c r="B334">
        <v>1</v>
      </c>
      <c r="C334" t="str">
        <f t="shared" si="25"/>
        <v>Yes</v>
      </c>
      <c r="D334" t="s">
        <v>958</v>
      </c>
      <c r="E334" t="s">
        <v>1295</v>
      </c>
      <c r="F334" t="str" cm="1">
        <f t="array" ref="F334">IF(OR(COUNTIF(D334,"*"&amp;Preprocessing!$T$9:$T$15&amp;"*")),"Female","Male")</f>
        <v>Female</v>
      </c>
      <c r="G334">
        <v>42</v>
      </c>
      <c r="H334">
        <v>1</v>
      </c>
      <c r="I334">
        <v>0</v>
      </c>
      <c r="J334">
        <v>1</v>
      </c>
      <c r="K334">
        <v>133.65</v>
      </c>
      <c r="L334">
        <f t="shared" si="26"/>
        <v>1</v>
      </c>
      <c r="M334">
        <f t="shared" si="27"/>
        <v>42</v>
      </c>
      <c r="N334" t="str">
        <f t="shared" si="28"/>
        <v>Adult</v>
      </c>
      <c r="O334">
        <f t="shared" si="29"/>
        <v>133.65</v>
      </c>
    </row>
    <row r="335" spans="1:15" x14ac:dyDescent="0.3">
      <c r="A335">
        <v>334</v>
      </c>
      <c r="B335">
        <v>0</v>
      </c>
      <c r="C335" t="str">
        <f t="shared" si="25"/>
        <v>No</v>
      </c>
      <c r="D335" t="s">
        <v>956</v>
      </c>
      <c r="E335" t="s">
        <v>1296</v>
      </c>
      <c r="F335" t="str" cm="1">
        <f t="array" ref="F335">IF(OR(COUNTIF(D335,"*"&amp;Preprocessing!$T$9:$T$15&amp;"*")),"Female","Male")</f>
        <v>Male</v>
      </c>
      <c r="G335">
        <v>30</v>
      </c>
      <c r="H335">
        <v>0</v>
      </c>
      <c r="I335">
        <v>0</v>
      </c>
      <c r="J335">
        <v>3</v>
      </c>
      <c r="K335">
        <v>7.8958000000000004</v>
      </c>
      <c r="L335">
        <f t="shared" si="26"/>
        <v>0</v>
      </c>
      <c r="M335">
        <f t="shared" si="27"/>
        <v>30</v>
      </c>
      <c r="N335" t="str">
        <f t="shared" si="28"/>
        <v>Adult</v>
      </c>
      <c r="O335">
        <f t="shared" si="29"/>
        <v>7.9</v>
      </c>
    </row>
    <row r="336" spans="1:15" x14ac:dyDescent="0.3">
      <c r="A336">
        <v>335</v>
      </c>
      <c r="B336">
        <v>0</v>
      </c>
      <c r="C336" t="str">
        <f t="shared" si="25"/>
        <v>No</v>
      </c>
      <c r="D336" t="s">
        <v>956</v>
      </c>
      <c r="E336" t="s">
        <v>1297</v>
      </c>
      <c r="F336" t="str" cm="1">
        <f t="array" ref="F336">IF(OR(COUNTIF(D336,"*"&amp;Preprocessing!$T$9:$T$15&amp;"*")),"Female","Male")</f>
        <v>Male</v>
      </c>
      <c r="G336">
        <v>29</v>
      </c>
      <c r="H336">
        <v>1</v>
      </c>
      <c r="I336">
        <v>0</v>
      </c>
      <c r="J336">
        <v>1</v>
      </c>
      <c r="K336">
        <v>66.599999999999994</v>
      </c>
      <c r="L336">
        <f t="shared" si="26"/>
        <v>0</v>
      </c>
      <c r="M336">
        <f t="shared" si="27"/>
        <v>29</v>
      </c>
      <c r="N336" t="str">
        <f t="shared" si="28"/>
        <v>Adult</v>
      </c>
      <c r="O336">
        <f t="shared" si="29"/>
        <v>66.599999999999994</v>
      </c>
    </row>
    <row r="337" spans="1:15" x14ac:dyDescent="0.3">
      <c r="A337">
        <v>336</v>
      </c>
      <c r="B337">
        <v>1</v>
      </c>
      <c r="C337" t="str">
        <f t="shared" si="25"/>
        <v>Yes</v>
      </c>
      <c r="D337" t="s">
        <v>960</v>
      </c>
      <c r="E337" t="s">
        <v>1298</v>
      </c>
      <c r="F337" t="str" cm="1">
        <f t="array" ref="F337">IF(OR(COUNTIF(D337,"*"&amp;Preprocessing!$T$9:$T$15&amp;"*")),"Female","Male")</f>
        <v>Female</v>
      </c>
      <c r="G337">
        <v>41</v>
      </c>
      <c r="H337">
        <v>0</v>
      </c>
      <c r="I337">
        <v>0</v>
      </c>
      <c r="J337">
        <v>1</v>
      </c>
      <c r="K337">
        <v>134.5</v>
      </c>
      <c r="L337">
        <f t="shared" si="26"/>
        <v>1</v>
      </c>
      <c r="M337">
        <f t="shared" si="27"/>
        <v>41</v>
      </c>
      <c r="N337" t="str">
        <f t="shared" si="28"/>
        <v>Adult</v>
      </c>
      <c r="O337">
        <f t="shared" si="29"/>
        <v>134.5</v>
      </c>
    </row>
    <row r="338" spans="1:15" x14ac:dyDescent="0.3">
      <c r="A338">
        <v>337</v>
      </c>
      <c r="B338">
        <v>1</v>
      </c>
      <c r="C338" t="str">
        <f t="shared" si="25"/>
        <v>Yes</v>
      </c>
      <c r="D338" t="s">
        <v>956</v>
      </c>
      <c r="E338" t="s">
        <v>1299</v>
      </c>
      <c r="F338" t="str" cm="1">
        <f t="array" ref="F338">IF(OR(COUNTIF(D338,"*"&amp;Preprocessing!$T$9:$T$15&amp;"*")),"Female","Male")</f>
        <v>Male</v>
      </c>
      <c r="G338">
        <v>45</v>
      </c>
      <c r="H338">
        <v>0</v>
      </c>
      <c r="I338">
        <v>0</v>
      </c>
      <c r="J338">
        <v>3</v>
      </c>
      <c r="K338">
        <v>8.0500000000000007</v>
      </c>
      <c r="L338">
        <f t="shared" si="26"/>
        <v>0</v>
      </c>
      <c r="M338">
        <f t="shared" si="27"/>
        <v>45</v>
      </c>
      <c r="N338" t="str">
        <f t="shared" si="28"/>
        <v>Adult</v>
      </c>
      <c r="O338">
        <f t="shared" si="29"/>
        <v>8.0500000000000007</v>
      </c>
    </row>
    <row r="339" spans="1:15" x14ac:dyDescent="0.3">
      <c r="A339">
        <v>338</v>
      </c>
      <c r="B339">
        <v>0</v>
      </c>
      <c r="C339" t="str">
        <f t="shared" si="25"/>
        <v>No</v>
      </c>
      <c r="D339" t="s">
        <v>956</v>
      </c>
      <c r="E339" t="s">
        <v>1300</v>
      </c>
      <c r="F339" t="str" cm="1">
        <f t="array" ref="F339">IF(OR(COUNTIF(D339,"*"&amp;Preprocessing!$T$9:$T$15&amp;"*")),"Female","Male")</f>
        <v>Male</v>
      </c>
      <c r="G339">
        <v>45</v>
      </c>
      <c r="H339">
        <v>0</v>
      </c>
      <c r="I339">
        <v>0</v>
      </c>
      <c r="J339">
        <v>1</v>
      </c>
      <c r="K339">
        <v>35.5</v>
      </c>
      <c r="L339">
        <f t="shared" si="26"/>
        <v>0</v>
      </c>
      <c r="M339">
        <f t="shared" si="27"/>
        <v>45</v>
      </c>
      <c r="N339" t="str">
        <f t="shared" si="28"/>
        <v>Adult</v>
      </c>
      <c r="O339">
        <f t="shared" si="29"/>
        <v>35.5</v>
      </c>
    </row>
    <row r="340" spans="1:15" x14ac:dyDescent="0.3">
      <c r="A340">
        <v>339</v>
      </c>
      <c r="B340">
        <v>1</v>
      </c>
      <c r="C340" t="str">
        <f t="shared" si="25"/>
        <v>Yes</v>
      </c>
      <c r="D340" t="s">
        <v>966</v>
      </c>
      <c r="E340" t="s">
        <v>1301</v>
      </c>
      <c r="F340" t="str" cm="1">
        <f t="array" ref="F340">IF(OR(COUNTIF(D340,"*"&amp;Preprocessing!$T$9:$T$15&amp;"*")),"Female","Male")</f>
        <v>Male</v>
      </c>
      <c r="G340">
        <v>2</v>
      </c>
      <c r="H340">
        <v>1</v>
      </c>
      <c r="I340">
        <v>1</v>
      </c>
      <c r="J340">
        <v>2</v>
      </c>
      <c r="K340">
        <v>26</v>
      </c>
      <c r="L340">
        <f t="shared" si="26"/>
        <v>0</v>
      </c>
      <c r="M340">
        <f t="shared" si="27"/>
        <v>2</v>
      </c>
      <c r="N340" t="str">
        <f t="shared" si="28"/>
        <v>Child</v>
      </c>
      <c r="O340">
        <f t="shared" si="29"/>
        <v>26</v>
      </c>
    </row>
    <row r="341" spans="1:15" x14ac:dyDescent="0.3">
      <c r="A341">
        <v>340</v>
      </c>
      <c r="B341">
        <v>1</v>
      </c>
      <c r="C341" t="str">
        <f t="shared" si="25"/>
        <v>Yes</v>
      </c>
      <c r="D341" t="s">
        <v>960</v>
      </c>
      <c r="E341" t="s">
        <v>1302</v>
      </c>
      <c r="F341" t="str" cm="1">
        <f t="array" ref="F341">IF(OR(COUNTIF(D341,"*"&amp;Preprocessing!$T$9:$T$15&amp;"*")),"Female","Male")</f>
        <v>Female</v>
      </c>
      <c r="G341">
        <v>24</v>
      </c>
      <c r="H341">
        <v>3</v>
      </c>
      <c r="I341">
        <v>2</v>
      </c>
      <c r="J341">
        <v>1</v>
      </c>
      <c r="K341">
        <v>263</v>
      </c>
      <c r="L341">
        <f t="shared" si="26"/>
        <v>1</v>
      </c>
      <c r="M341">
        <f t="shared" si="27"/>
        <v>24</v>
      </c>
      <c r="N341" t="str">
        <f t="shared" si="28"/>
        <v>Adult</v>
      </c>
      <c r="O341">
        <f t="shared" si="29"/>
        <v>263</v>
      </c>
    </row>
    <row r="342" spans="1:15" x14ac:dyDescent="0.3">
      <c r="A342">
        <v>341</v>
      </c>
      <c r="B342">
        <v>0</v>
      </c>
      <c r="C342" t="str">
        <f t="shared" si="25"/>
        <v>No</v>
      </c>
      <c r="D342" t="s">
        <v>956</v>
      </c>
      <c r="E342" t="s">
        <v>1303</v>
      </c>
      <c r="F342" t="str" cm="1">
        <f t="array" ref="F342">IF(OR(COUNTIF(D342,"*"&amp;Preprocessing!$T$9:$T$15&amp;"*")),"Female","Male")</f>
        <v>Male</v>
      </c>
      <c r="G342">
        <v>28</v>
      </c>
      <c r="H342">
        <v>0</v>
      </c>
      <c r="I342">
        <v>0</v>
      </c>
      <c r="J342">
        <v>2</v>
      </c>
      <c r="K342">
        <v>13</v>
      </c>
      <c r="L342">
        <f t="shared" si="26"/>
        <v>0</v>
      </c>
      <c r="M342">
        <f t="shared" si="27"/>
        <v>28</v>
      </c>
      <c r="N342" t="str">
        <f t="shared" si="28"/>
        <v>Adult</v>
      </c>
      <c r="O342">
        <f t="shared" si="29"/>
        <v>13</v>
      </c>
    </row>
    <row r="343" spans="1:15" x14ac:dyDescent="0.3">
      <c r="A343">
        <v>342</v>
      </c>
      <c r="B343">
        <v>0</v>
      </c>
      <c r="C343" t="str">
        <f t="shared" si="25"/>
        <v>No</v>
      </c>
      <c r="D343" t="s">
        <v>956</v>
      </c>
      <c r="E343" t="s">
        <v>1304</v>
      </c>
      <c r="F343" t="str" cm="1">
        <f t="array" ref="F343">IF(OR(COUNTIF(D343,"*"&amp;Preprocessing!$T$9:$T$15&amp;"*")),"Female","Male")</f>
        <v>Male</v>
      </c>
      <c r="G343">
        <v>25</v>
      </c>
      <c r="H343">
        <v>0</v>
      </c>
      <c r="I343">
        <v>0</v>
      </c>
      <c r="J343">
        <v>2</v>
      </c>
      <c r="K343">
        <v>13</v>
      </c>
      <c r="L343">
        <f t="shared" si="26"/>
        <v>0</v>
      </c>
      <c r="M343">
        <f t="shared" si="27"/>
        <v>25</v>
      </c>
      <c r="N343" t="str">
        <f t="shared" si="28"/>
        <v>Adult</v>
      </c>
      <c r="O343">
        <f t="shared" si="29"/>
        <v>13</v>
      </c>
    </row>
    <row r="344" spans="1:15" x14ac:dyDescent="0.3">
      <c r="A344">
        <v>343</v>
      </c>
      <c r="B344">
        <v>0</v>
      </c>
      <c r="C344" t="str">
        <f t="shared" si="25"/>
        <v>No</v>
      </c>
      <c r="D344" t="s">
        <v>956</v>
      </c>
      <c r="E344" t="s">
        <v>1305</v>
      </c>
      <c r="F344" t="str" cm="1">
        <f t="array" ref="F344">IF(OR(COUNTIF(D344,"*"&amp;Preprocessing!$T$9:$T$15&amp;"*")),"Female","Male")</f>
        <v>Male</v>
      </c>
      <c r="G344">
        <v>36</v>
      </c>
      <c r="H344">
        <v>0</v>
      </c>
      <c r="I344">
        <v>0</v>
      </c>
      <c r="J344">
        <v>2</v>
      </c>
      <c r="K344">
        <v>13</v>
      </c>
      <c r="L344">
        <f t="shared" si="26"/>
        <v>0</v>
      </c>
      <c r="M344">
        <f t="shared" si="27"/>
        <v>36</v>
      </c>
      <c r="N344" t="str">
        <f t="shared" si="28"/>
        <v>Adult</v>
      </c>
      <c r="O344">
        <f t="shared" si="29"/>
        <v>13</v>
      </c>
    </row>
    <row r="345" spans="1:15" x14ac:dyDescent="0.3">
      <c r="A345">
        <v>344</v>
      </c>
      <c r="B345">
        <v>1</v>
      </c>
      <c r="C345" t="str">
        <f t="shared" si="25"/>
        <v>Yes</v>
      </c>
      <c r="D345" t="s">
        <v>960</v>
      </c>
      <c r="E345" t="s">
        <v>1306</v>
      </c>
      <c r="F345" t="str" cm="1">
        <f t="array" ref="F345">IF(OR(COUNTIF(D345,"*"&amp;Preprocessing!$T$9:$T$15&amp;"*")),"Female","Male")</f>
        <v>Female</v>
      </c>
      <c r="G345">
        <v>24</v>
      </c>
      <c r="H345">
        <v>0</v>
      </c>
      <c r="I345">
        <v>0</v>
      </c>
      <c r="J345">
        <v>2</v>
      </c>
      <c r="K345">
        <v>13</v>
      </c>
      <c r="L345">
        <f t="shared" si="26"/>
        <v>1</v>
      </c>
      <c r="M345">
        <f t="shared" si="27"/>
        <v>24</v>
      </c>
      <c r="N345" t="str">
        <f t="shared" si="28"/>
        <v>Adult</v>
      </c>
      <c r="O345">
        <f t="shared" si="29"/>
        <v>13</v>
      </c>
    </row>
    <row r="346" spans="1:15" x14ac:dyDescent="0.3">
      <c r="A346">
        <v>345</v>
      </c>
      <c r="B346">
        <v>1</v>
      </c>
      <c r="C346" t="str">
        <f t="shared" si="25"/>
        <v>Yes</v>
      </c>
      <c r="D346" t="s">
        <v>960</v>
      </c>
      <c r="E346" t="s">
        <v>1307</v>
      </c>
      <c r="F346" t="str" cm="1">
        <f t="array" ref="F346">IF(OR(COUNTIF(D346,"*"&amp;Preprocessing!$T$9:$T$15&amp;"*")),"Female","Male")</f>
        <v>Female</v>
      </c>
      <c r="G346">
        <v>40</v>
      </c>
      <c r="H346">
        <v>0</v>
      </c>
      <c r="I346">
        <v>0</v>
      </c>
      <c r="J346">
        <v>2</v>
      </c>
      <c r="K346">
        <v>13</v>
      </c>
      <c r="L346">
        <f t="shared" si="26"/>
        <v>1</v>
      </c>
      <c r="M346">
        <f t="shared" si="27"/>
        <v>40</v>
      </c>
      <c r="N346" t="str">
        <f t="shared" si="28"/>
        <v>Adult</v>
      </c>
      <c r="O346">
        <f t="shared" si="29"/>
        <v>13</v>
      </c>
    </row>
    <row r="347" spans="1:15" x14ac:dyDescent="0.3">
      <c r="A347">
        <v>346</v>
      </c>
      <c r="B347">
        <v>1</v>
      </c>
      <c r="C347" t="str">
        <f t="shared" si="25"/>
        <v>Yes</v>
      </c>
      <c r="D347" t="s">
        <v>958</v>
      </c>
      <c r="E347" t="s">
        <v>1308</v>
      </c>
      <c r="F347" t="str" cm="1">
        <f t="array" ref="F347">IF(OR(COUNTIF(D347,"*"&amp;Preprocessing!$T$9:$T$15&amp;"*")),"Female","Male")</f>
        <v>Female</v>
      </c>
      <c r="G347">
        <v>34</v>
      </c>
      <c r="H347">
        <v>1</v>
      </c>
      <c r="I347">
        <v>0</v>
      </c>
      <c r="J347">
        <v>3</v>
      </c>
      <c r="K347">
        <v>16.100000000000001</v>
      </c>
      <c r="L347">
        <f t="shared" si="26"/>
        <v>1</v>
      </c>
      <c r="M347">
        <f t="shared" si="27"/>
        <v>34</v>
      </c>
      <c r="N347" t="str">
        <f t="shared" si="28"/>
        <v>Adult</v>
      </c>
      <c r="O347">
        <f t="shared" si="29"/>
        <v>16.100000000000001</v>
      </c>
    </row>
    <row r="348" spans="1:15" x14ac:dyDescent="0.3">
      <c r="A348">
        <v>347</v>
      </c>
      <c r="B348">
        <v>1</v>
      </c>
      <c r="C348" t="str">
        <f t="shared" si="25"/>
        <v>Yes</v>
      </c>
      <c r="D348" t="s">
        <v>966</v>
      </c>
      <c r="E348" t="s">
        <v>1309</v>
      </c>
      <c r="F348" t="str" cm="1">
        <f t="array" ref="F348">IF(OR(COUNTIF(D348,"*"&amp;Preprocessing!$T$9:$T$15&amp;"*")),"Female","Male")</f>
        <v>Male</v>
      </c>
      <c r="G348">
        <v>3</v>
      </c>
      <c r="H348">
        <v>1</v>
      </c>
      <c r="I348">
        <v>1</v>
      </c>
      <c r="J348">
        <v>3</v>
      </c>
      <c r="K348">
        <v>15.9</v>
      </c>
      <c r="L348">
        <f t="shared" si="26"/>
        <v>0</v>
      </c>
      <c r="M348">
        <f t="shared" si="27"/>
        <v>3</v>
      </c>
      <c r="N348" t="str">
        <f t="shared" si="28"/>
        <v>Child</v>
      </c>
      <c r="O348">
        <f t="shared" si="29"/>
        <v>15.9</v>
      </c>
    </row>
    <row r="349" spans="1:15" x14ac:dyDescent="0.3">
      <c r="A349">
        <v>348</v>
      </c>
      <c r="B349">
        <v>0</v>
      </c>
      <c r="C349" t="str">
        <f t="shared" si="25"/>
        <v>No</v>
      </c>
      <c r="D349" t="s">
        <v>956</v>
      </c>
      <c r="E349" t="s">
        <v>1310</v>
      </c>
      <c r="F349" t="str" cm="1">
        <f t="array" ref="F349">IF(OR(COUNTIF(D349,"*"&amp;Preprocessing!$T$9:$T$15&amp;"*")),"Female","Male")</f>
        <v>Male</v>
      </c>
      <c r="G349">
        <v>42</v>
      </c>
      <c r="H349">
        <v>0</v>
      </c>
      <c r="I349">
        <v>0</v>
      </c>
      <c r="J349">
        <v>3</v>
      </c>
      <c r="K349">
        <v>8.6624999999999996</v>
      </c>
      <c r="L349">
        <f t="shared" si="26"/>
        <v>0</v>
      </c>
      <c r="M349">
        <f t="shared" si="27"/>
        <v>42</v>
      </c>
      <c r="N349" t="str">
        <f t="shared" si="28"/>
        <v>Adult</v>
      </c>
      <c r="O349">
        <f t="shared" si="29"/>
        <v>8.66</v>
      </c>
    </row>
    <row r="350" spans="1:15" x14ac:dyDescent="0.3">
      <c r="A350">
        <v>349</v>
      </c>
      <c r="B350">
        <v>0</v>
      </c>
      <c r="C350" t="str">
        <f t="shared" si="25"/>
        <v>No</v>
      </c>
      <c r="D350" t="s">
        <v>956</v>
      </c>
      <c r="E350" t="s">
        <v>1311</v>
      </c>
      <c r="F350" t="str" cm="1">
        <f t="array" ref="F350">IF(OR(COUNTIF(D350,"*"&amp;Preprocessing!$T$9:$T$15&amp;"*")),"Female","Male")</f>
        <v>Male</v>
      </c>
      <c r="G350">
        <v>23</v>
      </c>
      <c r="H350">
        <v>0</v>
      </c>
      <c r="I350">
        <v>0</v>
      </c>
      <c r="J350">
        <v>3</v>
      </c>
      <c r="K350">
        <v>9.2249999999999996</v>
      </c>
      <c r="L350">
        <f t="shared" si="26"/>
        <v>0</v>
      </c>
      <c r="M350">
        <f t="shared" si="27"/>
        <v>23</v>
      </c>
      <c r="N350" t="str">
        <f t="shared" si="28"/>
        <v>Adult</v>
      </c>
      <c r="O350">
        <f t="shared" si="29"/>
        <v>9.23</v>
      </c>
    </row>
    <row r="351" spans="1:15" x14ac:dyDescent="0.3">
      <c r="A351">
        <v>350</v>
      </c>
      <c r="B351">
        <v>0</v>
      </c>
      <c r="C351" t="str">
        <f t="shared" si="25"/>
        <v>No</v>
      </c>
      <c r="D351" t="s">
        <v>956</v>
      </c>
      <c r="E351" t="s">
        <v>1312</v>
      </c>
      <c r="F351" t="str" cm="1">
        <f t="array" ref="F351">IF(OR(COUNTIF(D351,"*"&amp;Preprocessing!$T$9:$T$15&amp;"*")),"Female","Male")</f>
        <v>Male</v>
      </c>
      <c r="G351">
        <v>43</v>
      </c>
      <c r="H351">
        <v>0</v>
      </c>
      <c r="I351">
        <v>0</v>
      </c>
      <c r="J351">
        <v>1</v>
      </c>
      <c r="K351">
        <v>35</v>
      </c>
      <c r="L351">
        <f t="shared" si="26"/>
        <v>0</v>
      </c>
      <c r="M351">
        <f t="shared" si="27"/>
        <v>43</v>
      </c>
      <c r="N351" t="str">
        <f t="shared" si="28"/>
        <v>Adult</v>
      </c>
      <c r="O351">
        <f t="shared" si="29"/>
        <v>35</v>
      </c>
    </row>
    <row r="352" spans="1:15" x14ac:dyDescent="0.3">
      <c r="A352">
        <v>351</v>
      </c>
      <c r="B352">
        <v>0</v>
      </c>
      <c r="C352" t="str">
        <f t="shared" si="25"/>
        <v>No</v>
      </c>
      <c r="D352" t="s">
        <v>956</v>
      </c>
      <c r="E352" t="s">
        <v>1313</v>
      </c>
      <c r="F352" t="str" cm="1">
        <f t="array" ref="F352">IF(OR(COUNTIF(D352,"*"&amp;Preprocessing!$T$9:$T$15&amp;"*")),"Female","Male")</f>
        <v>Male</v>
      </c>
      <c r="G352">
        <v>15</v>
      </c>
      <c r="H352">
        <v>1</v>
      </c>
      <c r="I352">
        <v>1</v>
      </c>
      <c r="J352">
        <v>3</v>
      </c>
      <c r="K352">
        <v>7.2291999999999996</v>
      </c>
      <c r="L352">
        <f t="shared" si="26"/>
        <v>0</v>
      </c>
      <c r="M352">
        <f t="shared" si="27"/>
        <v>15</v>
      </c>
      <c r="N352" t="str">
        <f t="shared" si="28"/>
        <v>Child</v>
      </c>
      <c r="O352">
        <f t="shared" si="29"/>
        <v>7.23</v>
      </c>
    </row>
    <row r="353" spans="1:15" x14ac:dyDescent="0.3">
      <c r="A353">
        <v>352</v>
      </c>
      <c r="B353">
        <v>0</v>
      </c>
      <c r="C353" t="str">
        <f t="shared" si="25"/>
        <v>No</v>
      </c>
      <c r="D353" t="s">
        <v>956</v>
      </c>
      <c r="E353" t="s">
        <v>1314</v>
      </c>
      <c r="F353" t="str" cm="1">
        <f t="array" ref="F353">IF(OR(COUNTIF(D353,"*"&amp;Preprocessing!$T$9:$T$15&amp;"*")),"Female","Male")</f>
        <v>Male</v>
      </c>
      <c r="G353">
        <v>25</v>
      </c>
      <c r="H353">
        <v>1</v>
      </c>
      <c r="I353">
        <v>0</v>
      </c>
      <c r="J353">
        <v>3</v>
      </c>
      <c r="K353">
        <v>17.8</v>
      </c>
      <c r="L353">
        <f t="shared" si="26"/>
        <v>0</v>
      </c>
      <c r="M353">
        <f t="shared" si="27"/>
        <v>25</v>
      </c>
      <c r="N353" t="str">
        <f t="shared" si="28"/>
        <v>Adult</v>
      </c>
      <c r="O353">
        <f t="shared" si="29"/>
        <v>17.8</v>
      </c>
    </row>
    <row r="354" spans="1:15" x14ac:dyDescent="0.3">
      <c r="A354">
        <v>353</v>
      </c>
      <c r="B354">
        <v>0</v>
      </c>
      <c r="C354" t="str">
        <f t="shared" si="25"/>
        <v>No</v>
      </c>
      <c r="D354" t="s">
        <v>956</v>
      </c>
      <c r="E354" t="s">
        <v>1315</v>
      </c>
      <c r="F354" t="str" cm="1">
        <f t="array" ref="F354">IF(OR(COUNTIF(D354,"*"&amp;Preprocessing!$T$9:$T$15&amp;"*")),"Female","Male")</f>
        <v>Male</v>
      </c>
      <c r="G354">
        <v>23</v>
      </c>
      <c r="H354">
        <v>0</v>
      </c>
      <c r="I354">
        <v>0</v>
      </c>
      <c r="J354">
        <v>3</v>
      </c>
      <c r="K354">
        <v>7.2249999999999996</v>
      </c>
      <c r="L354">
        <f t="shared" si="26"/>
        <v>0</v>
      </c>
      <c r="M354">
        <f t="shared" si="27"/>
        <v>23</v>
      </c>
      <c r="N354" t="str">
        <f t="shared" si="28"/>
        <v>Adult</v>
      </c>
      <c r="O354">
        <f t="shared" si="29"/>
        <v>7.23</v>
      </c>
    </row>
    <row r="355" spans="1:15" x14ac:dyDescent="0.3">
      <c r="A355">
        <v>354</v>
      </c>
      <c r="B355">
        <v>0</v>
      </c>
      <c r="C355" t="str">
        <f t="shared" si="25"/>
        <v>No</v>
      </c>
      <c r="D355" t="s">
        <v>956</v>
      </c>
      <c r="E355" t="s">
        <v>1316</v>
      </c>
      <c r="F355" t="str" cm="1">
        <f t="array" ref="F355">IF(OR(COUNTIF(D355,"*"&amp;Preprocessing!$T$9:$T$15&amp;"*")),"Female","Male")</f>
        <v>Male</v>
      </c>
      <c r="G355">
        <v>28</v>
      </c>
      <c r="H355">
        <v>0</v>
      </c>
      <c r="I355">
        <v>0</v>
      </c>
      <c r="J355">
        <v>3</v>
      </c>
      <c r="K355">
        <v>9.5</v>
      </c>
      <c r="L355">
        <f t="shared" si="26"/>
        <v>0</v>
      </c>
      <c r="M355">
        <f t="shared" si="27"/>
        <v>28</v>
      </c>
      <c r="N355" t="str">
        <f t="shared" si="28"/>
        <v>Adult</v>
      </c>
      <c r="O355">
        <f t="shared" si="29"/>
        <v>9.5</v>
      </c>
    </row>
    <row r="356" spans="1:15" x14ac:dyDescent="0.3">
      <c r="A356">
        <v>355</v>
      </c>
      <c r="B356">
        <v>1</v>
      </c>
      <c r="C356" t="str">
        <f t="shared" si="25"/>
        <v>Yes</v>
      </c>
      <c r="D356" t="s">
        <v>960</v>
      </c>
      <c r="E356" t="s">
        <v>1317</v>
      </c>
      <c r="F356" t="str" cm="1">
        <f t="array" ref="F356">IF(OR(COUNTIF(D356,"*"&amp;Preprocessing!$T$9:$T$15&amp;"*")),"Female","Male")</f>
        <v>Female</v>
      </c>
      <c r="G356">
        <v>22</v>
      </c>
      <c r="H356">
        <v>0</v>
      </c>
      <c r="I356">
        <v>1</v>
      </c>
      <c r="J356">
        <v>1</v>
      </c>
      <c r="K356">
        <v>55</v>
      </c>
      <c r="L356">
        <f t="shared" si="26"/>
        <v>1</v>
      </c>
      <c r="M356">
        <f t="shared" si="27"/>
        <v>22</v>
      </c>
      <c r="N356" t="str">
        <f t="shared" si="28"/>
        <v>Adult</v>
      </c>
      <c r="O356">
        <f t="shared" si="29"/>
        <v>55</v>
      </c>
    </row>
    <row r="357" spans="1:15" x14ac:dyDescent="0.3">
      <c r="A357">
        <v>356</v>
      </c>
      <c r="B357">
        <v>0</v>
      </c>
      <c r="C357" t="str">
        <f t="shared" si="25"/>
        <v>No</v>
      </c>
      <c r="D357" t="s">
        <v>960</v>
      </c>
      <c r="E357" t="s">
        <v>1318</v>
      </c>
      <c r="F357" t="str" cm="1">
        <f t="array" ref="F357">IF(OR(COUNTIF(D357,"*"&amp;Preprocessing!$T$9:$T$15&amp;"*")),"Female","Male")</f>
        <v>Female</v>
      </c>
      <c r="G357">
        <v>38</v>
      </c>
      <c r="H357">
        <v>0</v>
      </c>
      <c r="I357">
        <v>0</v>
      </c>
      <c r="J357">
        <v>2</v>
      </c>
      <c r="K357">
        <v>13</v>
      </c>
      <c r="L357">
        <f t="shared" si="26"/>
        <v>1</v>
      </c>
      <c r="M357">
        <f t="shared" si="27"/>
        <v>38</v>
      </c>
      <c r="N357" t="str">
        <f t="shared" si="28"/>
        <v>Adult</v>
      </c>
      <c r="O357">
        <f t="shared" si="29"/>
        <v>13</v>
      </c>
    </row>
    <row r="358" spans="1:15" x14ac:dyDescent="0.3">
      <c r="A358">
        <v>357</v>
      </c>
      <c r="B358">
        <v>1</v>
      </c>
      <c r="C358" t="str">
        <f t="shared" si="25"/>
        <v>Yes</v>
      </c>
      <c r="D358" t="s">
        <v>960</v>
      </c>
      <c r="E358" t="s">
        <v>1319</v>
      </c>
      <c r="F358" t="str" cm="1">
        <f t="array" ref="F358">IF(OR(COUNTIF(D358,"*"&amp;Preprocessing!$T$9:$T$15&amp;"*")),"Female","Male")</f>
        <v>Female</v>
      </c>
      <c r="G358">
        <v>22</v>
      </c>
      <c r="H358">
        <v>0</v>
      </c>
      <c r="I358">
        <v>0</v>
      </c>
      <c r="J358">
        <v>3</v>
      </c>
      <c r="K358">
        <v>7.8792</v>
      </c>
      <c r="L358">
        <f t="shared" si="26"/>
        <v>1</v>
      </c>
      <c r="M358">
        <f t="shared" si="27"/>
        <v>22</v>
      </c>
      <c r="N358" t="str">
        <f t="shared" si="28"/>
        <v>Adult</v>
      </c>
      <c r="O358">
        <f t="shared" si="29"/>
        <v>7.88</v>
      </c>
    </row>
    <row r="359" spans="1:15" x14ac:dyDescent="0.3">
      <c r="A359">
        <v>358</v>
      </c>
      <c r="B359">
        <v>1</v>
      </c>
      <c r="C359" t="str">
        <f t="shared" si="25"/>
        <v>Yes</v>
      </c>
      <c r="D359" t="s">
        <v>960</v>
      </c>
      <c r="E359" t="s">
        <v>1320</v>
      </c>
      <c r="F359" t="str" cm="1">
        <f t="array" ref="F359">IF(OR(COUNTIF(D359,"*"&amp;Preprocessing!$T$9:$T$15&amp;"*")),"Female","Male")</f>
        <v>Female</v>
      </c>
      <c r="G359">
        <v>23</v>
      </c>
      <c r="H359">
        <v>0</v>
      </c>
      <c r="I359">
        <v>0</v>
      </c>
      <c r="J359">
        <v>3</v>
      </c>
      <c r="K359">
        <v>7.8792</v>
      </c>
      <c r="L359">
        <f t="shared" si="26"/>
        <v>1</v>
      </c>
      <c r="M359">
        <f t="shared" si="27"/>
        <v>23</v>
      </c>
      <c r="N359" t="str">
        <f t="shared" si="28"/>
        <v>Adult</v>
      </c>
      <c r="O359">
        <f t="shared" si="29"/>
        <v>7.88</v>
      </c>
    </row>
    <row r="360" spans="1:15" x14ac:dyDescent="0.3">
      <c r="A360">
        <v>359</v>
      </c>
      <c r="B360">
        <v>0</v>
      </c>
      <c r="C360" t="str">
        <f t="shared" si="25"/>
        <v>No</v>
      </c>
      <c r="D360" t="s">
        <v>956</v>
      </c>
      <c r="E360" t="s">
        <v>1321</v>
      </c>
      <c r="F360" t="str" cm="1">
        <f t="array" ref="F360">IF(OR(COUNTIF(D360,"*"&amp;Preprocessing!$T$9:$T$15&amp;"*")),"Female","Male")</f>
        <v>Male</v>
      </c>
      <c r="G360">
        <v>40</v>
      </c>
      <c r="H360">
        <v>1</v>
      </c>
      <c r="I360">
        <v>4</v>
      </c>
      <c r="J360">
        <v>3</v>
      </c>
      <c r="K360">
        <v>27.9</v>
      </c>
      <c r="L360">
        <f t="shared" si="26"/>
        <v>0</v>
      </c>
      <c r="M360">
        <f t="shared" si="27"/>
        <v>40</v>
      </c>
      <c r="N360" t="str">
        <f t="shared" si="28"/>
        <v>Adult</v>
      </c>
      <c r="O360">
        <f t="shared" si="29"/>
        <v>27.9</v>
      </c>
    </row>
    <row r="361" spans="1:15" x14ac:dyDescent="0.3">
      <c r="A361">
        <v>360</v>
      </c>
      <c r="B361">
        <v>0</v>
      </c>
      <c r="C361" t="str">
        <f t="shared" si="25"/>
        <v>No</v>
      </c>
      <c r="D361" t="s">
        <v>956</v>
      </c>
      <c r="E361" t="s">
        <v>1322</v>
      </c>
      <c r="F361" t="str" cm="1">
        <f t="array" ref="F361">IF(OR(COUNTIF(D361,"*"&amp;Preprocessing!$T$9:$T$15&amp;"*")),"Female","Male")</f>
        <v>Male</v>
      </c>
      <c r="G361">
        <v>29</v>
      </c>
      <c r="H361">
        <v>1</v>
      </c>
      <c r="I361">
        <v>0</v>
      </c>
      <c r="J361">
        <v>2</v>
      </c>
      <c r="K361">
        <v>27.720800000000001</v>
      </c>
      <c r="L361">
        <f t="shared" si="26"/>
        <v>0</v>
      </c>
      <c r="M361">
        <f t="shared" si="27"/>
        <v>29</v>
      </c>
      <c r="N361" t="str">
        <f t="shared" si="28"/>
        <v>Adult</v>
      </c>
      <c r="O361">
        <f t="shared" si="29"/>
        <v>27.72</v>
      </c>
    </row>
    <row r="362" spans="1:15" x14ac:dyDescent="0.3">
      <c r="A362">
        <v>361</v>
      </c>
      <c r="B362">
        <v>0</v>
      </c>
      <c r="C362" t="str">
        <f t="shared" si="25"/>
        <v>No</v>
      </c>
      <c r="D362" t="s">
        <v>958</v>
      </c>
      <c r="E362" t="s">
        <v>1323</v>
      </c>
      <c r="F362" t="str" cm="1">
        <f t="array" ref="F362">IF(OR(COUNTIF(D362,"*"&amp;Preprocessing!$T$9:$T$15&amp;"*")),"Female","Male")</f>
        <v>Female</v>
      </c>
      <c r="G362">
        <v>45</v>
      </c>
      <c r="H362">
        <v>0</v>
      </c>
      <c r="I362">
        <v>1</v>
      </c>
      <c r="J362">
        <v>3</v>
      </c>
      <c r="K362">
        <v>14.4542</v>
      </c>
      <c r="L362">
        <f t="shared" si="26"/>
        <v>1</v>
      </c>
      <c r="M362">
        <f t="shared" si="27"/>
        <v>45</v>
      </c>
      <c r="N362" t="str">
        <f t="shared" si="28"/>
        <v>Adult</v>
      </c>
      <c r="O362">
        <f t="shared" si="29"/>
        <v>14.45</v>
      </c>
    </row>
    <row r="363" spans="1:15" x14ac:dyDescent="0.3">
      <c r="A363">
        <v>362</v>
      </c>
      <c r="B363">
        <v>0</v>
      </c>
      <c r="C363" t="str">
        <f t="shared" si="25"/>
        <v>No</v>
      </c>
      <c r="D363" t="s">
        <v>956</v>
      </c>
      <c r="E363" t="s">
        <v>1324</v>
      </c>
      <c r="F363" t="str" cm="1">
        <f t="array" ref="F363">IF(OR(COUNTIF(D363,"*"&amp;Preprocessing!$T$9:$T$15&amp;"*")),"Female","Male")</f>
        <v>Male</v>
      </c>
      <c r="G363">
        <v>35</v>
      </c>
      <c r="H363">
        <v>0</v>
      </c>
      <c r="I363">
        <v>0</v>
      </c>
      <c r="J363">
        <v>3</v>
      </c>
      <c r="K363">
        <v>7.05</v>
      </c>
      <c r="L363">
        <f t="shared" si="26"/>
        <v>0</v>
      </c>
      <c r="M363">
        <f t="shared" si="27"/>
        <v>35</v>
      </c>
      <c r="N363" t="str">
        <f t="shared" si="28"/>
        <v>Adult</v>
      </c>
      <c r="O363">
        <f t="shared" si="29"/>
        <v>7.05</v>
      </c>
    </row>
    <row r="364" spans="1:15" x14ac:dyDescent="0.3">
      <c r="A364">
        <v>363</v>
      </c>
      <c r="B364">
        <v>0</v>
      </c>
      <c r="C364" t="str">
        <f t="shared" si="25"/>
        <v>No</v>
      </c>
      <c r="D364" t="s">
        <v>956</v>
      </c>
      <c r="E364" t="s">
        <v>1325</v>
      </c>
      <c r="F364" t="str" cm="1">
        <f t="array" ref="F364">IF(OR(COUNTIF(D364,"*"&amp;Preprocessing!$T$9:$T$15&amp;"*")),"Female","Male")</f>
        <v>Male</v>
      </c>
      <c r="G364">
        <v>27</v>
      </c>
      <c r="H364">
        <v>1</v>
      </c>
      <c r="I364">
        <v>0</v>
      </c>
      <c r="J364">
        <v>3</v>
      </c>
      <c r="K364">
        <v>15.5</v>
      </c>
      <c r="L364">
        <f t="shared" si="26"/>
        <v>0</v>
      </c>
      <c r="M364">
        <f t="shared" si="27"/>
        <v>27</v>
      </c>
      <c r="N364" t="str">
        <f t="shared" si="28"/>
        <v>Adult</v>
      </c>
      <c r="O364">
        <f t="shared" si="29"/>
        <v>15.5</v>
      </c>
    </row>
    <row r="365" spans="1:15" x14ac:dyDescent="0.3">
      <c r="A365">
        <v>364</v>
      </c>
      <c r="B365">
        <v>0</v>
      </c>
      <c r="C365" t="str">
        <f t="shared" si="25"/>
        <v>No</v>
      </c>
      <c r="D365" t="s">
        <v>956</v>
      </c>
      <c r="E365" t="s">
        <v>1326</v>
      </c>
      <c r="F365" t="str" cm="1">
        <f t="array" ref="F365">IF(OR(COUNTIF(D365,"*"&amp;Preprocessing!$T$9:$T$15&amp;"*")),"Female","Male")</f>
        <v>Male</v>
      </c>
      <c r="G365">
        <v>30</v>
      </c>
      <c r="H365">
        <v>0</v>
      </c>
      <c r="I365">
        <v>0</v>
      </c>
      <c r="J365">
        <v>3</v>
      </c>
      <c r="K365">
        <v>7.25</v>
      </c>
      <c r="L365">
        <f t="shared" si="26"/>
        <v>0</v>
      </c>
      <c r="M365">
        <f t="shared" si="27"/>
        <v>30</v>
      </c>
      <c r="N365" t="str">
        <f t="shared" si="28"/>
        <v>Adult</v>
      </c>
      <c r="O365">
        <f t="shared" si="29"/>
        <v>7.25</v>
      </c>
    </row>
    <row r="366" spans="1:15" x14ac:dyDescent="0.3">
      <c r="A366">
        <v>365</v>
      </c>
      <c r="B366">
        <v>1</v>
      </c>
      <c r="C366" t="str">
        <f t="shared" si="25"/>
        <v>Yes</v>
      </c>
      <c r="D366" t="s">
        <v>958</v>
      </c>
      <c r="E366" t="s">
        <v>1327</v>
      </c>
      <c r="F366" t="str" cm="1">
        <f t="array" ref="F366">IF(OR(COUNTIF(D366,"*"&amp;Preprocessing!$T$9:$T$15&amp;"*")),"Female","Male")</f>
        <v>Female</v>
      </c>
      <c r="G366">
        <v>60</v>
      </c>
      <c r="H366">
        <v>1</v>
      </c>
      <c r="I366">
        <v>0</v>
      </c>
      <c r="J366">
        <v>1</v>
      </c>
      <c r="K366">
        <v>75.25</v>
      </c>
      <c r="L366">
        <f t="shared" si="26"/>
        <v>1</v>
      </c>
      <c r="M366">
        <f t="shared" si="27"/>
        <v>60</v>
      </c>
      <c r="N366" t="str">
        <f t="shared" si="28"/>
        <v>Adult</v>
      </c>
      <c r="O366">
        <f t="shared" si="29"/>
        <v>75.25</v>
      </c>
    </row>
    <row r="367" spans="1:15" x14ac:dyDescent="0.3">
      <c r="A367">
        <v>366</v>
      </c>
      <c r="B367">
        <v>1</v>
      </c>
      <c r="C367" t="str">
        <f t="shared" si="25"/>
        <v>Yes</v>
      </c>
      <c r="D367" t="s">
        <v>958</v>
      </c>
      <c r="E367" t="s">
        <v>1328</v>
      </c>
      <c r="F367" t="str" cm="1">
        <f t="array" ref="F367">IF(OR(COUNTIF(D367,"*"&amp;Preprocessing!$T$9:$T$15&amp;"*")),"Female","Male")</f>
        <v>Female</v>
      </c>
      <c r="G367">
        <v>35</v>
      </c>
      <c r="H367">
        <v>0</v>
      </c>
      <c r="I367">
        <v>0</v>
      </c>
      <c r="J367">
        <v>3</v>
      </c>
      <c r="K367">
        <v>7.2291999999999996</v>
      </c>
      <c r="L367">
        <f t="shared" si="26"/>
        <v>1</v>
      </c>
      <c r="M367">
        <f t="shared" si="27"/>
        <v>35</v>
      </c>
      <c r="N367" t="str">
        <f t="shared" si="28"/>
        <v>Adult</v>
      </c>
      <c r="O367">
        <f t="shared" si="29"/>
        <v>7.23</v>
      </c>
    </row>
    <row r="368" spans="1:15" x14ac:dyDescent="0.3">
      <c r="A368">
        <v>367</v>
      </c>
      <c r="B368">
        <v>1</v>
      </c>
      <c r="C368" t="str">
        <f t="shared" si="25"/>
        <v>Yes</v>
      </c>
      <c r="D368" t="s">
        <v>960</v>
      </c>
      <c r="E368" t="s">
        <v>1329</v>
      </c>
      <c r="F368" t="str" cm="1">
        <f t="array" ref="F368">IF(OR(COUNTIF(D368,"*"&amp;Preprocessing!$T$9:$T$15&amp;"*")),"Female","Male")</f>
        <v>Female</v>
      </c>
      <c r="G368">
        <v>22</v>
      </c>
      <c r="H368">
        <v>0</v>
      </c>
      <c r="I368">
        <v>0</v>
      </c>
      <c r="J368">
        <v>3</v>
      </c>
      <c r="K368">
        <v>7.75</v>
      </c>
      <c r="L368">
        <f t="shared" si="26"/>
        <v>1</v>
      </c>
      <c r="M368">
        <f t="shared" si="27"/>
        <v>22</v>
      </c>
      <c r="N368" t="str">
        <f t="shared" si="28"/>
        <v>Adult</v>
      </c>
      <c r="O368">
        <f t="shared" si="29"/>
        <v>7.75</v>
      </c>
    </row>
    <row r="369" spans="1:15" x14ac:dyDescent="0.3">
      <c r="A369">
        <v>368</v>
      </c>
      <c r="B369">
        <v>1</v>
      </c>
      <c r="C369" t="str">
        <f t="shared" si="25"/>
        <v>Yes</v>
      </c>
      <c r="D369" t="s">
        <v>1330</v>
      </c>
      <c r="E369" t="s">
        <v>1331</v>
      </c>
      <c r="F369" t="str" cm="1">
        <f t="array" ref="F369">IF(OR(COUNTIF(D369,"*"&amp;Preprocessing!$T$9:$T$15&amp;"*")),"Female","Male")</f>
        <v>Female</v>
      </c>
      <c r="G369">
        <v>24</v>
      </c>
      <c r="H369">
        <v>0</v>
      </c>
      <c r="I369">
        <v>0</v>
      </c>
      <c r="J369">
        <v>1</v>
      </c>
      <c r="K369">
        <v>69.3</v>
      </c>
      <c r="L369">
        <f t="shared" si="26"/>
        <v>1</v>
      </c>
      <c r="M369">
        <f t="shared" si="27"/>
        <v>24</v>
      </c>
      <c r="N369" t="str">
        <f t="shared" si="28"/>
        <v>Adult</v>
      </c>
      <c r="O369">
        <f t="shared" si="29"/>
        <v>69.3</v>
      </c>
    </row>
    <row r="370" spans="1:15" x14ac:dyDescent="0.3">
      <c r="A370">
        <v>369</v>
      </c>
      <c r="B370">
        <v>1</v>
      </c>
      <c r="C370" t="str">
        <f t="shared" si="25"/>
        <v>Yes</v>
      </c>
      <c r="D370" t="s">
        <v>956</v>
      </c>
      <c r="E370" t="s">
        <v>1332</v>
      </c>
      <c r="F370" t="str" cm="1">
        <f t="array" ref="F370">IF(OR(COUNTIF(D370,"*"&amp;Preprocessing!$T$9:$T$15&amp;"*")),"Female","Male")</f>
        <v>Male</v>
      </c>
      <c r="G370">
        <v>25</v>
      </c>
      <c r="H370">
        <v>1</v>
      </c>
      <c r="I370">
        <v>0</v>
      </c>
      <c r="J370">
        <v>1</v>
      </c>
      <c r="K370">
        <v>55.441699999999997</v>
      </c>
      <c r="L370">
        <f t="shared" si="26"/>
        <v>0</v>
      </c>
      <c r="M370">
        <f t="shared" si="27"/>
        <v>25</v>
      </c>
      <c r="N370" t="str">
        <f t="shared" si="28"/>
        <v>Adult</v>
      </c>
      <c r="O370">
        <f t="shared" si="29"/>
        <v>55.44</v>
      </c>
    </row>
    <row r="371" spans="1:15" x14ac:dyDescent="0.3">
      <c r="A371">
        <v>370</v>
      </c>
      <c r="B371">
        <v>0</v>
      </c>
      <c r="C371" t="str">
        <f t="shared" si="25"/>
        <v>No</v>
      </c>
      <c r="D371" t="s">
        <v>956</v>
      </c>
      <c r="E371" t="s">
        <v>1333</v>
      </c>
      <c r="F371" t="str" cm="1">
        <f t="array" ref="F371">IF(OR(COUNTIF(D371,"*"&amp;Preprocessing!$T$9:$T$15&amp;"*")),"Female","Male")</f>
        <v>Male</v>
      </c>
      <c r="G371">
        <v>18</v>
      </c>
      <c r="H371">
        <v>1</v>
      </c>
      <c r="I371">
        <v>0</v>
      </c>
      <c r="J371">
        <v>3</v>
      </c>
      <c r="K371">
        <v>6.4958</v>
      </c>
      <c r="L371">
        <f t="shared" si="26"/>
        <v>0</v>
      </c>
      <c r="M371">
        <f t="shared" si="27"/>
        <v>18</v>
      </c>
      <c r="N371" t="str">
        <f t="shared" si="28"/>
        <v>Adult</v>
      </c>
      <c r="O371">
        <f t="shared" si="29"/>
        <v>6.5</v>
      </c>
    </row>
    <row r="372" spans="1:15" x14ac:dyDescent="0.3">
      <c r="A372">
        <v>371</v>
      </c>
      <c r="B372">
        <v>0</v>
      </c>
      <c r="C372" t="str">
        <f t="shared" si="25"/>
        <v>No</v>
      </c>
      <c r="D372" t="s">
        <v>956</v>
      </c>
      <c r="E372" t="s">
        <v>1334</v>
      </c>
      <c r="F372" t="str" cm="1">
        <f t="array" ref="F372">IF(OR(COUNTIF(D372,"*"&amp;Preprocessing!$T$9:$T$15&amp;"*")),"Female","Male")</f>
        <v>Male</v>
      </c>
      <c r="G372">
        <v>19</v>
      </c>
      <c r="H372">
        <v>0</v>
      </c>
      <c r="I372">
        <v>0</v>
      </c>
      <c r="J372">
        <v>3</v>
      </c>
      <c r="K372">
        <v>8.0500000000000007</v>
      </c>
      <c r="L372">
        <f t="shared" si="26"/>
        <v>0</v>
      </c>
      <c r="M372">
        <f t="shared" si="27"/>
        <v>19</v>
      </c>
      <c r="N372" t="str">
        <f t="shared" si="28"/>
        <v>Adult</v>
      </c>
      <c r="O372">
        <f t="shared" si="29"/>
        <v>8.0500000000000007</v>
      </c>
    </row>
    <row r="373" spans="1:15" x14ac:dyDescent="0.3">
      <c r="A373">
        <v>372</v>
      </c>
      <c r="B373">
        <v>0</v>
      </c>
      <c r="C373" t="str">
        <f t="shared" si="25"/>
        <v>No</v>
      </c>
      <c r="D373" t="s">
        <v>956</v>
      </c>
      <c r="E373" t="s">
        <v>1335</v>
      </c>
      <c r="F373" t="str" cm="1">
        <f t="array" ref="F373">IF(OR(COUNTIF(D373,"*"&amp;Preprocessing!$T$9:$T$15&amp;"*")),"Female","Male")</f>
        <v>Male</v>
      </c>
      <c r="G373">
        <v>22</v>
      </c>
      <c r="H373">
        <v>0</v>
      </c>
      <c r="I373">
        <v>0</v>
      </c>
      <c r="J373">
        <v>1</v>
      </c>
      <c r="K373">
        <v>135.63329999999999</v>
      </c>
      <c r="L373">
        <f t="shared" si="26"/>
        <v>0</v>
      </c>
      <c r="M373">
        <f t="shared" si="27"/>
        <v>22</v>
      </c>
      <c r="N373" t="str">
        <f t="shared" si="28"/>
        <v>Adult</v>
      </c>
      <c r="O373">
        <f t="shared" si="29"/>
        <v>135.63</v>
      </c>
    </row>
    <row r="374" spans="1:15" x14ac:dyDescent="0.3">
      <c r="A374">
        <v>373</v>
      </c>
      <c r="B374">
        <v>0</v>
      </c>
      <c r="C374" t="str">
        <f t="shared" si="25"/>
        <v>No</v>
      </c>
      <c r="D374" t="s">
        <v>960</v>
      </c>
      <c r="E374" t="s">
        <v>1336</v>
      </c>
      <c r="F374" t="str" cm="1">
        <f t="array" ref="F374">IF(OR(COUNTIF(D374,"*"&amp;Preprocessing!$T$9:$T$15&amp;"*")),"Female","Male")</f>
        <v>Female</v>
      </c>
      <c r="G374">
        <v>3</v>
      </c>
      <c r="H374">
        <v>3</v>
      </c>
      <c r="I374">
        <v>1</v>
      </c>
      <c r="J374">
        <v>3</v>
      </c>
      <c r="K374">
        <v>21.074999999999999</v>
      </c>
      <c r="L374">
        <f t="shared" si="26"/>
        <v>1</v>
      </c>
      <c r="M374">
        <f t="shared" si="27"/>
        <v>3</v>
      </c>
      <c r="N374" t="str">
        <f t="shared" si="28"/>
        <v>Child</v>
      </c>
      <c r="O374">
        <f t="shared" si="29"/>
        <v>21.08</v>
      </c>
    </row>
    <row r="375" spans="1:15" x14ac:dyDescent="0.3">
      <c r="A375">
        <v>374</v>
      </c>
      <c r="B375">
        <v>1</v>
      </c>
      <c r="C375" t="str">
        <f t="shared" si="25"/>
        <v>Yes</v>
      </c>
      <c r="D375" t="s">
        <v>958</v>
      </c>
      <c r="E375" t="s">
        <v>1337</v>
      </c>
      <c r="F375" t="str" cm="1">
        <f t="array" ref="F375">IF(OR(COUNTIF(D375,"*"&amp;Preprocessing!$T$9:$T$15&amp;"*")),"Female","Male")</f>
        <v>Female</v>
      </c>
      <c r="G375">
        <v>25</v>
      </c>
      <c r="H375">
        <v>1</v>
      </c>
      <c r="I375">
        <v>0</v>
      </c>
      <c r="J375">
        <v>1</v>
      </c>
      <c r="K375">
        <v>82.1708</v>
      </c>
      <c r="L375">
        <f t="shared" si="26"/>
        <v>1</v>
      </c>
      <c r="M375">
        <f t="shared" si="27"/>
        <v>25</v>
      </c>
      <c r="N375" t="str">
        <f t="shared" si="28"/>
        <v>Adult</v>
      </c>
      <c r="O375">
        <f t="shared" si="29"/>
        <v>82.17</v>
      </c>
    </row>
    <row r="376" spans="1:15" x14ac:dyDescent="0.3">
      <c r="A376">
        <v>375</v>
      </c>
      <c r="B376">
        <v>1</v>
      </c>
      <c r="C376" t="str">
        <f t="shared" si="25"/>
        <v>Yes</v>
      </c>
      <c r="D376" t="s">
        <v>960</v>
      </c>
      <c r="E376" t="s">
        <v>1338</v>
      </c>
      <c r="F376" t="str" cm="1">
        <f t="array" ref="F376">IF(OR(COUNTIF(D376,"*"&amp;Preprocessing!$T$9:$T$15&amp;"*")),"Female","Male")</f>
        <v>Female</v>
      </c>
      <c r="G376">
        <v>22</v>
      </c>
      <c r="H376">
        <v>0</v>
      </c>
      <c r="I376">
        <v>0</v>
      </c>
      <c r="J376">
        <v>3</v>
      </c>
      <c r="K376">
        <v>7.25</v>
      </c>
      <c r="L376">
        <f t="shared" si="26"/>
        <v>1</v>
      </c>
      <c r="M376">
        <f t="shared" si="27"/>
        <v>22</v>
      </c>
      <c r="N376" t="str">
        <f t="shared" si="28"/>
        <v>Adult</v>
      </c>
      <c r="O376">
        <f t="shared" si="29"/>
        <v>7.25</v>
      </c>
    </row>
    <row r="377" spans="1:15" x14ac:dyDescent="0.3">
      <c r="A377">
        <v>376</v>
      </c>
      <c r="B377">
        <v>0</v>
      </c>
      <c r="C377" t="str">
        <f t="shared" si="25"/>
        <v>No</v>
      </c>
      <c r="D377" t="s">
        <v>956</v>
      </c>
      <c r="E377" t="s">
        <v>1339</v>
      </c>
      <c r="F377" t="str" cm="1">
        <f t="array" ref="F377">IF(OR(COUNTIF(D377,"*"&amp;Preprocessing!$T$9:$T$15&amp;"*")),"Female","Male")</f>
        <v>Male</v>
      </c>
      <c r="G377">
        <v>27</v>
      </c>
      <c r="H377">
        <v>0</v>
      </c>
      <c r="I377">
        <v>2</v>
      </c>
      <c r="J377">
        <v>1</v>
      </c>
      <c r="K377">
        <v>211.5</v>
      </c>
      <c r="L377">
        <f t="shared" si="26"/>
        <v>0</v>
      </c>
      <c r="M377">
        <f t="shared" si="27"/>
        <v>27</v>
      </c>
      <c r="N377" t="str">
        <f t="shared" si="28"/>
        <v>Adult</v>
      </c>
      <c r="O377">
        <f t="shared" si="29"/>
        <v>211.5</v>
      </c>
    </row>
    <row r="378" spans="1:15" x14ac:dyDescent="0.3">
      <c r="A378">
        <v>377</v>
      </c>
      <c r="B378">
        <v>0</v>
      </c>
      <c r="C378" t="str">
        <f t="shared" si="25"/>
        <v>No</v>
      </c>
      <c r="D378" t="s">
        <v>956</v>
      </c>
      <c r="E378" t="s">
        <v>1340</v>
      </c>
      <c r="F378" t="str" cm="1">
        <f t="array" ref="F378">IF(OR(COUNTIF(D378,"*"&amp;Preprocessing!$T$9:$T$15&amp;"*")),"Female","Male")</f>
        <v>Male</v>
      </c>
      <c r="G378">
        <v>20</v>
      </c>
      <c r="H378">
        <v>0</v>
      </c>
      <c r="I378">
        <v>0</v>
      </c>
      <c r="J378">
        <v>3</v>
      </c>
      <c r="K378">
        <v>4.0125000000000002</v>
      </c>
      <c r="L378">
        <f t="shared" si="26"/>
        <v>0</v>
      </c>
      <c r="M378">
        <f t="shared" si="27"/>
        <v>20</v>
      </c>
      <c r="N378" t="str">
        <f t="shared" si="28"/>
        <v>Adult</v>
      </c>
      <c r="O378">
        <f t="shared" si="29"/>
        <v>4.01</v>
      </c>
    </row>
    <row r="379" spans="1:15" x14ac:dyDescent="0.3">
      <c r="A379">
        <v>378</v>
      </c>
      <c r="B379">
        <v>0</v>
      </c>
      <c r="C379" t="str">
        <f t="shared" si="25"/>
        <v>No</v>
      </c>
      <c r="D379" t="s">
        <v>956</v>
      </c>
      <c r="E379" t="s">
        <v>1341</v>
      </c>
      <c r="F379" t="str" cm="1">
        <f t="array" ref="F379">IF(OR(COUNTIF(D379,"*"&amp;Preprocessing!$T$9:$T$15&amp;"*")),"Female","Male")</f>
        <v>Male</v>
      </c>
      <c r="G379">
        <v>19</v>
      </c>
      <c r="H379">
        <v>0</v>
      </c>
      <c r="I379">
        <v>0</v>
      </c>
      <c r="J379">
        <v>3</v>
      </c>
      <c r="K379">
        <v>7.7750000000000004</v>
      </c>
      <c r="L379">
        <f t="shared" si="26"/>
        <v>0</v>
      </c>
      <c r="M379">
        <f t="shared" si="27"/>
        <v>19</v>
      </c>
      <c r="N379" t="str">
        <f t="shared" si="28"/>
        <v>Adult</v>
      </c>
      <c r="O379">
        <f t="shared" si="29"/>
        <v>7.78</v>
      </c>
    </row>
    <row r="380" spans="1:15" x14ac:dyDescent="0.3">
      <c r="A380">
        <v>379</v>
      </c>
      <c r="B380">
        <v>1</v>
      </c>
      <c r="C380" t="str">
        <f t="shared" si="25"/>
        <v>Yes</v>
      </c>
      <c r="D380" t="s">
        <v>960</v>
      </c>
      <c r="E380" t="s">
        <v>1342</v>
      </c>
      <c r="F380" t="str" cm="1">
        <f t="array" ref="F380">IF(OR(COUNTIF(D380,"*"&amp;Preprocessing!$T$9:$T$15&amp;"*")),"Female","Male")</f>
        <v>Female</v>
      </c>
      <c r="G380">
        <v>42</v>
      </c>
      <c r="H380">
        <v>0</v>
      </c>
      <c r="I380">
        <v>0</v>
      </c>
      <c r="J380">
        <v>1</v>
      </c>
      <c r="K380">
        <v>227.52500000000001</v>
      </c>
      <c r="L380">
        <f t="shared" si="26"/>
        <v>1</v>
      </c>
      <c r="M380">
        <f t="shared" si="27"/>
        <v>42</v>
      </c>
      <c r="N380" t="str">
        <f t="shared" si="28"/>
        <v>Adult</v>
      </c>
      <c r="O380">
        <f t="shared" si="29"/>
        <v>227.53</v>
      </c>
    </row>
    <row r="381" spans="1:15" x14ac:dyDescent="0.3">
      <c r="A381">
        <v>380</v>
      </c>
      <c r="B381">
        <v>1</v>
      </c>
      <c r="C381" t="str">
        <f t="shared" si="25"/>
        <v>Yes</v>
      </c>
      <c r="D381" t="s">
        <v>960</v>
      </c>
      <c r="E381" t="s">
        <v>1343</v>
      </c>
      <c r="F381" t="str" cm="1">
        <f t="array" ref="F381">IF(OR(COUNTIF(D381,"*"&amp;Preprocessing!$T$9:$T$15&amp;"*")),"Female","Male")</f>
        <v>Female</v>
      </c>
      <c r="G381">
        <v>1</v>
      </c>
      <c r="H381">
        <v>0</v>
      </c>
      <c r="I381">
        <v>2</v>
      </c>
      <c r="J381">
        <v>3</v>
      </c>
      <c r="K381">
        <v>15.7417</v>
      </c>
      <c r="L381">
        <f t="shared" si="26"/>
        <v>1</v>
      </c>
      <c r="M381">
        <f t="shared" si="27"/>
        <v>1</v>
      </c>
      <c r="N381" t="str">
        <f t="shared" si="28"/>
        <v>Child</v>
      </c>
      <c r="O381">
        <f t="shared" si="29"/>
        <v>15.74</v>
      </c>
    </row>
    <row r="382" spans="1:15" x14ac:dyDescent="0.3">
      <c r="A382">
        <v>381</v>
      </c>
      <c r="B382">
        <v>0</v>
      </c>
      <c r="C382" t="str">
        <f t="shared" si="25"/>
        <v>No</v>
      </c>
      <c r="D382" t="s">
        <v>956</v>
      </c>
      <c r="E382" t="s">
        <v>1344</v>
      </c>
      <c r="F382" t="str" cm="1">
        <f t="array" ref="F382">IF(OR(COUNTIF(D382,"*"&amp;Preprocessing!$T$9:$T$15&amp;"*")),"Female","Male")</f>
        <v>Male</v>
      </c>
      <c r="G382">
        <v>32</v>
      </c>
      <c r="H382">
        <v>0</v>
      </c>
      <c r="I382">
        <v>0</v>
      </c>
      <c r="J382">
        <v>3</v>
      </c>
      <c r="K382">
        <v>7.9249999999999998</v>
      </c>
      <c r="L382">
        <f t="shared" si="26"/>
        <v>0</v>
      </c>
      <c r="M382">
        <f t="shared" si="27"/>
        <v>32</v>
      </c>
      <c r="N382" t="str">
        <f t="shared" si="28"/>
        <v>Adult</v>
      </c>
      <c r="O382">
        <f t="shared" si="29"/>
        <v>7.93</v>
      </c>
    </row>
    <row r="383" spans="1:15" x14ac:dyDescent="0.3">
      <c r="A383">
        <v>382</v>
      </c>
      <c r="B383">
        <v>1</v>
      </c>
      <c r="C383" t="str">
        <f t="shared" si="25"/>
        <v>Yes</v>
      </c>
      <c r="D383" t="s">
        <v>958</v>
      </c>
      <c r="E383" t="s">
        <v>1345</v>
      </c>
      <c r="F383" t="str" cm="1">
        <f t="array" ref="F383">IF(OR(COUNTIF(D383,"*"&amp;Preprocessing!$T$9:$T$15&amp;"*")),"Female","Male")</f>
        <v>Female</v>
      </c>
      <c r="G383">
        <v>35</v>
      </c>
      <c r="H383">
        <v>1</v>
      </c>
      <c r="I383">
        <v>0</v>
      </c>
      <c r="J383">
        <v>1</v>
      </c>
      <c r="K383">
        <v>52</v>
      </c>
      <c r="L383">
        <f t="shared" si="26"/>
        <v>1</v>
      </c>
      <c r="M383">
        <f t="shared" si="27"/>
        <v>35</v>
      </c>
      <c r="N383" t="str">
        <f t="shared" si="28"/>
        <v>Adult</v>
      </c>
      <c r="O383">
        <f t="shared" si="29"/>
        <v>52</v>
      </c>
    </row>
    <row r="384" spans="1:15" x14ac:dyDescent="0.3">
      <c r="A384">
        <v>383</v>
      </c>
      <c r="B384">
        <v>0</v>
      </c>
      <c r="C384" t="str">
        <f t="shared" si="25"/>
        <v>No</v>
      </c>
      <c r="D384" t="s">
        <v>956</v>
      </c>
      <c r="E384" t="s">
        <v>1346</v>
      </c>
      <c r="F384" t="str" cm="1">
        <f t="array" ref="F384">IF(OR(COUNTIF(D384,"*"&amp;Preprocessing!$T$9:$T$15&amp;"*")),"Female","Male")</f>
        <v>Male</v>
      </c>
      <c r="G384">
        <v>27</v>
      </c>
      <c r="H384">
        <v>0</v>
      </c>
      <c r="I384">
        <v>0</v>
      </c>
      <c r="J384">
        <v>3</v>
      </c>
      <c r="K384">
        <v>7.8958000000000004</v>
      </c>
      <c r="L384">
        <f t="shared" si="26"/>
        <v>0</v>
      </c>
      <c r="M384">
        <f t="shared" si="27"/>
        <v>27</v>
      </c>
      <c r="N384" t="str">
        <f t="shared" si="28"/>
        <v>Adult</v>
      </c>
      <c r="O384">
        <f t="shared" si="29"/>
        <v>7.9</v>
      </c>
    </row>
    <row r="385" spans="1:15" x14ac:dyDescent="0.3">
      <c r="A385">
        <v>384</v>
      </c>
      <c r="B385">
        <v>0</v>
      </c>
      <c r="C385" t="str">
        <f t="shared" si="25"/>
        <v>No</v>
      </c>
      <c r="D385" t="s">
        <v>956</v>
      </c>
      <c r="E385" t="s">
        <v>1347</v>
      </c>
      <c r="F385" t="str" cm="1">
        <f t="array" ref="F385">IF(OR(COUNTIF(D385,"*"&amp;Preprocessing!$T$9:$T$15&amp;"*")),"Female","Male")</f>
        <v>Male</v>
      </c>
      <c r="G385">
        <v>18</v>
      </c>
      <c r="H385">
        <v>0</v>
      </c>
      <c r="I385">
        <v>0</v>
      </c>
      <c r="J385">
        <v>2</v>
      </c>
      <c r="K385">
        <v>73.5</v>
      </c>
      <c r="L385">
        <f t="shared" si="26"/>
        <v>0</v>
      </c>
      <c r="M385">
        <f t="shared" si="27"/>
        <v>18</v>
      </c>
      <c r="N385" t="str">
        <f t="shared" si="28"/>
        <v>Adult</v>
      </c>
      <c r="O385">
        <f t="shared" si="29"/>
        <v>73.5</v>
      </c>
    </row>
    <row r="386" spans="1:15" x14ac:dyDescent="0.3">
      <c r="A386">
        <v>385</v>
      </c>
      <c r="B386">
        <v>0</v>
      </c>
      <c r="C386" t="str">
        <f t="shared" si="25"/>
        <v>No</v>
      </c>
      <c r="D386" t="s">
        <v>966</v>
      </c>
      <c r="E386" t="s">
        <v>1348</v>
      </c>
      <c r="F386" t="str" cm="1">
        <f t="array" ref="F386">IF(OR(COUNTIF(D386,"*"&amp;Preprocessing!$T$9:$T$15&amp;"*")),"Female","Male")</f>
        <v>Male</v>
      </c>
      <c r="G386">
        <v>1</v>
      </c>
      <c r="H386">
        <v>5</v>
      </c>
      <c r="I386">
        <v>2</v>
      </c>
      <c r="J386">
        <v>3</v>
      </c>
      <c r="K386">
        <v>46.9</v>
      </c>
      <c r="L386">
        <f t="shared" si="26"/>
        <v>0</v>
      </c>
      <c r="M386">
        <f t="shared" si="27"/>
        <v>1</v>
      </c>
      <c r="N386" t="str">
        <f t="shared" si="28"/>
        <v>Child</v>
      </c>
      <c r="O386">
        <f t="shared" si="29"/>
        <v>46.9</v>
      </c>
    </row>
    <row r="387" spans="1:15" x14ac:dyDescent="0.3">
      <c r="A387">
        <v>386</v>
      </c>
      <c r="B387">
        <v>1</v>
      </c>
      <c r="C387" t="str">
        <f t="shared" ref="C387:C450" si="30">IF(B387=0,"No","Yes")</f>
        <v>Yes</v>
      </c>
      <c r="D387" t="s">
        <v>960</v>
      </c>
      <c r="E387" t="s">
        <v>1349</v>
      </c>
      <c r="F387" t="str" cm="1">
        <f t="array" ref="F387">IF(OR(COUNTIF(D387,"*"&amp;Preprocessing!$T$9:$T$15&amp;"*")),"Female","Male")</f>
        <v>Female</v>
      </c>
      <c r="G387">
        <v>36</v>
      </c>
      <c r="H387">
        <v>0</v>
      </c>
      <c r="I387">
        <v>0</v>
      </c>
      <c r="J387">
        <v>2</v>
      </c>
      <c r="K387">
        <v>13</v>
      </c>
      <c r="L387">
        <f t="shared" ref="L387:L450" si="31">IF(F387 = "Male", 0, 1)</f>
        <v>1</v>
      </c>
      <c r="M387">
        <f t="shared" ref="M387:M450" si="32">ROUND(G387, 0)</f>
        <v>36</v>
      </c>
      <c r="N387" t="str">
        <f t="shared" ref="N387:N450" si="33">IF(G387&lt;=16,"Child","Adult")</f>
        <v>Adult</v>
      </c>
      <c r="O387">
        <f t="shared" ref="O387:O450" si="34">ROUND(K387, 2)</f>
        <v>13</v>
      </c>
    </row>
    <row r="388" spans="1:15" x14ac:dyDescent="0.3">
      <c r="A388">
        <v>387</v>
      </c>
      <c r="B388">
        <v>0</v>
      </c>
      <c r="C388" t="str">
        <f t="shared" si="30"/>
        <v>No</v>
      </c>
      <c r="D388" t="s">
        <v>956</v>
      </c>
      <c r="E388" t="s">
        <v>1350</v>
      </c>
      <c r="F388" t="str" cm="1">
        <f t="array" ref="F388">IF(OR(COUNTIF(D388,"*"&amp;Preprocessing!$T$9:$T$15&amp;"*")),"Female","Male")</f>
        <v>Male</v>
      </c>
      <c r="G388">
        <v>19</v>
      </c>
      <c r="H388">
        <v>0</v>
      </c>
      <c r="I388">
        <v>0</v>
      </c>
      <c r="J388">
        <v>3</v>
      </c>
      <c r="K388">
        <v>7.7291999999999996</v>
      </c>
      <c r="L388">
        <f t="shared" si="31"/>
        <v>0</v>
      </c>
      <c r="M388">
        <f t="shared" si="32"/>
        <v>19</v>
      </c>
      <c r="N388" t="str">
        <f t="shared" si="33"/>
        <v>Adult</v>
      </c>
      <c r="O388">
        <f t="shared" si="34"/>
        <v>7.73</v>
      </c>
    </row>
    <row r="389" spans="1:15" x14ac:dyDescent="0.3">
      <c r="A389">
        <v>388</v>
      </c>
      <c r="B389">
        <v>1</v>
      </c>
      <c r="C389" t="str">
        <f t="shared" si="30"/>
        <v>Yes</v>
      </c>
      <c r="D389" t="s">
        <v>960</v>
      </c>
      <c r="E389" t="s">
        <v>1351</v>
      </c>
      <c r="F389" t="str" cm="1">
        <f t="array" ref="F389">IF(OR(COUNTIF(D389,"*"&amp;Preprocessing!$T$9:$T$15&amp;"*")),"Female","Male")</f>
        <v>Female</v>
      </c>
      <c r="G389">
        <v>17</v>
      </c>
      <c r="H389">
        <v>0</v>
      </c>
      <c r="I389">
        <v>0</v>
      </c>
      <c r="J389">
        <v>2</v>
      </c>
      <c r="K389">
        <v>12</v>
      </c>
      <c r="L389">
        <f t="shared" si="31"/>
        <v>1</v>
      </c>
      <c r="M389">
        <f t="shared" si="32"/>
        <v>17</v>
      </c>
      <c r="N389" t="str">
        <f t="shared" si="33"/>
        <v>Adult</v>
      </c>
      <c r="O389">
        <f t="shared" si="34"/>
        <v>12</v>
      </c>
    </row>
    <row r="390" spans="1:15" x14ac:dyDescent="0.3">
      <c r="A390">
        <v>389</v>
      </c>
      <c r="B390">
        <v>1</v>
      </c>
      <c r="C390" t="str">
        <f t="shared" si="30"/>
        <v>Yes</v>
      </c>
      <c r="D390" t="s">
        <v>956</v>
      </c>
      <c r="E390" t="s">
        <v>1352</v>
      </c>
      <c r="F390" t="str" cm="1">
        <f t="array" ref="F390">IF(OR(COUNTIF(D390,"*"&amp;Preprocessing!$T$9:$T$15&amp;"*")),"Female","Male")</f>
        <v>Male</v>
      </c>
      <c r="G390">
        <v>36</v>
      </c>
      <c r="H390">
        <v>1</v>
      </c>
      <c r="I390">
        <v>2</v>
      </c>
      <c r="J390">
        <v>1</v>
      </c>
      <c r="K390">
        <v>120</v>
      </c>
      <c r="L390">
        <f t="shared" si="31"/>
        <v>0</v>
      </c>
      <c r="M390">
        <f t="shared" si="32"/>
        <v>36</v>
      </c>
      <c r="N390" t="str">
        <f t="shared" si="33"/>
        <v>Adult</v>
      </c>
      <c r="O390">
        <f t="shared" si="34"/>
        <v>120</v>
      </c>
    </row>
    <row r="391" spans="1:15" x14ac:dyDescent="0.3">
      <c r="A391">
        <v>390</v>
      </c>
      <c r="B391">
        <v>1</v>
      </c>
      <c r="C391" t="str">
        <f t="shared" si="30"/>
        <v>Yes</v>
      </c>
      <c r="D391" t="s">
        <v>956</v>
      </c>
      <c r="E391" t="s">
        <v>1353</v>
      </c>
      <c r="F391" t="str" cm="1">
        <f t="array" ref="F391">IF(OR(COUNTIF(D391,"*"&amp;Preprocessing!$T$9:$T$15&amp;"*")),"Female","Male")</f>
        <v>Male</v>
      </c>
      <c r="G391">
        <v>21</v>
      </c>
      <c r="H391">
        <v>0</v>
      </c>
      <c r="I391">
        <v>0</v>
      </c>
      <c r="J391">
        <v>3</v>
      </c>
      <c r="K391">
        <v>7.7957999999999998</v>
      </c>
      <c r="L391">
        <f t="shared" si="31"/>
        <v>0</v>
      </c>
      <c r="M391">
        <f t="shared" si="32"/>
        <v>21</v>
      </c>
      <c r="N391" t="str">
        <f t="shared" si="33"/>
        <v>Adult</v>
      </c>
      <c r="O391">
        <f t="shared" si="34"/>
        <v>7.8</v>
      </c>
    </row>
    <row r="392" spans="1:15" x14ac:dyDescent="0.3">
      <c r="A392">
        <v>391</v>
      </c>
      <c r="B392">
        <v>0</v>
      </c>
      <c r="C392" t="str">
        <f t="shared" si="30"/>
        <v>No</v>
      </c>
      <c r="D392" t="s">
        <v>956</v>
      </c>
      <c r="E392" t="s">
        <v>1354</v>
      </c>
      <c r="F392" t="str" cm="1">
        <f t="array" ref="F392">IF(OR(COUNTIF(D392,"*"&amp;Preprocessing!$T$9:$T$15&amp;"*")),"Female","Male")</f>
        <v>Male</v>
      </c>
      <c r="G392">
        <v>28</v>
      </c>
      <c r="H392">
        <v>2</v>
      </c>
      <c r="I392">
        <v>0</v>
      </c>
      <c r="J392">
        <v>3</v>
      </c>
      <c r="K392">
        <v>7.9249999999999998</v>
      </c>
      <c r="L392">
        <f t="shared" si="31"/>
        <v>0</v>
      </c>
      <c r="M392">
        <f t="shared" si="32"/>
        <v>28</v>
      </c>
      <c r="N392" t="str">
        <f t="shared" si="33"/>
        <v>Adult</v>
      </c>
      <c r="O392">
        <f t="shared" si="34"/>
        <v>7.93</v>
      </c>
    </row>
    <row r="393" spans="1:15" x14ac:dyDescent="0.3">
      <c r="A393">
        <v>392</v>
      </c>
      <c r="B393">
        <v>1</v>
      </c>
      <c r="C393" t="str">
        <f t="shared" si="30"/>
        <v>Yes</v>
      </c>
      <c r="D393" t="s">
        <v>960</v>
      </c>
      <c r="E393" t="s">
        <v>1355</v>
      </c>
      <c r="F393" t="str" cm="1">
        <f t="array" ref="F393">IF(OR(COUNTIF(D393,"*"&amp;Preprocessing!$T$9:$T$15&amp;"*")),"Female","Male")</f>
        <v>Female</v>
      </c>
      <c r="G393">
        <v>23</v>
      </c>
      <c r="H393">
        <v>1</v>
      </c>
      <c r="I393">
        <v>0</v>
      </c>
      <c r="J393">
        <v>1</v>
      </c>
      <c r="K393">
        <v>113.27500000000001</v>
      </c>
      <c r="L393">
        <f t="shared" si="31"/>
        <v>1</v>
      </c>
      <c r="M393">
        <f t="shared" si="32"/>
        <v>23</v>
      </c>
      <c r="N393" t="str">
        <f t="shared" si="33"/>
        <v>Adult</v>
      </c>
      <c r="O393">
        <f t="shared" si="34"/>
        <v>113.28</v>
      </c>
    </row>
    <row r="394" spans="1:15" x14ac:dyDescent="0.3">
      <c r="A394">
        <v>393</v>
      </c>
      <c r="B394">
        <v>1</v>
      </c>
      <c r="C394" t="str">
        <f t="shared" si="30"/>
        <v>Yes</v>
      </c>
      <c r="D394" t="s">
        <v>958</v>
      </c>
      <c r="E394" t="s">
        <v>1356</v>
      </c>
      <c r="F394" t="str" cm="1">
        <f t="array" ref="F394">IF(OR(COUNTIF(D394,"*"&amp;Preprocessing!$T$9:$T$15&amp;"*")),"Female","Male")</f>
        <v>Female</v>
      </c>
      <c r="G394">
        <v>24</v>
      </c>
      <c r="H394">
        <v>0</v>
      </c>
      <c r="I394">
        <v>2</v>
      </c>
      <c r="J394">
        <v>3</v>
      </c>
      <c r="K394">
        <v>16.7</v>
      </c>
      <c r="L394">
        <f t="shared" si="31"/>
        <v>1</v>
      </c>
      <c r="M394">
        <f t="shared" si="32"/>
        <v>24</v>
      </c>
      <c r="N394" t="str">
        <f t="shared" si="33"/>
        <v>Adult</v>
      </c>
      <c r="O394">
        <f t="shared" si="34"/>
        <v>16.7</v>
      </c>
    </row>
    <row r="395" spans="1:15" x14ac:dyDescent="0.3">
      <c r="A395">
        <v>394</v>
      </c>
      <c r="B395">
        <v>0</v>
      </c>
      <c r="C395" t="str">
        <f t="shared" si="30"/>
        <v>No</v>
      </c>
      <c r="D395" t="s">
        <v>956</v>
      </c>
      <c r="E395" t="s">
        <v>1357</v>
      </c>
      <c r="F395" t="str" cm="1">
        <f t="array" ref="F395">IF(OR(COUNTIF(D395,"*"&amp;Preprocessing!$T$9:$T$15&amp;"*")),"Female","Male")</f>
        <v>Male</v>
      </c>
      <c r="G395">
        <v>22</v>
      </c>
      <c r="H395">
        <v>0</v>
      </c>
      <c r="I395">
        <v>0</v>
      </c>
      <c r="J395">
        <v>3</v>
      </c>
      <c r="K395">
        <v>7.7957999999999998</v>
      </c>
      <c r="L395">
        <f t="shared" si="31"/>
        <v>0</v>
      </c>
      <c r="M395">
        <f t="shared" si="32"/>
        <v>22</v>
      </c>
      <c r="N395" t="str">
        <f t="shared" si="33"/>
        <v>Adult</v>
      </c>
      <c r="O395">
        <f t="shared" si="34"/>
        <v>7.8</v>
      </c>
    </row>
    <row r="396" spans="1:15" x14ac:dyDescent="0.3">
      <c r="A396">
        <v>395</v>
      </c>
      <c r="B396">
        <v>0</v>
      </c>
      <c r="C396" t="str">
        <f t="shared" si="30"/>
        <v>No</v>
      </c>
      <c r="D396" t="s">
        <v>960</v>
      </c>
      <c r="E396" t="s">
        <v>1358</v>
      </c>
      <c r="F396" t="str" cm="1">
        <f t="array" ref="F396">IF(OR(COUNTIF(D396,"*"&amp;Preprocessing!$T$9:$T$15&amp;"*")),"Female","Male")</f>
        <v>Female</v>
      </c>
      <c r="G396">
        <v>31</v>
      </c>
      <c r="H396">
        <v>0</v>
      </c>
      <c r="I396">
        <v>0</v>
      </c>
      <c r="J396">
        <v>3</v>
      </c>
      <c r="K396">
        <v>7.8541999999999996</v>
      </c>
      <c r="L396">
        <f t="shared" si="31"/>
        <v>1</v>
      </c>
      <c r="M396">
        <f t="shared" si="32"/>
        <v>31</v>
      </c>
      <c r="N396" t="str">
        <f t="shared" si="33"/>
        <v>Adult</v>
      </c>
      <c r="O396">
        <f t="shared" si="34"/>
        <v>7.85</v>
      </c>
    </row>
    <row r="397" spans="1:15" x14ac:dyDescent="0.3">
      <c r="A397">
        <v>396</v>
      </c>
      <c r="B397">
        <v>0</v>
      </c>
      <c r="C397" t="str">
        <f t="shared" si="30"/>
        <v>No</v>
      </c>
      <c r="D397" t="s">
        <v>956</v>
      </c>
      <c r="E397" t="s">
        <v>1359</v>
      </c>
      <c r="F397" t="str" cm="1">
        <f t="array" ref="F397">IF(OR(COUNTIF(D397,"*"&amp;Preprocessing!$T$9:$T$15&amp;"*")),"Female","Male")</f>
        <v>Male</v>
      </c>
      <c r="G397">
        <v>46</v>
      </c>
      <c r="H397">
        <v>0</v>
      </c>
      <c r="I397">
        <v>0</v>
      </c>
      <c r="J397">
        <v>2</v>
      </c>
      <c r="K397">
        <v>26</v>
      </c>
      <c r="L397">
        <f t="shared" si="31"/>
        <v>0</v>
      </c>
      <c r="M397">
        <f t="shared" si="32"/>
        <v>46</v>
      </c>
      <c r="N397" t="str">
        <f t="shared" si="33"/>
        <v>Adult</v>
      </c>
      <c r="O397">
        <f t="shared" si="34"/>
        <v>26</v>
      </c>
    </row>
    <row r="398" spans="1:15" x14ac:dyDescent="0.3">
      <c r="A398">
        <v>397</v>
      </c>
      <c r="B398">
        <v>0</v>
      </c>
      <c r="C398" t="str">
        <f t="shared" si="30"/>
        <v>No</v>
      </c>
      <c r="D398" t="s">
        <v>1206</v>
      </c>
      <c r="E398" t="s">
        <v>1360</v>
      </c>
      <c r="F398" t="str" cm="1">
        <f t="array" ref="F398">IF(OR(COUNTIF(D398,"*"&amp;Preprocessing!$T$9:$T$15&amp;"*")),"Female","Male")</f>
        <v>Male</v>
      </c>
      <c r="G398">
        <v>23</v>
      </c>
      <c r="H398">
        <v>0</v>
      </c>
      <c r="I398">
        <v>0</v>
      </c>
      <c r="J398">
        <v>2</v>
      </c>
      <c r="K398">
        <v>10.5</v>
      </c>
      <c r="L398">
        <f t="shared" si="31"/>
        <v>0</v>
      </c>
      <c r="M398">
        <f t="shared" si="32"/>
        <v>23</v>
      </c>
      <c r="N398" t="str">
        <f t="shared" si="33"/>
        <v>Adult</v>
      </c>
      <c r="O398">
        <f t="shared" si="34"/>
        <v>10.5</v>
      </c>
    </row>
    <row r="399" spans="1:15" x14ac:dyDescent="0.3">
      <c r="A399">
        <v>398</v>
      </c>
      <c r="B399">
        <v>1</v>
      </c>
      <c r="C399" t="str">
        <f t="shared" si="30"/>
        <v>Yes</v>
      </c>
      <c r="D399" t="s">
        <v>958</v>
      </c>
      <c r="E399" t="s">
        <v>1361</v>
      </c>
      <c r="F399" t="str" cm="1">
        <f t="array" ref="F399">IF(OR(COUNTIF(D399,"*"&amp;Preprocessing!$T$9:$T$15&amp;"*")),"Female","Male")</f>
        <v>Female</v>
      </c>
      <c r="G399">
        <v>28</v>
      </c>
      <c r="H399">
        <v>0</v>
      </c>
      <c r="I399">
        <v>0</v>
      </c>
      <c r="J399">
        <v>2</v>
      </c>
      <c r="K399">
        <v>12.65</v>
      </c>
      <c r="L399">
        <f t="shared" si="31"/>
        <v>1</v>
      </c>
      <c r="M399">
        <f t="shared" si="32"/>
        <v>28</v>
      </c>
      <c r="N399" t="str">
        <f t="shared" si="33"/>
        <v>Adult</v>
      </c>
      <c r="O399">
        <f t="shared" si="34"/>
        <v>12.65</v>
      </c>
    </row>
    <row r="400" spans="1:15" x14ac:dyDescent="0.3">
      <c r="A400">
        <v>399</v>
      </c>
      <c r="B400">
        <v>1</v>
      </c>
      <c r="C400" t="str">
        <f t="shared" si="30"/>
        <v>Yes</v>
      </c>
      <c r="D400" t="s">
        <v>956</v>
      </c>
      <c r="E400" t="s">
        <v>1362</v>
      </c>
      <c r="F400" t="str" cm="1">
        <f t="array" ref="F400">IF(OR(COUNTIF(D400,"*"&amp;Preprocessing!$T$9:$T$15&amp;"*")),"Female","Male")</f>
        <v>Male</v>
      </c>
      <c r="G400">
        <v>39</v>
      </c>
      <c r="H400">
        <v>0</v>
      </c>
      <c r="I400">
        <v>0</v>
      </c>
      <c r="J400">
        <v>3</v>
      </c>
      <c r="K400">
        <v>7.9249999999999998</v>
      </c>
      <c r="L400">
        <f t="shared" si="31"/>
        <v>0</v>
      </c>
      <c r="M400">
        <f t="shared" si="32"/>
        <v>39</v>
      </c>
      <c r="N400" t="str">
        <f t="shared" si="33"/>
        <v>Adult</v>
      </c>
      <c r="O400">
        <f t="shared" si="34"/>
        <v>7.93</v>
      </c>
    </row>
    <row r="401" spans="1:15" x14ac:dyDescent="0.3">
      <c r="A401">
        <v>400</v>
      </c>
      <c r="B401">
        <v>0</v>
      </c>
      <c r="C401" t="str">
        <f t="shared" si="30"/>
        <v>No</v>
      </c>
      <c r="D401" t="s">
        <v>956</v>
      </c>
      <c r="E401" t="s">
        <v>1363</v>
      </c>
      <c r="F401" t="str" cm="1">
        <f t="array" ref="F401">IF(OR(COUNTIF(D401,"*"&amp;Preprocessing!$T$9:$T$15&amp;"*")),"Female","Male")</f>
        <v>Male</v>
      </c>
      <c r="G401">
        <v>26</v>
      </c>
      <c r="H401">
        <v>0</v>
      </c>
      <c r="I401">
        <v>0</v>
      </c>
      <c r="J401">
        <v>3</v>
      </c>
      <c r="K401">
        <v>8.0500000000000007</v>
      </c>
      <c r="L401">
        <f t="shared" si="31"/>
        <v>0</v>
      </c>
      <c r="M401">
        <f t="shared" si="32"/>
        <v>26</v>
      </c>
      <c r="N401" t="str">
        <f t="shared" si="33"/>
        <v>Adult</v>
      </c>
      <c r="O401">
        <f t="shared" si="34"/>
        <v>8.0500000000000007</v>
      </c>
    </row>
    <row r="402" spans="1:15" x14ac:dyDescent="0.3">
      <c r="A402">
        <v>401</v>
      </c>
      <c r="B402">
        <v>0</v>
      </c>
      <c r="C402" t="str">
        <f t="shared" si="30"/>
        <v>No</v>
      </c>
      <c r="D402" t="s">
        <v>960</v>
      </c>
      <c r="E402" t="s">
        <v>1364</v>
      </c>
      <c r="F402" t="str" cm="1">
        <f t="array" ref="F402">IF(OR(COUNTIF(D402,"*"&amp;Preprocessing!$T$9:$T$15&amp;"*")),"Female","Male")</f>
        <v>Female</v>
      </c>
      <c r="G402">
        <v>21</v>
      </c>
      <c r="H402">
        <v>1</v>
      </c>
      <c r="I402">
        <v>0</v>
      </c>
      <c r="J402">
        <v>3</v>
      </c>
      <c r="K402">
        <v>9.8249999999999993</v>
      </c>
      <c r="L402">
        <f t="shared" si="31"/>
        <v>1</v>
      </c>
      <c r="M402">
        <f t="shared" si="32"/>
        <v>21</v>
      </c>
      <c r="N402" t="str">
        <f t="shared" si="33"/>
        <v>Adult</v>
      </c>
      <c r="O402">
        <f t="shared" si="34"/>
        <v>9.83</v>
      </c>
    </row>
    <row r="403" spans="1:15" x14ac:dyDescent="0.3">
      <c r="A403">
        <v>402</v>
      </c>
      <c r="B403">
        <v>0</v>
      </c>
      <c r="C403" t="str">
        <f t="shared" si="30"/>
        <v>No</v>
      </c>
      <c r="D403" t="s">
        <v>956</v>
      </c>
      <c r="E403" t="s">
        <v>1365</v>
      </c>
      <c r="F403" t="str" cm="1">
        <f t="array" ref="F403">IF(OR(COUNTIF(D403,"*"&amp;Preprocessing!$T$9:$T$15&amp;"*")),"Female","Male")</f>
        <v>Male</v>
      </c>
      <c r="G403">
        <v>28</v>
      </c>
      <c r="H403">
        <v>1</v>
      </c>
      <c r="I403">
        <v>0</v>
      </c>
      <c r="J403">
        <v>3</v>
      </c>
      <c r="K403">
        <v>15.85</v>
      </c>
      <c r="L403">
        <f t="shared" si="31"/>
        <v>0</v>
      </c>
      <c r="M403">
        <f t="shared" si="32"/>
        <v>28</v>
      </c>
      <c r="N403" t="str">
        <f t="shared" si="33"/>
        <v>Adult</v>
      </c>
      <c r="O403">
        <f t="shared" si="34"/>
        <v>15.85</v>
      </c>
    </row>
    <row r="404" spans="1:15" x14ac:dyDescent="0.3">
      <c r="A404">
        <v>403</v>
      </c>
      <c r="B404">
        <v>0</v>
      </c>
      <c r="C404" t="str">
        <f t="shared" si="30"/>
        <v>No</v>
      </c>
      <c r="D404" t="s">
        <v>960</v>
      </c>
      <c r="E404" t="s">
        <v>1366</v>
      </c>
      <c r="F404" t="str" cm="1">
        <f t="array" ref="F404">IF(OR(COUNTIF(D404,"*"&amp;Preprocessing!$T$9:$T$15&amp;"*")),"Female","Male")</f>
        <v>Female</v>
      </c>
      <c r="G404">
        <v>20</v>
      </c>
      <c r="H404">
        <v>0</v>
      </c>
      <c r="I404">
        <v>0</v>
      </c>
      <c r="J404">
        <v>3</v>
      </c>
      <c r="K404">
        <v>8.6624999999999996</v>
      </c>
      <c r="L404">
        <f t="shared" si="31"/>
        <v>1</v>
      </c>
      <c r="M404">
        <f t="shared" si="32"/>
        <v>20</v>
      </c>
      <c r="N404" t="str">
        <f t="shared" si="33"/>
        <v>Adult</v>
      </c>
      <c r="O404">
        <f t="shared" si="34"/>
        <v>8.66</v>
      </c>
    </row>
    <row r="405" spans="1:15" x14ac:dyDescent="0.3">
      <c r="A405">
        <v>404</v>
      </c>
      <c r="B405">
        <v>0</v>
      </c>
      <c r="C405" t="str">
        <f t="shared" si="30"/>
        <v>No</v>
      </c>
      <c r="D405" t="s">
        <v>956</v>
      </c>
      <c r="E405" t="s">
        <v>1367</v>
      </c>
      <c r="F405" t="str" cm="1">
        <f t="array" ref="F405">IF(OR(COUNTIF(D405,"*"&amp;Preprocessing!$T$9:$T$15&amp;"*")),"Female","Male")</f>
        <v>Male</v>
      </c>
      <c r="G405">
        <v>34</v>
      </c>
      <c r="H405">
        <v>1</v>
      </c>
      <c r="I405">
        <v>0</v>
      </c>
      <c r="J405">
        <v>2</v>
      </c>
      <c r="K405">
        <v>21</v>
      </c>
      <c r="L405">
        <f t="shared" si="31"/>
        <v>0</v>
      </c>
      <c r="M405">
        <f t="shared" si="32"/>
        <v>34</v>
      </c>
      <c r="N405" t="str">
        <f t="shared" si="33"/>
        <v>Adult</v>
      </c>
      <c r="O405">
        <f t="shared" si="34"/>
        <v>21</v>
      </c>
    </row>
    <row r="406" spans="1:15" x14ac:dyDescent="0.3">
      <c r="A406">
        <v>405</v>
      </c>
      <c r="B406">
        <v>0</v>
      </c>
      <c r="C406" t="str">
        <f t="shared" si="30"/>
        <v>No</v>
      </c>
      <c r="D406" t="s">
        <v>956</v>
      </c>
      <c r="E406" t="s">
        <v>1368</v>
      </c>
      <c r="F406" t="str" cm="1">
        <f t="array" ref="F406">IF(OR(COUNTIF(D406,"*"&amp;Preprocessing!$T$9:$T$15&amp;"*")),"Female","Male")</f>
        <v>Male</v>
      </c>
      <c r="G406">
        <v>51</v>
      </c>
      <c r="H406">
        <v>0</v>
      </c>
      <c r="I406">
        <v>0</v>
      </c>
      <c r="J406">
        <v>3</v>
      </c>
      <c r="K406">
        <v>7.75</v>
      </c>
      <c r="L406">
        <f t="shared" si="31"/>
        <v>0</v>
      </c>
      <c r="M406">
        <f t="shared" si="32"/>
        <v>51</v>
      </c>
      <c r="N406" t="str">
        <f t="shared" si="33"/>
        <v>Adult</v>
      </c>
      <c r="O406">
        <f t="shared" si="34"/>
        <v>7.75</v>
      </c>
    </row>
    <row r="407" spans="1:15" x14ac:dyDescent="0.3">
      <c r="A407">
        <v>406</v>
      </c>
      <c r="B407">
        <v>1</v>
      </c>
      <c r="C407" t="str">
        <f t="shared" si="30"/>
        <v>Yes</v>
      </c>
      <c r="D407" t="s">
        <v>966</v>
      </c>
      <c r="E407" t="s">
        <v>1369</v>
      </c>
      <c r="F407" t="str" cm="1">
        <f t="array" ref="F407">IF(OR(COUNTIF(D407,"*"&amp;Preprocessing!$T$9:$T$15&amp;"*")),"Female","Male")</f>
        <v>Male</v>
      </c>
      <c r="G407">
        <v>3</v>
      </c>
      <c r="H407">
        <v>1</v>
      </c>
      <c r="I407">
        <v>1</v>
      </c>
      <c r="J407">
        <v>2</v>
      </c>
      <c r="K407">
        <v>18.75</v>
      </c>
      <c r="L407">
        <f t="shared" si="31"/>
        <v>0</v>
      </c>
      <c r="M407">
        <f t="shared" si="32"/>
        <v>3</v>
      </c>
      <c r="N407" t="str">
        <f t="shared" si="33"/>
        <v>Child</v>
      </c>
      <c r="O407">
        <f t="shared" si="34"/>
        <v>18.75</v>
      </c>
    </row>
    <row r="408" spans="1:15" x14ac:dyDescent="0.3">
      <c r="A408">
        <v>407</v>
      </c>
      <c r="B408">
        <v>0</v>
      </c>
      <c r="C408" t="str">
        <f t="shared" si="30"/>
        <v>No</v>
      </c>
      <c r="D408" t="s">
        <v>956</v>
      </c>
      <c r="E408" t="s">
        <v>1370</v>
      </c>
      <c r="F408" t="str" cm="1">
        <f t="array" ref="F408">IF(OR(COUNTIF(D408,"*"&amp;Preprocessing!$T$9:$T$15&amp;"*")),"Female","Male")</f>
        <v>Male</v>
      </c>
      <c r="G408">
        <v>21</v>
      </c>
      <c r="H408">
        <v>0</v>
      </c>
      <c r="I408">
        <v>0</v>
      </c>
      <c r="J408">
        <v>3</v>
      </c>
      <c r="K408">
        <v>7.7750000000000004</v>
      </c>
      <c r="L408">
        <f t="shared" si="31"/>
        <v>0</v>
      </c>
      <c r="M408">
        <f t="shared" si="32"/>
        <v>21</v>
      </c>
      <c r="N408" t="str">
        <f t="shared" si="33"/>
        <v>Adult</v>
      </c>
      <c r="O408">
        <f t="shared" si="34"/>
        <v>7.78</v>
      </c>
    </row>
    <row r="409" spans="1:15" x14ac:dyDescent="0.3">
      <c r="A409">
        <v>408</v>
      </c>
      <c r="B409">
        <v>0</v>
      </c>
      <c r="C409" t="str">
        <f t="shared" si="30"/>
        <v>No</v>
      </c>
      <c r="D409" t="s">
        <v>960</v>
      </c>
      <c r="E409" t="s">
        <v>1371</v>
      </c>
      <c r="F409" t="str" cm="1">
        <f t="array" ref="F409">IF(OR(COUNTIF(D409,"*"&amp;Preprocessing!$T$9:$T$15&amp;"*")),"Female","Male")</f>
        <v>Female</v>
      </c>
      <c r="G409">
        <v>3</v>
      </c>
      <c r="H409">
        <v>3</v>
      </c>
      <c r="I409">
        <v>1</v>
      </c>
      <c r="J409">
        <v>3</v>
      </c>
      <c r="K409">
        <v>25.466699999999999</v>
      </c>
      <c r="L409">
        <f t="shared" si="31"/>
        <v>1</v>
      </c>
      <c r="M409">
        <f t="shared" si="32"/>
        <v>3</v>
      </c>
      <c r="N409" t="str">
        <f t="shared" si="33"/>
        <v>Child</v>
      </c>
      <c r="O409">
        <f t="shared" si="34"/>
        <v>25.47</v>
      </c>
    </row>
    <row r="410" spans="1:15" x14ac:dyDescent="0.3">
      <c r="A410">
        <v>409</v>
      </c>
      <c r="B410">
        <v>0</v>
      </c>
      <c r="C410" t="str">
        <f t="shared" si="30"/>
        <v>No</v>
      </c>
      <c r="D410" t="s">
        <v>956</v>
      </c>
      <c r="E410" t="s">
        <v>1372</v>
      </c>
      <c r="F410" t="str" cm="1">
        <f t="array" ref="F410">IF(OR(COUNTIF(D410,"*"&amp;Preprocessing!$T$9:$T$15&amp;"*")),"Female","Male")</f>
        <v>Male</v>
      </c>
      <c r="G410">
        <v>42</v>
      </c>
      <c r="H410">
        <v>0</v>
      </c>
      <c r="I410">
        <v>0</v>
      </c>
      <c r="J410">
        <v>3</v>
      </c>
      <c r="K410">
        <v>7.8958000000000004</v>
      </c>
      <c r="L410">
        <f t="shared" si="31"/>
        <v>0</v>
      </c>
      <c r="M410">
        <f t="shared" si="32"/>
        <v>42</v>
      </c>
      <c r="N410" t="str">
        <f t="shared" si="33"/>
        <v>Adult</v>
      </c>
      <c r="O410">
        <f t="shared" si="34"/>
        <v>7.9</v>
      </c>
    </row>
    <row r="411" spans="1:15" x14ac:dyDescent="0.3">
      <c r="A411">
        <v>410</v>
      </c>
      <c r="B411">
        <v>0</v>
      </c>
      <c r="C411" t="str">
        <f t="shared" si="30"/>
        <v>No</v>
      </c>
      <c r="D411" t="s">
        <v>956</v>
      </c>
      <c r="E411" t="s">
        <v>1373</v>
      </c>
      <c r="F411" t="str" cm="1">
        <f t="array" ref="F411">IF(OR(COUNTIF(D411,"*"&amp;Preprocessing!$T$9:$T$15&amp;"*")),"Female","Male")</f>
        <v>Male</v>
      </c>
      <c r="G411">
        <v>27</v>
      </c>
      <c r="H411">
        <v>0</v>
      </c>
      <c r="I411">
        <v>0</v>
      </c>
      <c r="J411">
        <v>3</v>
      </c>
      <c r="K411">
        <v>6.8582999999999998</v>
      </c>
      <c r="L411">
        <f t="shared" si="31"/>
        <v>0</v>
      </c>
      <c r="M411">
        <f t="shared" si="32"/>
        <v>27</v>
      </c>
      <c r="N411" t="str">
        <f t="shared" si="33"/>
        <v>Adult</v>
      </c>
      <c r="O411">
        <f t="shared" si="34"/>
        <v>6.86</v>
      </c>
    </row>
    <row r="412" spans="1:15" x14ac:dyDescent="0.3">
      <c r="A412">
        <v>411</v>
      </c>
      <c r="B412">
        <v>1</v>
      </c>
      <c r="C412" t="str">
        <f t="shared" si="30"/>
        <v>Yes</v>
      </c>
      <c r="D412" t="s">
        <v>960</v>
      </c>
      <c r="E412" t="s">
        <v>1374</v>
      </c>
      <c r="F412" t="str" cm="1">
        <f t="array" ref="F412">IF(OR(COUNTIF(D412,"*"&amp;Preprocessing!$T$9:$T$15&amp;"*")),"Female","Male")</f>
        <v>Female</v>
      </c>
      <c r="G412">
        <v>33</v>
      </c>
      <c r="H412">
        <v>1</v>
      </c>
      <c r="I412">
        <v>0</v>
      </c>
      <c r="J412">
        <v>1</v>
      </c>
      <c r="K412">
        <v>90</v>
      </c>
      <c r="L412">
        <f t="shared" si="31"/>
        <v>1</v>
      </c>
      <c r="M412">
        <f t="shared" si="32"/>
        <v>33</v>
      </c>
      <c r="N412" t="str">
        <f t="shared" si="33"/>
        <v>Adult</v>
      </c>
      <c r="O412">
        <f t="shared" si="34"/>
        <v>90</v>
      </c>
    </row>
    <row r="413" spans="1:15" x14ac:dyDescent="0.3">
      <c r="A413">
        <v>412</v>
      </c>
      <c r="B413">
        <v>0</v>
      </c>
      <c r="C413" t="str">
        <f t="shared" si="30"/>
        <v>No</v>
      </c>
      <c r="D413" t="s">
        <v>956</v>
      </c>
      <c r="E413" t="s">
        <v>1375</v>
      </c>
      <c r="F413" t="str" cm="1">
        <f t="array" ref="F413">IF(OR(COUNTIF(D413,"*"&amp;Preprocessing!$T$9:$T$15&amp;"*")),"Female","Male")</f>
        <v>Male</v>
      </c>
      <c r="G413">
        <v>22</v>
      </c>
      <c r="H413">
        <v>0</v>
      </c>
      <c r="I413">
        <v>0</v>
      </c>
      <c r="J413">
        <v>2</v>
      </c>
      <c r="K413">
        <v>0</v>
      </c>
      <c r="L413">
        <f t="shared" si="31"/>
        <v>0</v>
      </c>
      <c r="M413">
        <f t="shared" si="32"/>
        <v>22</v>
      </c>
      <c r="N413" t="str">
        <f t="shared" si="33"/>
        <v>Adult</v>
      </c>
      <c r="O413">
        <f t="shared" si="34"/>
        <v>0</v>
      </c>
    </row>
    <row r="414" spans="1:15" x14ac:dyDescent="0.3">
      <c r="A414">
        <v>413</v>
      </c>
      <c r="B414">
        <v>1</v>
      </c>
      <c r="C414" t="str">
        <f t="shared" si="30"/>
        <v>Yes</v>
      </c>
      <c r="D414" t="s">
        <v>956</v>
      </c>
      <c r="E414" t="s">
        <v>1376</v>
      </c>
      <c r="F414" t="str" cm="1">
        <f t="array" ref="F414">IF(OR(COUNTIF(D414,"*"&amp;Preprocessing!$T$9:$T$15&amp;"*")),"Female","Male")</f>
        <v>Male</v>
      </c>
      <c r="G414">
        <v>44</v>
      </c>
      <c r="H414">
        <v>0</v>
      </c>
      <c r="I414">
        <v>0</v>
      </c>
      <c r="J414">
        <v>3</v>
      </c>
      <c r="K414">
        <v>7.9249999999999998</v>
      </c>
      <c r="L414">
        <f t="shared" si="31"/>
        <v>0</v>
      </c>
      <c r="M414">
        <f t="shared" si="32"/>
        <v>44</v>
      </c>
      <c r="N414" t="str">
        <f t="shared" si="33"/>
        <v>Adult</v>
      </c>
      <c r="O414">
        <f t="shared" si="34"/>
        <v>7.93</v>
      </c>
    </row>
    <row r="415" spans="1:15" x14ac:dyDescent="0.3">
      <c r="A415">
        <v>414</v>
      </c>
      <c r="B415">
        <v>0</v>
      </c>
      <c r="C415" t="str">
        <f t="shared" si="30"/>
        <v>No</v>
      </c>
      <c r="D415" t="s">
        <v>958</v>
      </c>
      <c r="E415" t="s">
        <v>1377</v>
      </c>
      <c r="F415" t="str" cm="1">
        <f t="array" ref="F415">IF(OR(COUNTIF(D415,"*"&amp;Preprocessing!$T$9:$T$15&amp;"*")),"Female","Male")</f>
        <v>Female</v>
      </c>
      <c r="G415">
        <v>32</v>
      </c>
      <c r="H415">
        <v>0</v>
      </c>
      <c r="I415">
        <v>0</v>
      </c>
      <c r="J415">
        <v>3</v>
      </c>
      <c r="K415">
        <v>8.0500000000000007</v>
      </c>
      <c r="L415">
        <f t="shared" si="31"/>
        <v>1</v>
      </c>
      <c r="M415">
        <f t="shared" si="32"/>
        <v>32</v>
      </c>
      <c r="N415" t="str">
        <f t="shared" si="33"/>
        <v>Adult</v>
      </c>
      <c r="O415">
        <f t="shared" si="34"/>
        <v>8.0500000000000007</v>
      </c>
    </row>
    <row r="416" spans="1:15" x14ac:dyDescent="0.3">
      <c r="A416">
        <v>415</v>
      </c>
      <c r="B416">
        <v>1</v>
      </c>
      <c r="C416" t="str">
        <f t="shared" si="30"/>
        <v>Yes</v>
      </c>
      <c r="D416" t="s">
        <v>958</v>
      </c>
      <c r="E416" t="s">
        <v>1378</v>
      </c>
      <c r="F416" t="str" cm="1">
        <f t="array" ref="F416">IF(OR(COUNTIF(D416,"*"&amp;Preprocessing!$T$9:$T$15&amp;"*")),"Female","Male")</f>
        <v>Female</v>
      </c>
      <c r="G416">
        <v>34</v>
      </c>
      <c r="H416">
        <v>1</v>
      </c>
      <c r="I416">
        <v>1</v>
      </c>
      <c r="J416">
        <v>2</v>
      </c>
      <c r="K416">
        <v>32.5</v>
      </c>
      <c r="L416">
        <f t="shared" si="31"/>
        <v>1</v>
      </c>
      <c r="M416">
        <f t="shared" si="32"/>
        <v>34</v>
      </c>
      <c r="N416" t="str">
        <f t="shared" si="33"/>
        <v>Adult</v>
      </c>
      <c r="O416">
        <f t="shared" si="34"/>
        <v>32.5</v>
      </c>
    </row>
    <row r="417" spans="1:15" x14ac:dyDescent="0.3">
      <c r="A417">
        <v>416</v>
      </c>
      <c r="B417">
        <v>1</v>
      </c>
      <c r="C417" t="str">
        <f t="shared" si="30"/>
        <v>Yes</v>
      </c>
      <c r="D417" t="s">
        <v>960</v>
      </c>
      <c r="E417" t="s">
        <v>1379</v>
      </c>
      <c r="F417" t="str" cm="1">
        <f t="array" ref="F417">IF(OR(COUNTIF(D417,"*"&amp;Preprocessing!$T$9:$T$15&amp;"*")),"Female","Male")</f>
        <v>Female</v>
      </c>
      <c r="G417">
        <v>18</v>
      </c>
      <c r="H417">
        <v>0</v>
      </c>
      <c r="I417">
        <v>2</v>
      </c>
      <c r="J417">
        <v>2</v>
      </c>
      <c r="K417">
        <v>13</v>
      </c>
      <c r="L417">
        <f t="shared" si="31"/>
        <v>1</v>
      </c>
      <c r="M417">
        <f t="shared" si="32"/>
        <v>18</v>
      </c>
      <c r="N417" t="str">
        <f t="shared" si="33"/>
        <v>Adult</v>
      </c>
      <c r="O417">
        <f t="shared" si="34"/>
        <v>13</v>
      </c>
    </row>
    <row r="418" spans="1:15" x14ac:dyDescent="0.3">
      <c r="A418">
        <v>417</v>
      </c>
      <c r="B418">
        <v>0</v>
      </c>
      <c r="C418" t="str">
        <f t="shared" si="30"/>
        <v>No</v>
      </c>
      <c r="D418" t="s">
        <v>956</v>
      </c>
      <c r="E418" t="s">
        <v>1380</v>
      </c>
      <c r="F418" t="str" cm="1">
        <f t="array" ref="F418">IF(OR(COUNTIF(D418,"*"&amp;Preprocessing!$T$9:$T$15&amp;"*")),"Female","Male")</f>
        <v>Male</v>
      </c>
      <c r="G418">
        <v>30</v>
      </c>
      <c r="H418">
        <v>0</v>
      </c>
      <c r="I418">
        <v>0</v>
      </c>
      <c r="J418">
        <v>2</v>
      </c>
      <c r="K418">
        <v>13</v>
      </c>
      <c r="L418">
        <f t="shared" si="31"/>
        <v>0</v>
      </c>
      <c r="M418">
        <f t="shared" si="32"/>
        <v>30</v>
      </c>
      <c r="N418" t="str">
        <f t="shared" si="33"/>
        <v>Adult</v>
      </c>
      <c r="O418">
        <f t="shared" si="34"/>
        <v>13</v>
      </c>
    </row>
    <row r="419" spans="1:15" x14ac:dyDescent="0.3">
      <c r="A419">
        <v>418</v>
      </c>
      <c r="B419">
        <v>0</v>
      </c>
      <c r="C419" t="str">
        <f t="shared" si="30"/>
        <v>No</v>
      </c>
      <c r="D419" t="s">
        <v>960</v>
      </c>
      <c r="E419" t="s">
        <v>1381</v>
      </c>
      <c r="F419" t="str" cm="1">
        <f t="array" ref="F419">IF(OR(COUNTIF(D419,"*"&amp;Preprocessing!$T$9:$T$15&amp;"*")),"Female","Male")</f>
        <v>Female</v>
      </c>
      <c r="G419">
        <v>10</v>
      </c>
      <c r="H419">
        <v>0</v>
      </c>
      <c r="I419">
        <v>2</v>
      </c>
      <c r="J419">
        <v>3</v>
      </c>
      <c r="K419">
        <v>24.15</v>
      </c>
      <c r="L419">
        <f t="shared" si="31"/>
        <v>1</v>
      </c>
      <c r="M419">
        <f t="shared" si="32"/>
        <v>10</v>
      </c>
      <c r="N419" t="str">
        <f t="shared" si="33"/>
        <v>Child</v>
      </c>
      <c r="O419">
        <f t="shared" si="34"/>
        <v>24.15</v>
      </c>
    </row>
    <row r="420" spans="1:15" x14ac:dyDescent="0.3">
      <c r="A420">
        <v>419</v>
      </c>
      <c r="B420">
        <v>0</v>
      </c>
      <c r="C420" t="str">
        <f t="shared" si="30"/>
        <v>No</v>
      </c>
      <c r="D420" t="s">
        <v>956</v>
      </c>
      <c r="E420" t="s">
        <v>1382</v>
      </c>
      <c r="F420" t="str" cm="1">
        <f t="array" ref="F420">IF(OR(COUNTIF(D420,"*"&amp;Preprocessing!$T$9:$T$15&amp;"*")),"Female","Male")</f>
        <v>Male</v>
      </c>
      <c r="G420">
        <v>21</v>
      </c>
      <c r="H420">
        <v>0</v>
      </c>
      <c r="I420">
        <v>0</v>
      </c>
      <c r="J420">
        <v>3</v>
      </c>
      <c r="K420">
        <v>7.7332999999999998</v>
      </c>
      <c r="L420">
        <f t="shared" si="31"/>
        <v>0</v>
      </c>
      <c r="M420">
        <f t="shared" si="32"/>
        <v>21</v>
      </c>
      <c r="N420" t="str">
        <f t="shared" si="33"/>
        <v>Adult</v>
      </c>
      <c r="O420">
        <f t="shared" si="34"/>
        <v>7.73</v>
      </c>
    </row>
    <row r="421" spans="1:15" x14ac:dyDescent="0.3">
      <c r="A421">
        <v>420</v>
      </c>
      <c r="B421">
        <v>0</v>
      </c>
      <c r="C421" t="str">
        <f t="shared" si="30"/>
        <v>No</v>
      </c>
      <c r="D421" t="s">
        <v>956</v>
      </c>
      <c r="E421" t="s">
        <v>1383</v>
      </c>
      <c r="F421" t="str" cm="1">
        <f t="array" ref="F421">IF(OR(COUNTIF(D421,"*"&amp;Preprocessing!$T$9:$T$15&amp;"*")),"Female","Male")</f>
        <v>Male</v>
      </c>
      <c r="G421">
        <v>29</v>
      </c>
      <c r="H421">
        <v>0</v>
      </c>
      <c r="I421">
        <v>0</v>
      </c>
      <c r="J421">
        <v>3</v>
      </c>
      <c r="K421">
        <v>7.875</v>
      </c>
      <c r="L421">
        <f t="shared" si="31"/>
        <v>0</v>
      </c>
      <c r="M421">
        <f t="shared" si="32"/>
        <v>29</v>
      </c>
      <c r="N421" t="str">
        <f t="shared" si="33"/>
        <v>Adult</v>
      </c>
      <c r="O421">
        <f t="shared" si="34"/>
        <v>7.88</v>
      </c>
    </row>
    <row r="422" spans="1:15" x14ac:dyDescent="0.3">
      <c r="A422">
        <v>421</v>
      </c>
      <c r="B422">
        <v>0</v>
      </c>
      <c r="C422" t="str">
        <f t="shared" si="30"/>
        <v>No</v>
      </c>
      <c r="D422" t="s">
        <v>958</v>
      </c>
      <c r="E422" t="s">
        <v>1384</v>
      </c>
      <c r="F422" t="str" cm="1">
        <f t="array" ref="F422">IF(OR(COUNTIF(D422,"*"&amp;Preprocessing!$T$9:$T$15&amp;"*")),"Female","Male")</f>
        <v>Female</v>
      </c>
      <c r="G422">
        <v>28</v>
      </c>
      <c r="H422">
        <v>1</v>
      </c>
      <c r="I422">
        <v>1</v>
      </c>
      <c r="J422">
        <v>3</v>
      </c>
      <c r="K422">
        <v>14.4</v>
      </c>
      <c r="L422">
        <f t="shared" si="31"/>
        <v>1</v>
      </c>
      <c r="M422">
        <f t="shared" si="32"/>
        <v>28</v>
      </c>
      <c r="N422" t="str">
        <f t="shared" si="33"/>
        <v>Adult</v>
      </c>
      <c r="O422">
        <f t="shared" si="34"/>
        <v>14.4</v>
      </c>
    </row>
    <row r="423" spans="1:15" x14ac:dyDescent="0.3">
      <c r="A423">
        <v>422</v>
      </c>
      <c r="B423">
        <v>0</v>
      </c>
      <c r="C423" t="str">
        <f t="shared" si="30"/>
        <v>No</v>
      </c>
      <c r="D423" t="s">
        <v>956</v>
      </c>
      <c r="E423" t="s">
        <v>1385</v>
      </c>
      <c r="F423" t="str" cm="1">
        <f t="array" ref="F423">IF(OR(COUNTIF(D423,"*"&amp;Preprocessing!$T$9:$T$15&amp;"*")),"Female","Male")</f>
        <v>Male</v>
      </c>
      <c r="G423">
        <v>18</v>
      </c>
      <c r="H423">
        <v>1</v>
      </c>
      <c r="I423">
        <v>1</v>
      </c>
      <c r="J423">
        <v>3</v>
      </c>
      <c r="K423">
        <v>20.212499999999999</v>
      </c>
      <c r="L423">
        <f t="shared" si="31"/>
        <v>0</v>
      </c>
      <c r="M423">
        <f t="shared" si="32"/>
        <v>18</v>
      </c>
      <c r="N423" t="str">
        <f t="shared" si="33"/>
        <v>Adult</v>
      </c>
      <c r="O423">
        <f t="shared" si="34"/>
        <v>20.21</v>
      </c>
    </row>
    <row r="424" spans="1:15" x14ac:dyDescent="0.3">
      <c r="A424">
        <v>423</v>
      </c>
      <c r="B424">
        <v>0</v>
      </c>
      <c r="C424" t="str">
        <f t="shared" si="30"/>
        <v>No</v>
      </c>
      <c r="D424" t="s">
        <v>956</v>
      </c>
      <c r="E424" t="s">
        <v>1386</v>
      </c>
      <c r="F424" t="str" cm="1">
        <f t="array" ref="F424">IF(OR(COUNTIF(D424,"*"&amp;Preprocessing!$T$9:$T$15&amp;"*")),"Female","Male")</f>
        <v>Male</v>
      </c>
      <c r="G424">
        <v>54</v>
      </c>
      <c r="H424">
        <v>0</v>
      </c>
      <c r="I424">
        <v>0</v>
      </c>
      <c r="J424">
        <v>3</v>
      </c>
      <c r="K424">
        <v>7.25</v>
      </c>
      <c r="L424">
        <f t="shared" si="31"/>
        <v>0</v>
      </c>
      <c r="M424">
        <f t="shared" si="32"/>
        <v>54</v>
      </c>
      <c r="N424" t="str">
        <f t="shared" si="33"/>
        <v>Adult</v>
      </c>
      <c r="O424">
        <f t="shared" si="34"/>
        <v>7.25</v>
      </c>
    </row>
    <row r="425" spans="1:15" x14ac:dyDescent="0.3">
      <c r="A425">
        <v>424</v>
      </c>
      <c r="B425">
        <v>1</v>
      </c>
      <c r="C425" t="str">
        <f t="shared" si="30"/>
        <v>Yes</v>
      </c>
      <c r="D425" t="s">
        <v>958</v>
      </c>
      <c r="E425" t="s">
        <v>1387</v>
      </c>
      <c r="F425" t="str" cm="1">
        <f t="array" ref="F425">IF(OR(COUNTIF(D425,"*"&amp;Preprocessing!$T$9:$T$15&amp;"*")),"Female","Male")</f>
        <v>Female</v>
      </c>
      <c r="G425">
        <v>28</v>
      </c>
      <c r="H425">
        <v>1</v>
      </c>
      <c r="I425">
        <v>0</v>
      </c>
      <c r="J425">
        <v>2</v>
      </c>
      <c r="K425">
        <v>26</v>
      </c>
      <c r="L425">
        <f t="shared" si="31"/>
        <v>1</v>
      </c>
      <c r="M425">
        <f t="shared" si="32"/>
        <v>28</v>
      </c>
      <c r="N425" t="str">
        <f t="shared" si="33"/>
        <v>Adult</v>
      </c>
      <c r="O425">
        <f t="shared" si="34"/>
        <v>26</v>
      </c>
    </row>
    <row r="426" spans="1:15" x14ac:dyDescent="0.3">
      <c r="A426">
        <v>425</v>
      </c>
      <c r="B426">
        <v>1</v>
      </c>
      <c r="C426" t="str">
        <f t="shared" si="30"/>
        <v>Yes</v>
      </c>
      <c r="D426" t="s">
        <v>960</v>
      </c>
      <c r="E426" t="s">
        <v>1388</v>
      </c>
      <c r="F426" t="str" cm="1">
        <f t="array" ref="F426">IF(OR(COUNTIF(D426,"*"&amp;Preprocessing!$T$9:$T$15&amp;"*")),"Female","Male")</f>
        <v>Female</v>
      </c>
      <c r="G426">
        <v>19</v>
      </c>
      <c r="H426">
        <v>0</v>
      </c>
      <c r="I426">
        <v>0</v>
      </c>
      <c r="J426">
        <v>2</v>
      </c>
      <c r="K426">
        <v>26</v>
      </c>
      <c r="L426">
        <f t="shared" si="31"/>
        <v>1</v>
      </c>
      <c r="M426">
        <f t="shared" si="32"/>
        <v>19</v>
      </c>
      <c r="N426" t="str">
        <f t="shared" si="33"/>
        <v>Adult</v>
      </c>
      <c r="O426">
        <f t="shared" si="34"/>
        <v>26</v>
      </c>
    </row>
    <row r="427" spans="1:15" x14ac:dyDescent="0.3">
      <c r="A427">
        <v>426</v>
      </c>
      <c r="B427">
        <v>0</v>
      </c>
      <c r="C427" t="str">
        <f t="shared" si="30"/>
        <v>No</v>
      </c>
      <c r="D427" t="s">
        <v>956</v>
      </c>
      <c r="E427" t="s">
        <v>1389</v>
      </c>
      <c r="F427" t="str" cm="1">
        <f t="array" ref="F427">IF(OR(COUNTIF(D427,"*"&amp;Preprocessing!$T$9:$T$15&amp;"*")),"Female","Male")</f>
        <v>Male</v>
      </c>
      <c r="G427">
        <v>28</v>
      </c>
      <c r="H427">
        <v>0</v>
      </c>
      <c r="I427">
        <v>0</v>
      </c>
      <c r="J427">
        <v>3</v>
      </c>
      <c r="K427">
        <v>7.75</v>
      </c>
      <c r="L427">
        <f t="shared" si="31"/>
        <v>0</v>
      </c>
      <c r="M427">
        <f t="shared" si="32"/>
        <v>28</v>
      </c>
      <c r="N427" t="str">
        <f t="shared" si="33"/>
        <v>Adult</v>
      </c>
      <c r="O427">
        <f t="shared" si="34"/>
        <v>7.75</v>
      </c>
    </row>
    <row r="428" spans="1:15" x14ac:dyDescent="0.3">
      <c r="A428">
        <v>427</v>
      </c>
      <c r="B428">
        <v>1</v>
      </c>
      <c r="C428" t="str">
        <f t="shared" si="30"/>
        <v>Yes</v>
      </c>
      <c r="D428" t="s">
        <v>956</v>
      </c>
      <c r="E428" t="s">
        <v>1390</v>
      </c>
      <c r="F428" t="str" cm="1">
        <f t="array" ref="F428">IF(OR(COUNTIF(D428,"*"&amp;Preprocessing!$T$9:$T$15&amp;"*")),"Female","Male")</f>
        <v>Male</v>
      </c>
      <c r="G428">
        <v>32</v>
      </c>
      <c r="H428">
        <v>0</v>
      </c>
      <c r="I428">
        <v>0</v>
      </c>
      <c r="J428">
        <v>3</v>
      </c>
      <c r="K428">
        <v>8.0500000000000007</v>
      </c>
      <c r="L428">
        <f t="shared" si="31"/>
        <v>0</v>
      </c>
      <c r="M428">
        <f t="shared" si="32"/>
        <v>32</v>
      </c>
      <c r="N428" t="str">
        <f t="shared" si="33"/>
        <v>Adult</v>
      </c>
      <c r="O428">
        <f t="shared" si="34"/>
        <v>8.0500000000000007</v>
      </c>
    </row>
    <row r="429" spans="1:15" x14ac:dyDescent="0.3">
      <c r="A429">
        <v>428</v>
      </c>
      <c r="B429">
        <v>1</v>
      </c>
      <c r="C429" t="str">
        <f t="shared" si="30"/>
        <v>Yes</v>
      </c>
      <c r="D429" t="s">
        <v>956</v>
      </c>
      <c r="E429" t="s">
        <v>1391</v>
      </c>
      <c r="F429" t="str" cm="1">
        <f t="array" ref="F429">IF(OR(COUNTIF(D429,"*"&amp;Preprocessing!$T$9:$T$15&amp;"*")),"Female","Male")</f>
        <v>Male</v>
      </c>
      <c r="G429">
        <v>28</v>
      </c>
      <c r="H429">
        <v>0</v>
      </c>
      <c r="I429">
        <v>0</v>
      </c>
      <c r="J429">
        <v>1</v>
      </c>
      <c r="K429">
        <v>26.55</v>
      </c>
      <c r="L429">
        <f t="shared" si="31"/>
        <v>0</v>
      </c>
      <c r="M429">
        <f t="shared" si="32"/>
        <v>28</v>
      </c>
      <c r="N429" t="str">
        <f t="shared" si="33"/>
        <v>Adult</v>
      </c>
      <c r="O429">
        <f t="shared" si="34"/>
        <v>26.55</v>
      </c>
    </row>
    <row r="430" spans="1:15" x14ac:dyDescent="0.3">
      <c r="A430">
        <v>429</v>
      </c>
      <c r="B430">
        <v>1</v>
      </c>
      <c r="C430" t="str">
        <f t="shared" si="30"/>
        <v>Yes</v>
      </c>
      <c r="D430" t="s">
        <v>958</v>
      </c>
      <c r="E430" t="s">
        <v>1392</v>
      </c>
      <c r="F430" t="str" cm="1">
        <f t="array" ref="F430">IF(OR(COUNTIF(D430,"*"&amp;Preprocessing!$T$9:$T$15&amp;"*")),"Female","Male")</f>
        <v>Female</v>
      </c>
      <c r="G430">
        <v>33</v>
      </c>
      <c r="H430">
        <v>1</v>
      </c>
      <c r="I430">
        <v>0</v>
      </c>
      <c r="J430">
        <v>3</v>
      </c>
      <c r="K430">
        <v>16.100000000000001</v>
      </c>
      <c r="L430">
        <f t="shared" si="31"/>
        <v>1</v>
      </c>
      <c r="M430">
        <f t="shared" si="32"/>
        <v>33</v>
      </c>
      <c r="N430" t="str">
        <f t="shared" si="33"/>
        <v>Adult</v>
      </c>
      <c r="O430">
        <f t="shared" si="34"/>
        <v>16.100000000000001</v>
      </c>
    </row>
    <row r="431" spans="1:15" x14ac:dyDescent="0.3">
      <c r="A431">
        <v>430</v>
      </c>
      <c r="B431">
        <v>1</v>
      </c>
      <c r="C431" t="str">
        <f t="shared" si="30"/>
        <v>Yes</v>
      </c>
      <c r="D431" t="s">
        <v>958</v>
      </c>
      <c r="E431" t="s">
        <v>1393</v>
      </c>
      <c r="F431" t="str" cm="1">
        <f t="array" ref="F431">IF(OR(COUNTIF(D431,"*"&amp;Preprocessing!$T$9:$T$15&amp;"*")),"Female","Male")</f>
        <v>Female</v>
      </c>
      <c r="G431">
        <v>42</v>
      </c>
      <c r="H431">
        <v>1</v>
      </c>
      <c r="I431">
        <v>0</v>
      </c>
      <c r="J431">
        <v>2</v>
      </c>
      <c r="K431">
        <v>26</v>
      </c>
      <c r="L431">
        <f t="shared" si="31"/>
        <v>1</v>
      </c>
      <c r="M431">
        <f t="shared" si="32"/>
        <v>42</v>
      </c>
      <c r="N431" t="str">
        <f t="shared" si="33"/>
        <v>Adult</v>
      </c>
      <c r="O431">
        <f t="shared" si="34"/>
        <v>26</v>
      </c>
    </row>
    <row r="432" spans="1:15" x14ac:dyDescent="0.3">
      <c r="A432">
        <v>431</v>
      </c>
      <c r="B432">
        <v>0</v>
      </c>
      <c r="C432" t="str">
        <f t="shared" si="30"/>
        <v>No</v>
      </c>
      <c r="D432" t="s">
        <v>956</v>
      </c>
      <c r="E432" t="s">
        <v>1394</v>
      </c>
      <c r="F432" t="str" cm="1">
        <f t="array" ref="F432">IF(OR(COUNTIF(D432,"*"&amp;Preprocessing!$T$9:$T$15&amp;"*")),"Female","Male")</f>
        <v>Male</v>
      </c>
      <c r="G432">
        <v>17</v>
      </c>
      <c r="H432">
        <v>0</v>
      </c>
      <c r="I432">
        <v>0</v>
      </c>
      <c r="J432">
        <v>3</v>
      </c>
      <c r="K432">
        <v>7.125</v>
      </c>
      <c r="L432">
        <f t="shared" si="31"/>
        <v>0</v>
      </c>
      <c r="M432">
        <f t="shared" si="32"/>
        <v>17</v>
      </c>
      <c r="N432" t="str">
        <f t="shared" si="33"/>
        <v>Adult</v>
      </c>
      <c r="O432">
        <f t="shared" si="34"/>
        <v>7.13</v>
      </c>
    </row>
    <row r="433" spans="1:15" x14ac:dyDescent="0.3">
      <c r="A433">
        <v>432</v>
      </c>
      <c r="B433">
        <v>0</v>
      </c>
      <c r="C433" t="str">
        <f t="shared" si="30"/>
        <v>No</v>
      </c>
      <c r="D433" t="s">
        <v>956</v>
      </c>
      <c r="E433" t="s">
        <v>1395</v>
      </c>
      <c r="F433" t="str" cm="1">
        <f t="array" ref="F433">IF(OR(COUNTIF(D433,"*"&amp;Preprocessing!$T$9:$T$15&amp;"*")),"Female","Male")</f>
        <v>Male</v>
      </c>
      <c r="G433">
        <v>50</v>
      </c>
      <c r="H433">
        <v>1</v>
      </c>
      <c r="I433">
        <v>0</v>
      </c>
      <c r="J433">
        <v>1</v>
      </c>
      <c r="K433">
        <v>55.9</v>
      </c>
      <c r="L433">
        <f t="shared" si="31"/>
        <v>0</v>
      </c>
      <c r="M433">
        <f t="shared" si="32"/>
        <v>50</v>
      </c>
      <c r="N433" t="str">
        <f t="shared" si="33"/>
        <v>Adult</v>
      </c>
      <c r="O433">
        <f t="shared" si="34"/>
        <v>55.9</v>
      </c>
    </row>
    <row r="434" spans="1:15" x14ac:dyDescent="0.3">
      <c r="A434">
        <v>433</v>
      </c>
      <c r="B434">
        <v>1</v>
      </c>
      <c r="C434" t="str">
        <f t="shared" si="30"/>
        <v>Yes</v>
      </c>
      <c r="D434" t="s">
        <v>960</v>
      </c>
      <c r="E434" t="s">
        <v>1396</v>
      </c>
      <c r="F434" t="str" cm="1">
        <f t="array" ref="F434">IF(OR(COUNTIF(D434,"*"&amp;Preprocessing!$T$9:$T$15&amp;"*")),"Female","Male")</f>
        <v>Female</v>
      </c>
      <c r="G434">
        <v>14</v>
      </c>
      <c r="H434">
        <v>1</v>
      </c>
      <c r="I434">
        <v>2</v>
      </c>
      <c r="J434">
        <v>1</v>
      </c>
      <c r="K434">
        <v>120</v>
      </c>
      <c r="L434">
        <f t="shared" si="31"/>
        <v>1</v>
      </c>
      <c r="M434">
        <f t="shared" si="32"/>
        <v>14</v>
      </c>
      <c r="N434" t="str">
        <f t="shared" si="33"/>
        <v>Child</v>
      </c>
      <c r="O434">
        <f t="shared" si="34"/>
        <v>120</v>
      </c>
    </row>
    <row r="435" spans="1:15" x14ac:dyDescent="0.3">
      <c r="A435">
        <v>434</v>
      </c>
      <c r="B435">
        <v>0</v>
      </c>
      <c r="C435" t="str">
        <f t="shared" si="30"/>
        <v>No</v>
      </c>
      <c r="D435" t="s">
        <v>960</v>
      </c>
      <c r="E435" t="s">
        <v>1397</v>
      </c>
      <c r="F435" t="str" cm="1">
        <f t="array" ref="F435">IF(OR(COUNTIF(D435,"*"&amp;Preprocessing!$T$9:$T$15&amp;"*")),"Female","Male")</f>
        <v>Female</v>
      </c>
      <c r="G435">
        <v>21</v>
      </c>
      <c r="H435">
        <v>2</v>
      </c>
      <c r="I435">
        <v>2</v>
      </c>
      <c r="J435">
        <v>3</v>
      </c>
      <c r="K435">
        <v>34.375</v>
      </c>
      <c r="L435">
        <f t="shared" si="31"/>
        <v>1</v>
      </c>
      <c r="M435">
        <f t="shared" si="32"/>
        <v>21</v>
      </c>
      <c r="N435" t="str">
        <f t="shared" si="33"/>
        <v>Adult</v>
      </c>
      <c r="O435">
        <f t="shared" si="34"/>
        <v>34.380000000000003</v>
      </c>
    </row>
    <row r="436" spans="1:15" x14ac:dyDescent="0.3">
      <c r="A436">
        <v>435</v>
      </c>
      <c r="B436">
        <v>1</v>
      </c>
      <c r="C436" t="str">
        <f t="shared" si="30"/>
        <v>Yes</v>
      </c>
      <c r="D436" t="s">
        <v>958</v>
      </c>
      <c r="E436" t="s">
        <v>1398</v>
      </c>
      <c r="F436" t="str" cm="1">
        <f t="array" ref="F436">IF(OR(COUNTIF(D436,"*"&amp;Preprocessing!$T$9:$T$15&amp;"*")),"Female","Male")</f>
        <v>Female</v>
      </c>
      <c r="G436">
        <v>24</v>
      </c>
      <c r="H436">
        <v>2</v>
      </c>
      <c r="I436">
        <v>3</v>
      </c>
      <c r="J436">
        <v>2</v>
      </c>
      <c r="K436">
        <v>18.75</v>
      </c>
      <c r="L436">
        <f t="shared" si="31"/>
        <v>1</v>
      </c>
      <c r="M436">
        <f t="shared" si="32"/>
        <v>24</v>
      </c>
      <c r="N436" t="str">
        <f t="shared" si="33"/>
        <v>Adult</v>
      </c>
      <c r="O436">
        <f t="shared" si="34"/>
        <v>18.75</v>
      </c>
    </row>
    <row r="437" spans="1:15" x14ac:dyDescent="0.3">
      <c r="A437">
        <v>436</v>
      </c>
      <c r="B437">
        <v>0</v>
      </c>
      <c r="C437" t="str">
        <f t="shared" si="30"/>
        <v>No</v>
      </c>
      <c r="D437" t="s">
        <v>956</v>
      </c>
      <c r="E437" t="s">
        <v>1399</v>
      </c>
      <c r="F437" t="str" cm="1">
        <f t="array" ref="F437">IF(OR(COUNTIF(D437,"*"&amp;Preprocessing!$T$9:$T$15&amp;"*")),"Female","Male")</f>
        <v>Male</v>
      </c>
      <c r="G437">
        <v>64</v>
      </c>
      <c r="H437">
        <v>1</v>
      </c>
      <c r="I437">
        <v>4</v>
      </c>
      <c r="J437">
        <v>1</v>
      </c>
      <c r="K437">
        <v>263</v>
      </c>
      <c r="L437">
        <f t="shared" si="31"/>
        <v>0</v>
      </c>
      <c r="M437">
        <f t="shared" si="32"/>
        <v>64</v>
      </c>
      <c r="N437" t="str">
        <f t="shared" si="33"/>
        <v>Adult</v>
      </c>
      <c r="O437">
        <f t="shared" si="34"/>
        <v>263</v>
      </c>
    </row>
    <row r="438" spans="1:15" x14ac:dyDescent="0.3">
      <c r="A438">
        <v>437</v>
      </c>
      <c r="B438">
        <v>0</v>
      </c>
      <c r="C438" t="str">
        <f t="shared" si="30"/>
        <v>No</v>
      </c>
      <c r="D438" t="s">
        <v>956</v>
      </c>
      <c r="E438" t="s">
        <v>1400</v>
      </c>
      <c r="F438" t="str" cm="1">
        <f t="array" ref="F438">IF(OR(COUNTIF(D438,"*"&amp;Preprocessing!$T$9:$T$15&amp;"*")),"Female","Male")</f>
        <v>Male</v>
      </c>
      <c r="G438">
        <v>31</v>
      </c>
      <c r="H438">
        <v>0</v>
      </c>
      <c r="I438">
        <v>0</v>
      </c>
      <c r="J438">
        <v>2</v>
      </c>
      <c r="K438">
        <v>10.5</v>
      </c>
      <c r="L438">
        <f t="shared" si="31"/>
        <v>0</v>
      </c>
      <c r="M438">
        <f t="shared" si="32"/>
        <v>31</v>
      </c>
      <c r="N438" t="str">
        <f t="shared" si="33"/>
        <v>Adult</v>
      </c>
      <c r="O438">
        <f t="shared" si="34"/>
        <v>10.5</v>
      </c>
    </row>
    <row r="439" spans="1:15" x14ac:dyDescent="0.3">
      <c r="A439">
        <v>438</v>
      </c>
      <c r="B439">
        <v>1</v>
      </c>
      <c r="C439" t="str">
        <f t="shared" si="30"/>
        <v>Yes</v>
      </c>
      <c r="D439" t="s">
        <v>958</v>
      </c>
      <c r="E439" t="s">
        <v>1401</v>
      </c>
      <c r="F439" t="str" cm="1">
        <f t="array" ref="F439">IF(OR(COUNTIF(D439,"*"&amp;Preprocessing!$T$9:$T$15&amp;"*")),"Female","Male")</f>
        <v>Female</v>
      </c>
      <c r="G439">
        <v>45</v>
      </c>
      <c r="H439">
        <v>1</v>
      </c>
      <c r="I439">
        <v>1</v>
      </c>
      <c r="J439">
        <v>2</v>
      </c>
      <c r="K439">
        <v>26.25</v>
      </c>
      <c r="L439">
        <f t="shared" si="31"/>
        <v>1</v>
      </c>
      <c r="M439">
        <f t="shared" si="32"/>
        <v>45</v>
      </c>
      <c r="N439" t="str">
        <f t="shared" si="33"/>
        <v>Adult</v>
      </c>
      <c r="O439">
        <f t="shared" si="34"/>
        <v>26.25</v>
      </c>
    </row>
    <row r="440" spans="1:15" x14ac:dyDescent="0.3">
      <c r="A440">
        <v>439</v>
      </c>
      <c r="B440">
        <v>0</v>
      </c>
      <c r="C440" t="str">
        <f t="shared" si="30"/>
        <v>No</v>
      </c>
      <c r="D440" t="s">
        <v>956</v>
      </c>
      <c r="E440" t="s">
        <v>1402</v>
      </c>
      <c r="F440" t="str" cm="1">
        <f t="array" ref="F440">IF(OR(COUNTIF(D440,"*"&amp;Preprocessing!$T$9:$T$15&amp;"*")),"Female","Male")</f>
        <v>Male</v>
      </c>
      <c r="G440">
        <v>20</v>
      </c>
      <c r="H440">
        <v>0</v>
      </c>
      <c r="I440">
        <v>0</v>
      </c>
      <c r="J440">
        <v>3</v>
      </c>
      <c r="K440">
        <v>9.5</v>
      </c>
      <c r="L440">
        <f t="shared" si="31"/>
        <v>0</v>
      </c>
      <c r="M440">
        <f t="shared" si="32"/>
        <v>20</v>
      </c>
      <c r="N440" t="str">
        <f t="shared" si="33"/>
        <v>Adult</v>
      </c>
      <c r="O440">
        <f t="shared" si="34"/>
        <v>9.5</v>
      </c>
    </row>
    <row r="441" spans="1:15" x14ac:dyDescent="0.3">
      <c r="A441">
        <v>440</v>
      </c>
      <c r="B441">
        <v>0</v>
      </c>
      <c r="C441" t="str">
        <f t="shared" si="30"/>
        <v>No</v>
      </c>
      <c r="D441" t="s">
        <v>956</v>
      </c>
      <c r="E441" t="s">
        <v>1403</v>
      </c>
      <c r="F441" t="str" cm="1">
        <f t="array" ref="F441">IF(OR(COUNTIF(D441,"*"&amp;Preprocessing!$T$9:$T$15&amp;"*")),"Female","Male")</f>
        <v>Male</v>
      </c>
      <c r="G441">
        <v>25</v>
      </c>
      <c r="H441">
        <v>1</v>
      </c>
      <c r="I441">
        <v>0</v>
      </c>
      <c r="J441">
        <v>3</v>
      </c>
      <c r="K441">
        <v>7.7750000000000004</v>
      </c>
      <c r="L441">
        <f t="shared" si="31"/>
        <v>0</v>
      </c>
      <c r="M441">
        <f t="shared" si="32"/>
        <v>25</v>
      </c>
      <c r="N441" t="str">
        <f t="shared" si="33"/>
        <v>Adult</v>
      </c>
      <c r="O441">
        <f t="shared" si="34"/>
        <v>7.78</v>
      </c>
    </row>
    <row r="442" spans="1:15" x14ac:dyDescent="0.3">
      <c r="A442">
        <v>441</v>
      </c>
      <c r="B442">
        <v>1</v>
      </c>
      <c r="C442" t="str">
        <f t="shared" si="30"/>
        <v>Yes</v>
      </c>
      <c r="D442" t="s">
        <v>1404</v>
      </c>
      <c r="E442" t="s">
        <v>1405</v>
      </c>
      <c r="F442" t="str" cm="1">
        <f t="array" ref="F442">IF(OR(COUNTIF(D442,"*"&amp;Preprocessing!$T$9:$T$15&amp;"*")),"Female","Male")</f>
        <v>Female</v>
      </c>
      <c r="G442">
        <v>28</v>
      </c>
      <c r="H442">
        <v>0</v>
      </c>
      <c r="I442">
        <v>0</v>
      </c>
      <c r="J442">
        <v>2</v>
      </c>
      <c r="K442">
        <v>13</v>
      </c>
      <c r="L442">
        <f t="shared" si="31"/>
        <v>1</v>
      </c>
      <c r="M442">
        <f t="shared" si="32"/>
        <v>28</v>
      </c>
      <c r="N442" t="str">
        <f t="shared" si="33"/>
        <v>Adult</v>
      </c>
      <c r="O442">
        <f t="shared" si="34"/>
        <v>13</v>
      </c>
    </row>
    <row r="443" spans="1:15" x14ac:dyDescent="0.3">
      <c r="A443">
        <v>442</v>
      </c>
      <c r="B443">
        <v>1</v>
      </c>
      <c r="C443" t="str">
        <f t="shared" si="30"/>
        <v>Yes</v>
      </c>
      <c r="D443" t="s">
        <v>956</v>
      </c>
      <c r="E443" t="s">
        <v>1406</v>
      </c>
      <c r="F443" t="str" cm="1">
        <f t="array" ref="F443">IF(OR(COUNTIF(D443,"*"&amp;Preprocessing!$T$9:$T$15&amp;"*")),"Female","Male")</f>
        <v>Male</v>
      </c>
      <c r="G443">
        <v>29</v>
      </c>
      <c r="H443">
        <v>0</v>
      </c>
      <c r="I443">
        <v>0</v>
      </c>
      <c r="J443">
        <v>3</v>
      </c>
      <c r="K443">
        <v>8.1125000000000007</v>
      </c>
      <c r="L443">
        <f t="shared" si="31"/>
        <v>0</v>
      </c>
      <c r="M443">
        <f t="shared" si="32"/>
        <v>29</v>
      </c>
      <c r="N443" t="str">
        <f t="shared" si="33"/>
        <v>Adult</v>
      </c>
      <c r="O443">
        <f t="shared" si="34"/>
        <v>8.11</v>
      </c>
    </row>
    <row r="444" spans="1:15" x14ac:dyDescent="0.3">
      <c r="A444">
        <v>443</v>
      </c>
      <c r="B444">
        <v>1</v>
      </c>
      <c r="C444" t="str">
        <f t="shared" si="30"/>
        <v>Yes</v>
      </c>
      <c r="D444" t="s">
        <v>966</v>
      </c>
      <c r="E444" t="s">
        <v>1407</v>
      </c>
      <c r="F444" t="str" cm="1">
        <f t="array" ref="F444">IF(OR(COUNTIF(D444,"*"&amp;Preprocessing!$T$9:$T$15&amp;"*")),"Female","Male")</f>
        <v>Male</v>
      </c>
      <c r="G444">
        <v>4</v>
      </c>
      <c r="H444">
        <v>0</v>
      </c>
      <c r="I444">
        <v>2</v>
      </c>
      <c r="J444">
        <v>1</v>
      </c>
      <c r="K444">
        <v>81.8583</v>
      </c>
      <c r="L444">
        <f t="shared" si="31"/>
        <v>0</v>
      </c>
      <c r="M444">
        <f t="shared" si="32"/>
        <v>4</v>
      </c>
      <c r="N444" t="str">
        <f t="shared" si="33"/>
        <v>Child</v>
      </c>
      <c r="O444">
        <f t="shared" si="34"/>
        <v>81.86</v>
      </c>
    </row>
    <row r="445" spans="1:15" x14ac:dyDescent="0.3">
      <c r="A445">
        <v>444</v>
      </c>
      <c r="B445">
        <v>1</v>
      </c>
      <c r="C445" t="str">
        <f t="shared" si="30"/>
        <v>Yes</v>
      </c>
      <c r="D445" t="s">
        <v>960</v>
      </c>
      <c r="E445" t="s">
        <v>1408</v>
      </c>
      <c r="F445" t="str" cm="1">
        <f t="array" ref="F445">IF(OR(COUNTIF(D445,"*"&amp;Preprocessing!$T$9:$T$15&amp;"*")),"Female","Male")</f>
        <v>Female</v>
      </c>
      <c r="G445">
        <v>13</v>
      </c>
      <c r="H445">
        <v>0</v>
      </c>
      <c r="I445">
        <v>1</v>
      </c>
      <c r="J445">
        <v>2</v>
      </c>
      <c r="K445">
        <v>19.5</v>
      </c>
      <c r="L445">
        <f t="shared" si="31"/>
        <v>1</v>
      </c>
      <c r="M445">
        <f t="shared" si="32"/>
        <v>13</v>
      </c>
      <c r="N445" t="str">
        <f t="shared" si="33"/>
        <v>Child</v>
      </c>
      <c r="O445">
        <f t="shared" si="34"/>
        <v>19.5</v>
      </c>
    </row>
    <row r="446" spans="1:15" x14ac:dyDescent="0.3">
      <c r="A446">
        <v>445</v>
      </c>
      <c r="B446">
        <v>1</v>
      </c>
      <c r="C446" t="str">
        <f t="shared" si="30"/>
        <v>Yes</v>
      </c>
      <c r="D446" t="s">
        <v>956</v>
      </c>
      <c r="E446" t="s">
        <v>1409</v>
      </c>
      <c r="F446" t="str" cm="1">
        <f t="array" ref="F446">IF(OR(COUNTIF(D446,"*"&amp;Preprocessing!$T$9:$T$15&amp;"*")),"Female","Male")</f>
        <v>Male</v>
      </c>
      <c r="G446">
        <v>34</v>
      </c>
      <c r="H446">
        <v>0</v>
      </c>
      <c r="I446">
        <v>0</v>
      </c>
      <c r="J446">
        <v>1</v>
      </c>
      <c r="K446">
        <v>26.55</v>
      </c>
      <c r="L446">
        <f t="shared" si="31"/>
        <v>0</v>
      </c>
      <c r="M446">
        <f t="shared" si="32"/>
        <v>34</v>
      </c>
      <c r="N446" t="str">
        <f t="shared" si="33"/>
        <v>Adult</v>
      </c>
      <c r="O446">
        <f t="shared" si="34"/>
        <v>26.55</v>
      </c>
    </row>
    <row r="447" spans="1:15" x14ac:dyDescent="0.3">
      <c r="A447">
        <v>446</v>
      </c>
      <c r="B447">
        <v>1</v>
      </c>
      <c r="C447" t="str">
        <f t="shared" si="30"/>
        <v>Yes</v>
      </c>
      <c r="D447" t="s">
        <v>960</v>
      </c>
      <c r="E447" t="s">
        <v>1410</v>
      </c>
      <c r="F447" t="str" cm="1">
        <f t="array" ref="F447">IF(OR(COUNTIF(D447,"*"&amp;Preprocessing!$T$9:$T$15&amp;"*")),"Female","Male")</f>
        <v>Female</v>
      </c>
      <c r="G447">
        <v>5</v>
      </c>
      <c r="H447">
        <v>2</v>
      </c>
      <c r="I447">
        <v>1</v>
      </c>
      <c r="J447">
        <v>3</v>
      </c>
      <c r="K447">
        <v>19.258299999999998</v>
      </c>
      <c r="L447">
        <f t="shared" si="31"/>
        <v>1</v>
      </c>
      <c r="M447">
        <f t="shared" si="32"/>
        <v>5</v>
      </c>
      <c r="N447" t="str">
        <f t="shared" si="33"/>
        <v>Child</v>
      </c>
      <c r="O447">
        <f t="shared" si="34"/>
        <v>19.260000000000002</v>
      </c>
    </row>
    <row r="448" spans="1:15" x14ac:dyDescent="0.3">
      <c r="A448">
        <v>447</v>
      </c>
      <c r="B448">
        <v>1</v>
      </c>
      <c r="C448" t="str">
        <f t="shared" si="30"/>
        <v>Yes</v>
      </c>
      <c r="D448" t="s">
        <v>1411</v>
      </c>
      <c r="E448" t="s">
        <v>1412</v>
      </c>
      <c r="F448" t="str" cm="1">
        <f t="array" ref="F448">IF(OR(COUNTIF(D448,"*"&amp;Preprocessing!$T$9:$T$15&amp;"*")),"Female","Male")</f>
        <v>Male</v>
      </c>
      <c r="G448">
        <v>52</v>
      </c>
      <c r="H448">
        <v>0</v>
      </c>
      <c r="I448">
        <v>0</v>
      </c>
      <c r="J448">
        <v>1</v>
      </c>
      <c r="K448">
        <v>30.5</v>
      </c>
      <c r="L448">
        <f t="shared" si="31"/>
        <v>0</v>
      </c>
      <c r="M448">
        <f t="shared" si="32"/>
        <v>52</v>
      </c>
      <c r="N448" t="str">
        <f t="shared" si="33"/>
        <v>Adult</v>
      </c>
      <c r="O448">
        <f t="shared" si="34"/>
        <v>30.5</v>
      </c>
    </row>
    <row r="449" spans="1:15" x14ac:dyDescent="0.3">
      <c r="A449">
        <v>448</v>
      </c>
      <c r="B449">
        <v>0</v>
      </c>
      <c r="C449" t="str">
        <f t="shared" si="30"/>
        <v>No</v>
      </c>
      <c r="D449" t="s">
        <v>956</v>
      </c>
      <c r="E449" t="s">
        <v>1413</v>
      </c>
      <c r="F449" t="str" cm="1">
        <f t="array" ref="F449">IF(OR(COUNTIF(D449,"*"&amp;Preprocessing!$T$9:$T$15&amp;"*")),"Female","Male")</f>
        <v>Male</v>
      </c>
      <c r="G449">
        <v>36</v>
      </c>
      <c r="H449">
        <v>1</v>
      </c>
      <c r="I449">
        <v>2</v>
      </c>
      <c r="J449">
        <v>2</v>
      </c>
      <c r="K449">
        <v>27.75</v>
      </c>
      <c r="L449">
        <f t="shared" si="31"/>
        <v>0</v>
      </c>
      <c r="M449">
        <f t="shared" si="32"/>
        <v>36</v>
      </c>
      <c r="N449" t="str">
        <f t="shared" si="33"/>
        <v>Adult</v>
      </c>
      <c r="O449">
        <f t="shared" si="34"/>
        <v>27.75</v>
      </c>
    </row>
    <row r="450" spans="1:15" x14ac:dyDescent="0.3">
      <c r="A450">
        <v>449</v>
      </c>
      <c r="B450">
        <v>0</v>
      </c>
      <c r="C450" t="str">
        <f t="shared" si="30"/>
        <v>No</v>
      </c>
      <c r="D450" t="s">
        <v>956</v>
      </c>
      <c r="E450" t="s">
        <v>1414</v>
      </c>
      <c r="F450" t="str" cm="1">
        <f t="array" ref="F450">IF(OR(COUNTIF(D450,"*"&amp;Preprocessing!$T$9:$T$15&amp;"*")),"Female","Male")</f>
        <v>Male</v>
      </c>
      <c r="G450">
        <v>28</v>
      </c>
      <c r="H450">
        <v>1</v>
      </c>
      <c r="I450">
        <v>0</v>
      </c>
      <c r="J450">
        <v>3</v>
      </c>
      <c r="K450">
        <v>19.966699999999999</v>
      </c>
      <c r="L450">
        <f t="shared" si="31"/>
        <v>0</v>
      </c>
      <c r="M450">
        <f t="shared" si="32"/>
        <v>28</v>
      </c>
      <c r="N450" t="str">
        <f t="shared" si="33"/>
        <v>Adult</v>
      </c>
      <c r="O450">
        <f t="shared" si="34"/>
        <v>19.97</v>
      </c>
    </row>
    <row r="451" spans="1:15" x14ac:dyDescent="0.3">
      <c r="A451">
        <v>450</v>
      </c>
      <c r="B451">
        <v>0</v>
      </c>
      <c r="C451" t="str">
        <f t="shared" ref="C451:C514" si="35">IF(B451=0,"No","Yes")</f>
        <v>No</v>
      </c>
      <c r="D451" t="s">
        <v>956</v>
      </c>
      <c r="E451" t="s">
        <v>1415</v>
      </c>
      <c r="F451" t="str" cm="1">
        <f t="array" ref="F451">IF(OR(COUNTIF(D451,"*"&amp;Preprocessing!$T$9:$T$15&amp;"*")),"Female","Male")</f>
        <v>Male</v>
      </c>
      <c r="G451">
        <v>30</v>
      </c>
      <c r="H451">
        <v>0</v>
      </c>
      <c r="I451">
        <v>0</v>
      </c>
      <c r="J451">
        <v>1</v>
      </c>
      <c r="K451">
        <v>27.75</v>
      </c>
      <c r="L451">
        <f t="shared" ref="L451:L514" si="36">IF(F451 = "Male", 0, 1)</f>
        <v>0</v>
      </c>
      <c r="M451">
        <f t="shared" ref="M451:M514" si="37">ROUND(G451, 0)</f>
        <v>30</v>
      </c>
      <c r="N451" t="str">
        <f t="shared" ref="N451:N514" si="38">IF(G451&lt;=16,"Child","Adult")</f>
        <v>Adult</v>
      </c>
      <c r="O451">
        <f t="shared" ref="O451:O514" si="39">ROUND(K451, 2)</f>
        <v>27.75</v>
      </c>
    </row>
    <row r="452" spans="1:15" x14ac:dyDescent="0.3">
      <c r="A452">
        <v>451</v>
      </c>
      <c r="B452">
        <v>1</v>
      </c>
      <c r="C452" t="str">
        <f t="shared" si="35"/>
        <v>Yes</v>
      </c>
      <c r="D452" t="s">
        <v>956</v>
      </c>
      <c r="E452" t="s">
        <v>1416</v>
      </c>
      <c r="F452" t="str" cm="1">
        <f t="array" ref="F452">IF(OR(COUNTIF(D452,"*"&amp;Preprocessing!$T$9:$T$15&amp;"*")),"Female","Male")</f>
        <v>Male</v>
      </c>
      <c r="G452">
        <v>49</v>
      </c>
      <c r="H452">
        <v>1</v>
      </c>
      <c r="I452">
        <v>0</v>
      </c>
      <c r="J452">
        <v>1</v>
      </c>
      <c r="K452">
        <v>89.104200000000006</v>
      </c>
      <c r="L452">
        <f t="shared" si="36"/>
        <v>0</v>
      </c>
      <c r="M452">
        <f t="shared" si="37"/>
        <v>49</v>
      </c>
      <c r="N452" t="str">
        <f t="shared" si="38"/>
        <v>Adult</v>
      </c>
      <c r="O452">
        <f t="shared" si="39"/>
        <v>89.1</v>
      </c>
    </row>
    <row r="453" spans="1:15" x14ac:dyDescent="0.3">
      <c r="A453">
        <v>452</v>
      </c>
      <c r="B453">
        <v>0</v>
      </c>
      <c r="C453" t="str">
        <f t="shared" si="35"/>
        <v>No</v>
      </c>
      <c r="D453" t="s">
        <v>956</v>
      </c>
      <c r="E453" t="s">
        <v>1417</v>
      </c>
      <c r="F453" t="str" cm="1">
        <f t="array" ref="F453">IF(OR(COUNTIF(D453,"*"&amp;Preprocessing!$T$9:$T$15&amp;"*")),"Female","Male")</f>
        <v>Male</v>
      </c>
      <c r="G453">
        <v>24</v>
      </c>
      <c r="H453">
        <v>0</v>
      </c>
      <c r="I453">
        <v>0</v>
      </c>
      <c r="J453">
        <v>3</v>
      </c>
      <c r="K453">
        <v>8.0500000000000007</v>
      </c>
      <c r="L453">
        <f t="shared" si="36"/>
        <v>0</v>
      </c>
      <c r="M453">
        <f t="shared" si="37"/>
        <v>24</v>
      </c>
      <c r="N453" t="str">
        <f t="shared" si="38"/>
        <v>Adult</v>
      </c>
      <c r="O453">
        <f t="shared" si="39"/>
        <v>8.0500000000000007</v>
      </c>
    </row>
    <row r="454" spans="1:15" x14ac:dyDescent="0.3">
      <c r="A454">
        <v>453</v>
      </c>
      <c r="B454">
        <v>1</v>
      </c>
      <c r="C454" t="str">
        <f t="shared" si="35"/>
        <v>Yes</v>
      </c>
      <c r="D454" t="s">
        <v>956</v>
      </c>
      <c r="E454" t="s">
        <v>1418</v>
      </c>
      <c r="F454" t="str" cm="1">
        <f t="array" ref="F454">IF(OR(COUNTIF(D454,"*"&amp;Preprocessing!$T$9:$T$15&amp;"*")),"Female","Male")</f>
        <v>Male</v>
      </c>
      <c r="G454">
        <v>29</v>
      </c>
      <c r="H454">
        <v>0</v>
      </c>
      <c r="I454">
        <v>0</v>
      </c>
      <c r="J454">
        <v>3</v>
      </c>
      <c r="K454">
        <v>7.8958000000000004</v>
      </c>
      <c r="L454">
        <f t="shared" si="36"/>
        <v>0</v>
      </c>
      <c r="M454">
        <f t="shared" si="37"/>
        <v>29</v>
      </c>
      <c r="N454" t="str">
        <f t="shared" si="38"/>
        <v>Adult</v>
      </c>
      <c r="O454">
        <f t="shared" si="39"/>
        <v>7.9</v>
      </c>
    </row>
    <row r="455" spans="1:15" x14ac:dyDescent="0.3">
      <c r="A455">
        <v>454</v>
      </c>
      <c r="B455">
        <v>0</v>
      </c>
      <c r="C455" t="str">
        <f t="shared" si="35"/>
        <v>No</v>
      </c>
      <c r="D455" t="s">
        <v>956</v>
      </c>
      <c r="E455" t="s">
        <v>1419</v>
      </c>
      <c r="F455" t="str" cm="1">
        <f t="array" ref="F455">IF(OR(COUNTIF(D455,"*"&amp;Preprocessing!$T$9:$T$15&amp;"*")),"Female","Male")</f>
        <v>Male</v>
      </c>
      <c r="G455">
        <v>65</v>
      </c>
      <c r="H455">
        <v>0</v>
      </c>
      <c r="I455">
        <v>0</v>
      </c>
      <c r="J455">
        <v>1</v>
      </c>
      <c r="K455">
        <v>26.55</v>
      </c>
      <c r="L455">
        <f t="shared" si="36"/>
        <v>0</v>
      </c>
      <c r="M455">
        <f t="shared" si="37"/>
        <v>65</v>
      </c>
      <c r="N455" t="str">
        <f t="shared" si="38"/>
        <v>Adult</v>
      </c>
      <c r="O455">
        <f t="shared" si="39"/>
        <v>26.55</v>
      </c>
    </row>
    <row r="456" spans="1:15" x14ac:dyDescent="0.3">
      <c r="A456">
        <v>455</v>
      </c>
      <c r="B456">
        <v>1</v>
      </c>
      <c r="C456" t="str">
        <f t="shared" si="35"/>
        <v>Yes</v>
      </c>
      <c r="D456" t="s">
        <v>958</v>
      </c>
      <c r="E456" t="s">
        <v>1420</v>
      </c>
      <c r="F456" t="str" cm="1">
        <f t="array" ref="F456">IF(OR(COUNTIF(D456,"*"&amp;Preprocessing!$T$9:$T$15&amp;"*")),"Female","Male")</f>
        <v>Female</v>
      </c>
      <c r="G456">
        <v>41</v>
      </c>
      <c r="H456">
        <v>1</v>
      </c>
      <c r="I456">
        <v>0</v>
      </c>
      <c r="J456">
        <v>1</v>
      </c>
      <c r="K456">
        <v>51.862499999999997</v>
      </c>
      <c r="L456">
        <f t="shared" si="36"/>
        <v>1</v>
      </c>
      <c r="M456">
        <f t="shared" si="37"/>
        <v>41</v>
      </c>
      <c r="N456" t="str">
        <f t="shared" si="38"/>
        <v>Adult</v>
      </c>
      <c r="O456">
        <f t="shared" si="39"/>
        <v>51.86</v>
      </c>
    </row>
    <row r="457" spans="1:15" x14ac:dyDescent="0.3">
      <c r="A457">
        <v>456</v>
      </c>
      <c r="B457">
        <v>1</v>
      </c>
      <c r="C457" t="str">
        <f t="shared" si="35"/>
        <v>Yes</v>
      </c>
      <c r="D457" t="s">
        <v>960</v>
      </c>
      <c r="E457" t="s">
        <v>1421</v>
      </c>
      <c r="F457" t="str" cm="1">
        <f t="array" ref="F457">IF(OR(COUNTIF(D457,"*"&amp;Preprocessing!$T$9:$T$15&amp;"*")),"Female","Male")</f>
        <v>Female</v>
      </c>
      <c r="G457">
        <v>50</v>
      </c>
      <c r="H457">
        <v>0</v>
      </c>
      <c r="I457">
        <v>0</v>
      </c>
      <c r="J457">
        <v>2</v>
      </c>
      <c r="K457">
        <v>10.5</v>
      </c>
      <c r="L457">
        <f t="shared" si="36"/>
        <v>1</v>
      </c>
      <c r="M457">
        <f t="shared" si="37"/>
        <v>50</v>
      </c>
      <c r="N457" t="str">
        <f t="shared" si="38"/>
        <v>Adult</v>
      </c>
      <c r="O457">
        <f t="shared" si="39"/>
        <v>10.5</v>
      </c>
    </row>
    <row r="458" spans="1:15" x14ac:dyDescent="0.3">
      <c r="A458">
        <v>457</v>
      </c>
      <c r="B458">
        <v>0</v>
      </c>
      <c r="C458" t="str">
        <f t="shared" si="35"/>
        <v>No</v>
      </c>
      <c r="D458" t="s">
        <v>956</v>
      </c>
      <c r="E458" t="s">
        <v>1422</v>
      </c>
      <c r="F458" t="str" cm="1">
        <f t="array" ref="F458">IF(OR(COUNTIF(D458,"*"&amp;Preprocessing!$T$9:$T$15&amp;"*")),"Female","Male")</f>
        <v>Male</v>
      </c>
      <c r="G458">
        <v>17</v>
      </c>
      <c r="H458">
        <v>0</v>
      </c>
      <c r="I458">
        <v>0</v>
      </c>
      <c r="J458">
        <v>3</v>
      </c>
      <c r="K458">
        <v>7.75</v>
      </c>
      <c r="L458">
        <f t="shared" si="36"/>
        <v>0</v>
      </c>
      <c r="M458">
        <f t="shared" si="37"/>
        <v>17</v>
      </c>
      <c r="N458" t="str">
        <f t="shared" si="38"/>
        <v>Adult</v>
      </c>
      <c r="O458">
        <f t="shared" si="39"/>
        <v>7.75</v>
      </c>
    </row>
    <row r="459" spans="1:15" x14ac:dyDescent="0.3">
      <c r="A459">
        <v>458</v>
      </c>
      <c r="B459">
        <v>1</v>
      </c>
      <c r="C459" t="str">
        <f t="shared" si="35"/>
        <v>Yes</v>
      </c>
      <c r="D459" t="s">
        <v>956</v>
      </c>
      <c r="E459" t="s">
        <v>1423</v>
      </c>
      <c r="F459" t="str" cm="1">
        <f t="array" ref="F459">IF(OR(COUNTIF(D459,"*"&amp;Preprocessing!$T$9:$T$15&amp;"*")),"Female","Male")</f>
        <v>Male</v>
      </c>
      <c r="G459">
        <v>48</v>
      </c>
      <c r="H459">
        <v>0</v>
      </c>
      <c r="I459">
        <v>0</v>
      </c>
      <c r="J459">
        <v>1</v>
      </c>
      <c r="K459">
        <v>26.55</v>
      </c>
      <c r="L459">
        <f t="shared" si="36"/>
        <v>0</v>
      </c>
      <c r="M459">
        <f t="shared" si="37"/>
        <v>48</v>
      </c>
      <c r="N459" t="str">
        <f t="shared" si="38"/>
        <v>Adult</v>
      </c>
      <c r="O459">
        <f t="shared" si="39"/>
        <v>26.55</v>
      </c>
    </row>
    <row r="460" spans="1:15" x14ac:dyDescent="0.3">
      <c r="A460">
        <v>459</v>
      </c>
      <c r="B460">
        <v>0</v>
      </c>
      <c r="C460" t="str">
        <f t="shared" si="35"/>
        <v>No</v>
      </c>
      <c r="D460" t="s">
        <v>956</v>
      </c>
      <c r="E460" t="s">
        <v>1424</v>
      </c>
      <c r="F460" t="str" cm="1">
        <f t="array" ref="F460">IF(OR(COUNTIF(D460,"*"&amp;Preprocessing!$T$9:$T$15&amp;"*")),"Female","Male")</f>
        <v>Male</v>
      </c>
      <c r="G460">
        <v>34</v>
      </c>
      <c r="H460">
        <v>0</v>
      </c>
      <c r="I460">
        <v>0</v>
      </c>
      <c r="J460">
        <v>3</v>
      </c>
      <c r="K460">
        <v>8.0500000000000007</v>
      </c>
      <c r="L460">
        <f t="shared" si="36"/>
        <v>0</v>
      </c>
      <c r="M460">
        <f t="shared" si="37"/>
        <v>34</v>
      </c>
      <c r="N460" t="str">
        <f t="shared" si="38"/>
        <v>Adult</v>
      </c>
      <c r="O460">
        <f t="shared" si="39"/>
        <v>8.0500000000000007</v>
      </c>
    </row>
    <row r="461" spans="1:15" x14ac:dyDescent="0.3">
      <c r="A461">
        <v>460</v>
      </c>
      <c r="B461">
        <v>0</v>
      </c>
      <c r="C461" t="str">
        <f t="shared" si="35"/>
        <v>No</v>
      </c>
      <c r="D461" t="s">
        <v>956</v>
      </c>
      <c r="E461" t="s">
        <v>1425</v>
      </c>
      <c r="F461" t="str" cm="1">
        <f t="array" ref="F461">IF(OR(COUNTIF(D461,"*"&amp;Preprocessing!$T$9:$T$15&amp;"*")),"Female","Male")</f>
        <v>Male</v>
      </c>
      <c r="G461">
        <v>47</v>
      </c>
      <c r="H461">
        <v>0</v>
      </c>
      <c r="I461">
        <v>0</v>
      </c>
      <c r="J461">
        <v>1</v>
      </c>
      <c r="K461">
        <v>38.5</v>
      </c>
      <c r="L461">
        <f t="shared" si="36"/>
        <v>0</v>
      </c>
      <c r="M461">
        <f t="shared" si="37"/>
        <v>47</v>
      </c>
      <c r="N461" t="str">
        <f t="shared" si="38"/>
        <v>Adult</v>
      </c>
      <c r="O461">
        <f t="shared" si="39"/>
        <v>38.5</v>
      </c>
    </row>
    <row r="462" spans="1:15" x14ac:dyDescent="0.3">
      <c r="A462">
        <v>461</v>
      </c>
      <c r="B462">
        <v>0</v>
      </c>
      <c r="C462" t="str">
        <f t="shared" si="35"/>
        <v>No</v>
      </c>
      <c r="D462" t="s">
        <v>956</v>
      </c>
      <c r="E462" t="s">
        <v>1426</v>
      </c>
      <c r="F462" t="str" cm="1">
        <f t="array" ref="F462">IF(OR(COUNTIF(D462,"*"&amp;Preprocessing!$T$9:$T$15&amp;"*")),"Female","Male")</f>
        <v>Male</v>
      </c>
      <c r="G462">
        <v>48</v>
      </c>
      <c r="H462">
        <v>0</v>
      </c>
      <c r="I462">
        <v>0</v>
      </c>
      <c r="J462">
        <v>2</v>
      </c>
      <c r="K462">
        <v>13</v>
      </c>
      <c r="L462">
        <f t="shared" si="36"/>
        <v>0</v>
      </c>
      <c r="M462">
        <f t="shared" si="37"/>
        <v>48</v>
      </c>
      <c r="N462" t="str">
        <f t="shared" si="38"/>
        <v>Adult</v>
      </c>
      <c r="O462">
        <f t="shared" si="39"/>
        <v>13</v>
      </c>
    </row>
    <row r="463" spans="1:15" x14ac:dyDescent="0.3">
      <c r="A463">
        <v>462</v>
      </c>
      <c r="B463">
        <v>0</v>
      </c>
      <c r="C463" t="str">
        <f t="shared" si="35"/>
        <v>No</v>
      </c>
      <c r="D463" t="s">
        <v>956</v>
      </c>
      <c r="E463" t="s">
        <v>1427</v>
      </c>
      <c r="F463" t="str" cm="1">
        <f t="array" ref="F463">IF(OR(COUNTIF(D463,"*"&amp;Preprocessing!$T$9:$T$15&amp;"*")),"Female","Male")</f>
        <v>Male</v>
      </c>
      <c r="G463">
        <v>34</v>
      </c>
      <c r="H463">
        <v>0</v>
      </c>
      <c r="I463">
        <v>0</v>
      </c>
      <c r="J463">
        <v>3</v>
      </c>
      <c r="K463">
        <v>8.0500000000000007</v>
      </c>
      <c r="L463">
        <f t="shared" si="36"/>
        <v>0</v>
      </c>
      <c r="M463">
        <f t="shared" si="37"/>
        <v>34</v>
      </c>
      <c r="N463" t="str">
        <f t="shared" si="38"/>
        <v>Adult</v>
      </c>
      <c r="O463">
        <f t="shared" si="39"/>
        <v>8.0500000000000007</v>
      </c>
    </row>
    <row r="464" spans="1:15" x14ac:dyDescent="0.3">
      <c r="A464">
        <v>463</v>
      </c>
      <c r="B464">
        <v>0</v>
      </c>
      <c r="C464" t="str">
        <f t="shared" si="35"/>
        <v>No</v>
      </c>
      <c r="D464" t="s">
        <v>956</v>
      </c>
      <c r="E464" t="s">
        <v>1428</v>
      </c>
      <c r="F464" t="str" cm="1">
        <f t="array" ref="F464">IF(OR(COUNTIF(D464,"*"&amp;Preprocessing!$T$9:$T$15&amp;"*")),"Female","Male")</f>
        <v>Male</v>
      </c>
      <c r="G464">
        <v>38</v>
      </c>
      <c r="H464">
        <v>0</v>
      </c>
      <c r="I464">
        <v>0</v>
      </c>
      <c r="J464">
        <v>3</v>
      </c>
      <c r="K464">
        <v>7.05</v>
      </c>
      <c r="L464">
        <f t="shared" si="36"/>
        <v>0</v>
      </c>
      <c r="M464">
        <f t="shared" si="37"/>
        <v>38</v>
      </c>
      <c r="N464" t="str">
        <f t="shared" si="38"/>
        <v>Adult</v>
      </c>
      <c r="O464">
        <f t="shared" si="39"/>
        <v>7.05</v>
      </c>
    </row>
    <row r="465" spans="1:15" x14ac:dyDescent="0.3">
      <c r="A465">
        <v>464</v>
      </c>
      <c r="B465">
        <v>0</v>
      </c>
      <c r="C465" t="str">
        <f t="shared" si="35"/>
        <v>No</v>
      </c>
      <c r="D465" t="s">
        <v>956</v>
      </c>
      <c r="E465" t="s">
        <v>1429</v>
      </c>
      <c r="F465" t="str" cm="1">
        <f t="array" ref="F465">IF(OR(COUNTIF(D465,"*"&amp;Preprocessing!$T$9:$T$15&amp;"*")),"Female","Male")</f>
        <v>Male</v>
      </c>
      <c r="G465">
        <v>21</v>
      </c>
      <c r="H465">
        <v>0</v>
      </c>
      <c r="I465">
        <v>0</v>
      </c>
      <c r="J465">
        <v>2</v>
      </c>
      <c r="K465">
        <v>0</v>
      </c>
      <c r="L465">
        <f t="shared" si="36"/>
        <v>0</v>
      </c>
      <c r="M465">
        <f t="shared" si="37"/>
        <v>21</v>
      </c>
      <c r="N465" t="str">
        <f t="shared" si="38"/>
        <v>Adult</v>
      </c>
      <c r="O465">
        <f t="shared" si="39"/>
        <v>0</v>
      </c>
    </row>
    <row r="466" spans="1:15" x14ac:dyDescent="0.3">
      <c r="A466">
        <v>465</v>
      </c>
      <c r="B466">
        <v>0</v>
      </c>
      <c r="C466" t="str">
        <f t="shared" si="35"/>
        <v>No</v>
      </c>
      <c r="D466" t="s">
        <v>956</v>
      </c>
      <c r="E466" t="s">
        <v>1430</v>
      </c>
      <c r="F466" t="str" cm="1">
        <f t="array" ref="F466">IF(OR(COUNTIF(D466,"*"&amp;Preprocessing!$T$9:$T$15&amp;"*")),"Female","Male")</f>
        <v>Male</v>
      </c>
      <c r="G466">
        <v>56</v>
      </c>
      <c r="H466">
        <v>0</v>
      </c>
      <c r="I466">
        <v>0</v>
      </c>
      <c r="J466">
        <v>1</v>
      </c>
      <c r="K466">
        <v>26.55</v>
      </c>
      <c r="L466">
        <f t="shared" si="36"/>
        <v>0</v>
      </c>
      <c r="M466">
        <f t="shared" si="37"/>
        <v>56</v>
      </c>
      <c r="N466" t="str">
        <f t="shared" si="38"/>
        <v>Adult</v>
      </c>
      <c r="O466">
        <f t="shared" si="39"/>
        <v>26.55</v>
      </c>
    </row>
    <row r="467" spans="1:15" x14ac:dyDescent="0.3">
      <c r="A467">
        <v>466</v>
      </c>
      <c r="B467">
        <v>0</v>
      </c>
      <c r="C467" t="str">
        <f t="shared" si="35"/>
        <v>No</v>
      </c>
      <c r="D467" t="s">
        <v>956</v>
      </c>
      <c r="E467" t="s">
        <v>1431</v>
      </c>
      <c r="F467" t="str" cm="1">
        <f t="array" ref="F467">IF(OR(COUNTIF(D467,"*"&amp;Preprocessing!$T$9:$T$15&amp;"*")),"Female","Male")</f>
        <v>Male</v>
      </c>
      <c r="G467">
        <v>22</v>
      </c>
      <c r="H467">
        <v>0</v>
      </c>
      <c r="I467">
        <v>0</v>
      </c>
      <c r="J467">
        <v>3</v>
      </c>
      <c r="K467">
        <v>7.7249999999999996</v>
      </c>
      <c r="L467">
        <f t="shared" si="36"/>
        <v>0</v>
      </c>
      <c r="M467">
        <f t="shared" si="37"/>
        <v>22</v>
      </c>
      <c r="N467" t="str">
        <f t="shared" si="38"/>
        <v>Adult</v>
      </c>
      <c r="O467">
        <f t="shared" si="39"/>
        <v>7.73</v>
      </c>
    </row>
    <row r="468" spans="1:15" x14ac:dyDescent="0.3">
      <c r="A468">
        <v>467</v>
      </c>
      <c r="B468">
        <v>1</v>
      </c>
      <c r="C468" t="str">
        <f t="shared" si="35"/>
        <v>Yes</v>
      </c>
      <c r="D468" t="s">
        <v>960</v>
      </c>
      <c r="E468" t="s">
        <v>1432</v>
      </c>
      <c r="F468" t="str" cm="1">
        <f t="array" ref="F468">IF(OR(COUNTIF(D468,"*"&amp;Preprocessing!$T$9:$T$15&amp;"*")),"Female","Male")</f>
        <v>Female</v>
      </c>
      <c r="G468">
        <v>0.75</v>
      </c>
      <c r="H468">
        <v>2</v>
      </c>
      <c r="I468">
        <v>1</v>
      </c>
      <c r="J468">
        <v>3</v>
      </c>
      <c r="K468">
        <v>19.258299999999998</v>
      </c>
      <c r="L468">
        <f t="shared" si="36"/>
        <v>1</v>
      </c>
      <c r="M468">
        <f t="shared" si="37"/>
        <v>1</v>
      </c>
      <c r="N468" t="str">
        <f t="shared" si="38"/>
        <v>Child</v>
      </c>
      <c r="O468">
        <f t="shared" si="39"/>
        <v>19.260000000000002</v>
      </c>
    </row>
    <row r="469" spans="1:15" x14ac:dyDescent="0.3">
      <c r="A469">
        <v>468</v>
      </c>
      <c r="B469">
        <v>0</v>
      </c>
      <c r="C469" t="str">
        <f t="shared" si="35"/>
        <v>No</v>
      </c>
      <c r="D469" t="s">
        <v>956</v>
      </c>
      <c r="E469" t="s">
        <v>1433</v>
      </c>
      <c r="F469" t="str" cm="1">
        <f t="array" ref="F469">IF(OR(COUNTIF(D469,"*"&amp;Preprocessing!$T$9:$T$15&amp;"*")),"Female","Male")</f>
        <v>Male</v>
      </c>
      <c r="G469">
        <v>39</v>
      </c>
      <c r="H469">
        <v>0</v>
      </c>
      <c r="I469">
        <v>0</v>
      </c>
      <c r="J469">
        <v>3</v>
      </c>
      <c r="K469">
        <v>7.25</v>
      </c>
      <c r="L469">
        <f t="shared" si="36"/>
        <v>0</v>
      </c>
      <c r="M469">
        <f t="shared" si="37"/>
        <v>39</v>
      </c>
      <c r="N469" t="str">
        <f t="shared" si="38"/>
        <v>Adult</v>
      </c>
      <c r="O469">
        <f t="shared" si="39"/>
        <v>7.25</v>
      </c>
    </row>
    <row r="470" spans="1:15" x14ac:dyDescent="0.3">
      <c r="A470">
        <v>469</v>
      </c>
      <c r="B470">
        <v>0</v>
      </c>
      <c r="C470" t="str">
        <f t="shared" si="35"/>
        <v>No</v>
      </c>
      <c r="D470" t="s">
        <v>956</v>
      </c>
      <c r="E470" t="s">
        <v>1434</v>
      </c>
      <c r="F470" t="str" cm="1">
        <f t="array" ref="F470">IF(OR(COUNTIF(D470,"*"&amp;Preprocessing!$T$9:$T$15&amp;"*")),"Female","Male")</f>
        <v>Male</v>
      </c>
      <c r="G470">
        <v>38</v>
      </c>
      <c r="H470">
        <v>0</v>
      </c>
      <c r="I470">
        <v>0</v>
      </c>
      <c r="J470">
        <v>3</v>
      </c>
      <c r="K470">
        <v>8.6624999999999996</v>
      </c>
      <c r="L470">
        <f t="shared" si="36"/>
        <v>0</v>
      </c>
      <c r="M470">
        <f t="shared" si="37"/>
        <v>38</v>
      </c>
      <c r="N470" t="str">
        <f t="shared" si="38"/>
        <v>Adult</v>
      </c>
      <c r="O470">
        <f t="shared" si="39"/>
        <v>8.66</v>
      </c>
    </row>
    <row r="471" spans="1:15" x14ac:dyDescent="0.3">
      <c r="A471">
        <v>470</v>
      </c>
      <c r="B471">
        <v>1</v>
      </c>
      <c r="C471" t="str">
        <f t="shared" si="35"/>
        <v>Yes</v>
      </c>
      <c r="D471" t="s">
        <v>958</v>
      </c>
      <c r="E471" t="s">
        <v>1435</v>
      </c>
      <c r="F471" t="str" cm="1">
        <f t="array" ref="F471">IF(OR(COUNTIF(D471,"*"&amp;Preprocessing!$T$9:$T$15&amp;"*")),"Female","Male")</f>
        <v>Female</v>
      </c>
      <c r="G471">
        <v>33</v>
      </c>
      <c r="H471">
        <v>1</v>
      </c>
      <c r="I471">
        <v>2</v>
      </c>
      <c r="J471">
        <v>2</v>
      </c>
      <c r="K471">
        <v>27.75</v>
      </c>
      <c r="L471">
        <f t="shared" si="36"/>
        <v>1</v>
      </c>
      <c r="M471">
        <f t="shared" si="37"/>
        <v>33</v>
      </c>
      <c r="N471" t="str">
        <f t="shared" si="38"/>
        <v>Adult</v>
      </c>
      <c r="O471">
        <f t="shared" si="39"/>
        <v>27.75</v>
      </c>
    </row>
    <row r="472" spans="1:15" x14ac:dyDescent="0.3">
      <c r="A472">
        <v>471</v>
      </c>
      <c r="B472">
        <v>1</v>
      </c>
      <c r="C472" t="str">
        <f t="shared" si="35"/>
        <v>Yes</v>
      </c>
      <c r="D472" t="s">
        <v>958</v>
      </c>
      <c r="E472" t="s">
        <v>1436</v>
      </c>
      <c r="F472" t="str" cm="1">
        <f t="array" ref="F472">IF(OR(COUNTIF(D472,"*"&amp;Preprocessing!$T$9:$T$15&amp;"*")),"Female","Male")</f>
        <v>Female</v>
      </c>
      <c r="G472">
        <v>23</v>
      </c>
      <c r="H472">
        <v>0</v>
      </c>
      <c r="I472">
        <v>0</v>
      </c>
      <c r="J472">
        <v>2</v>
      </c>
      <c r="K472">
        <v>13.791700000000001</v>
      </c>
      <c r="L472">
        <f t="shared" si="36"/>
        <v>1</v>
      </c>
      <c r="M472">
        <f t="shared" si="37"/>
        <v>23</v>
      </c>
      <c r="N472" t="str">
        <f t="shared" si="38"/>
        <v>Adult</v>
      </c>
      <c r="O472">
        <f t="shared" si="39"/>
        <v>13.79</v>
      </c>
    </row>
    <row r="473" spans="1:15" x14ac:dyDescent="0.3">
      <c r="A473">
        <v>472</v>
      </c>
      <c r="B473">
        <v>0</v>
      </c>
      <c r="C473" t="str">
        <f t="shared" si="35"/>
        <v>No</v>
      </c>
      <c r="D473" t="s">
        <v>960</v>
      </c>
      <c r="E473" t="s">
        <v>1437</v>
      </c>
      <c r="F473" t="str" cm="1">
        <f t="array" ref="F473">IF(OR(COUNTIF(D473,"*"&amp;Preprocessing!$T$9:$T$15&amp;"*")),"Female","Male")</f>
        <v>Female</v>
      </c>
      <c r="G473">
        <v>22</v>
      </c>
      <c r="H473">
        <v>0</v>
      </c>
      <c r="I473">
        <v>0</v>
      </c>
      <c r="J473">
        <v>3</v>
      </c>
      <c r="K473">
        <v>9.8375000000000004</v>
      </c>
      <c r="L473">
        <f t="shared" si="36"/>
        <v>1</v>
      </c>
      <c r="M473">
        <f t="shared" si="37"/>
        <v>22</v>
      </c>
      <c r="N473" t="str">
        <f t="shared" si="38"/>
        <v>Adult</v>
      </c>
      <c r="O473">
        <f t="shared" si="39"/>
        <v>9.84</v>
      </c>
    </row>
    <row r="474" spans="1:15" x14ac:dyDescent="0.3">
      <c r="A474">
        <v>473</v>
      </c>
      <c r="B474">
        <v>0</v>
      </c>
      <c r="C474" t="str">
        <f t="shared" si="35"/>
        <v>No</v>
      </c>
      <c r="D474" t="s">
        <v>956</v>
      </c>
      <c r="E474" t="s">
        <v>1438</v>
      </c>
      <c r="F474" t="str" cm="1">
        <f t="array" ref="F474">IF(OR(COUNTIF(D474,"*"&amp;Preprocessing!$T$9:$T$15&amp;"*")),"Female","Male")</f>
        <v>Male</v>
      </c>
      <c r="G474">
        <v>40</v>
      </c>
      <c r="H474">
        <v>0</v>
      </c>
      <c r="I474">
        <v>0</v>
      </c>
      <c r="J474">
        <v>1</v>
      </c>
      <c r="K474">
        <v>52</v>
      </c>
      <c r="L474">
        <f t="shared" si="36"/>
        <v>0</v>
      </c>
      <c r="M474">
        <f t="shared" si="37"/>
        <v>40</v>
      </c>
      <c r="N474" t="str">
        <f t="shared" si="38"/>
        <v>Adult</v>
      </c>
      <c r="O474">
        <f t="shared" si="39"/>
        <v>52</v>
      </c>
    </row>
    <row r="475" spans="1:15" x14ac:dyDescent="0.3">
      <c r="A475">
        <v>474</v>
      </c>
      <c r="B475">
        <v>0</v>
      </c>
      <c r="C475" t="str">
        <f t="shared" si="35"/>
        <v>No</v>
      </c>
      <c r="D475" t="s">
        <v>956</v>
      </c>
      <c r="E475" t="s">
        <v>1439</v>
      </c>
      <c r="F475" t="str" cm="1">
        <f t="array" ref="F475">IF(OR(COUNTIF(D475,"*"&amp;Preprocessing!$T$9:$T$15&amp;"*")),"Female","Male")</f>
        <v>Male</v>
      </c>
      <c r="G475">
        <v>34</v>
      </c>
      <c r="H475">
        <v>1</v>
      </c>
      <c r="I475">
        <v>0</v>
      </c>
      <c r="J475">
        <v>2</v>
      </c>
      <c r="K475">
        <v>21</v>
      </c>
      <c r="L475">
        <f t="shared" si="36"/>
        <v>0</v>
      </c>
      <c r="M475">
        <f t="shared" si="37"/>
        <v>34</v>
      </c>
      <c r="N475" t="str">
        <f t="shared" si="38"/>
        <v>Adult</v>
      </c>
      <c r="O475">
        <f t="shared" si="39"/>
        <v>21</v>
      </c>
    </row>
    <row r="476" spans="1:15" x14ac:dyDescent="0.3">
      <c r="A476">
        <v>475</v>
      </c>
      <c r="B476">
        <v>0</v>
      </c>
      <c r="C476" t="str">
        <f t="shared" si="35"/>
        <v>No</v>
      </c>
      <c r="D476" t="s">
        <v>956</v>
      </c>
      <c r="E476" t="s">
        <v>1440</v>
      </c>
      <c r="F476" t="str" cm="1">
        <f t="array" ref="F476">IF(OR(COUNTIF(D476,"*"&amp;Preprocessing!$T$9:$T$15&amp;"*")),"Female","Male")</f>
        <v>Male</v>
      </c>
      <c r="G476">
        <v>29</v>
      </c>
      <c r="H476">
        <v>1</v>
      </c>
      <c r="I476">
        <v>0</v>
      </c>
      <c r="J476">
        <v>3</v>
      </c>
      <c r="K476">
        <v>7.0457999999999998</v>
      </c>
      <c r="L476">
        <f t="shared" si="36"/>
        <v>0</v>
      </c>
      <c r="M476">
        <f t="shared" si="37"/>
        <v>29</v>
      </c>
      <c r="N476" t="str">
        <f t="shared" si="38"/>
        <v>Adult</v>
      </c>
      <c r="O476">
        <f t="shared" si="39"/>
        <v>7.05</v>
      </c>
    </row>
    <row r="477" spans="1:15" x14ac:dyDescent="0.3">
      <c r="A477">
        <v>476</v>
      </c>
      <c r="B477">
        <v>0</v>
      </c>
      <c r="C477" t="str">
        <f t="shared" si="35"/>
        <v>No</v>
      </c>
      <c r="D477" t="s">
        <v>956</v>
      </c>
      <c r="E477" t="s">
        <v>1441</v>
      </c>
      <c r="F477" t="str" cm="1">
        <f t="array" ref="F477">IF(OR(COUNTIF(D477,"*"&amp;Preprocessing!$T$9:$T$15&amp;"*")),"Female","Male")</f>
        <v>Male</v>
      </c>
      <c r="G477">
        <v>22</v>
      </c>
      <c r="H477">
        <v>0</v>
      </c>
      <c r="I477">
        <v>0</v>
      </c>
      <c r="J477">
        <v>3</v>
      </c>
      <c r="K477">
        <v>7.5208000000000004</v>
      </c>
      <c r="L477">
        <f t="shared" si="36"/>
        <v>0</v>
      </c>
      <c r="M477">
        <f t="shared" si="37"/>
        <v>22</v>
      </c>
      <c r="N477" t="str">
        <f t="shared" si="38"/>
        <v>Adult</v>
      </c>
      <c r="O477">
        <f t="shared" si="39"/>
        <v>7.52</v>
      </c>
    </row>
    <row r="478" spans="1:15" x14ac:dyDescent="0.3">
      <c r="A478">
        <v>477</v>
      </c>
      <c r="B478">
        <v>1</v>
      </c>
      <c r="C478" t="str">
        <f t="shared" si="35"/>
        <v>Yes</v>
      </c>
      <c r="D478" t="s">
        <v>960</v>
      </c>
      <c r="E478" t="s">
        <v>1442</v>
      </c>
      <c r="F478" t="str" cm="1">
        <f t="array" ref="F478">IF(OR(COUNTIF(D478,"*"&amp;Preprocessing!$T$9:$T$15&amp;"*")),"Female","Male")</f>
        <v>Female</v>
      </c>
      <c r="G478">
        <v>2</v>
      </c>
      <c r="H478">
        <v>0</v>
      </c>
      <c r="I478">
        <v>1</v>
      </c>
      <c r="J478">
        <v>3</v>
      </c>
      <c r="K478">
        <v>12.2875</v>
      </c>
      <c r="L478">
        <f t="shared" si="36"/>
        <v>1</v>
      </c>
      <c r="M478">
        <f t="shared" si="37"/>
        <v>2</v>
      </c>
      <c r="N478" t="str">
        <f t="shared" si="38"/>
        <v>Child</v>
      </c>
      <c r="O478">
        <f t="shared" si="39"/>
        <v>12.29</v>
      </c>
    </row>
    <row r="479" spans="1:15" x14ac:dyDescent="0.3">
      <c r="A479">
        <v>478</v>
      </c>
      <c r="B479">
        <v>0</v>
      </c>
      <c r="C479" t="str">
        <f t="shared" si="35"/>
        <v>No</v>
      </c>
      <c r="D479" t="s">
        <v>966</v>
      </c>
      <c r="E479" t="s">
        <v>1443</v>
      </c>
      <c r="F479" t="str" cm="1">
        <f t="array" ref="F479">IF(OR(COUNTIF(D479,"*"&amp;Preprocessing!$T$9:$T$15&amp;"*")),"Female","Male")</f>
        <v>Male</v>
      </c>
      <c r="G479">
        <v>9</v>
      </c>
      <c r="H479">
        <v>5</v>
      </c>
      <c r="I479">
        <v>2</v>
      </c>
      <c r="J479">
        <v>3</v>
      </c>
      <c r="K479">
        <v>46.9</v>
      </c>
      <c r="L479">
        <f t="shared" si="36"/>
        <v>0</v>
      </c>
      <c r="M479">
        <f t="shared" si="37"/>
        <v>9</v>
      </c>
      <c r="N479" t="str">
        <f t="shared" si="38"/>
        <v>Child</v>
      </c>
      <c r="O479">
        <f t="shared" si="39"/>
        <v>46.9</v>
      </c>
    </row>
    <row r="480" spans="1:15" x14ac:dyDescent="0.3">
      <c r="A480">
        <v>479</v>
      </c>
      <c r="B480">
        <v>0</v>
      </c>
      <c r="C480" t="str">
        <f t="shared" si="35"/>
        <v>No</v>
      </c>
      <c r="D480" t="s">
        <v>956</v>
      </c>
      <c r="E480" t="s">
        <v>1444</v>
      </c>
      <c r="F480" t="str" cm="1">
        <f t="array" ref="F480">IF(OR(COUNTIF(D480,"*"&amp;Preprocessing!$T$9:$T$15&amp;"*")),"Female","Male")</f>
        <v>Male</v>
      </c>
      <c r="G480">
        <v>37</v>
      </c>
      <c r="H480">
        <v>0</v>
      </c>
      <c r="I480">
        <v>0</v>
      </c>
      <c r="J480">
        <v>2</v>
      </c>
      <c r="K480">
        <v>0</v>
      </c>
      <c r="L480">
        <f t="shared" si="36"/>
        <v>0</v>
      </c>
      <c r="M480">
        <f t="shared" si="37"/>
        <v>37</v>
      </c>
      <c r="N480" t="str">
        <f t="shared" si="38"/>
        <v>Adult</v>
      </c>
      <c r="O480">
        <f t="shared" si="39"/>
        <v>0</v>
      </c>
    </row>
    <row r="481" spans="1:15" x14ac:dyDescent="0.3">
      <c r="A481">
        <v>480</v>
      </c>
      <c r="B481">
        <v>0</v>
      </c>
      <c r="C481" t="str">
        <f t="shared" si="35"/>
        <v>No</v>
      </c>
      <c r="D481" t="s">
        <v>956</v>
      </c>
      <c r="E481" t="s">
        <v>1445</v>
      </c>
      <c r="F481" t="str" cm="1">
        <f t="array" ref="F481">IF(OR(COUNTIF(D481,"*"&amp;Preprocessing!$T$9:$T$15&amp;"*")),"Female","Male")</f>
        <v>Male</v>
      </c>
      <c r="G481">
        <v>50</v>
      </c>
      <c r="H481">
        <v>0</v>
      </c>
      <c r="I481">
        <v>0</v>
      </c>
      <c r="J481">
        <v>3</v>
      </c>
      <c r="K481">
        <v>8.0500000000000007</v>
      </c>
      <c r="L481">
        <f t="shared" si="36"/>
        <v>0</v>
      </c>
      <c r="M481">
        <f t="shared" si="37"/>
        <v>50</v>
      </c>
      <c r="N481" t="str">
        <f t="shared" si="38"/>
        <v>Adult</v>
      </c>
      <c r="O481">
        <f t="shared" si="39"/>
        <v>8.0500000000000007</v>
      </c>
    </row>
    <row r="482" spans="1:15" x14ac:dyDescent="0.3">
      <c r="A482">
        <v>481</v>
      </c>
      <c r="B482">
        <v>1</v>
      </c>
      <c r="C482" t="str">
        <f t="shared" si="35"/>
        <v>Yes</v>
      </c>
      <c r="D482" t="s">
        <v>958</v>
      </c>
      <c r="E482" t="s">
        <v>1446</v>
      </c>
      <c r="F482" t="str" cm="1">
        <f t="array" ref="F482">IF(OR(COUNTIF(D482,"*"&amp;Preprocessing!$T$9:$T$15&amp;"*")),"Female","Male")</f>
        <v>Female</v>
      </c>
      <c r="G482">
        <v>63</v>
      </c>
      <c r="H482">
        <v>0</v>
      </c>
      <c r="I482">
        <v>0</v>
      </c>
      <c r="J482">
        <v>3</v>
      </c>
      <c r="K482">
        <v>9.5875000000000004</v>
      </c>
      <c r="L482">
        <f t="shared" si="36"/>
        <v>1</v>
      </c>
      <c r="M482">
        <f t="shared" si="37"/>
        <v>63</v>
      </c>
      <c r="N482" t="str">
        <f t="shared" si="38"/>
        <v>Adult</v>
      </c>
      <c r="O482">
        <f t="shared" si="39"/>
        <v>9.59</v>
      </c>
    </row>
    <row r="483" spans="1:15" x14ac:dyDescent="0.3">
      <c r="A483">
        <v>482</v>
      </c>
      <c r="B483">
        <v>1</v>
      </c>
      <c r="C483" t="str">
        <f t="shared" si="35"/>
        <v>Yes</v>
      </c>
      <c r="D483" t="s">
        <v>956</v>
      </c>
      <c r="E483" t="s">
        <v>1447</v>
      </c>
      <c r="F483" t="str" cm="1">
        <f t="array" ref="F483">IF(OR(COUNTIF(D483,"*"&amp;Preprocessing!$T$9:$T$15&amp;"*")),"Female","Male")</f>
        <v>Male</v>
      </c>
      <c r="G483">
        <v>25</v>
      </c>
      <c r="H483">
        <v>1</v>
      </c>
      <c r="I483">
        <v>0</v>
      </c>
      <c r="J483">
        <v>1</v>
      </c>
      <c r="K483">
        <v>91.0792</v>
      </c>
      <c r="L483">
        <f t="shared" si="36"/>
        <v>0</v>
      </c>
      <c r="M483">
        <f t="shared" si="37"/>
        <v>25</v>
      </c>
      <c r="N483" t="str">
        <f t="shared" si="38"/>
        <v>Adult</v>
      </c>
      <c r="O483">
        <f t="shared" si="39"/>
        <v>91.08</v>
      </c>
    </row>
    <row r="484" spans="1:15" x14ac:dyDescent="0.3">
      <c r="A484">
        <v>483</v>
      </c>
      <c r="B484">
        <v>0</v>
      </c>
      <c r="C484" t="str">
        <f t="shared" si="35"/>
        <v>No</v>
      </c>
      <c r="D484" t="s">
        <v>960</v>
      </c>
      <c r="E484" t="s">
        <v>1448</v>
      </c>
      <c r="F484" t="str" cm="1">
        <f t="array" ref="F484">IF(OR(COUNTIF(D484,"*"&amp;Preprocessing!$T$9:$T$15&amp;"*")),"Female","Male")</f>
        <v>Female</v>
      </c>
      <c r="G484">
        <v>8</v>
      </c>
      <c r="H484">
        <v>3</v>
      </c>
      <c r="I484">
        <v>1</v>
      </c>
      <c r="J484">
        <v>3</v>
      </c>
      <c r="K484">
        <v>25.466699999999999</v>
      </c>
      <c r="L484">
        <f t="shared" si="36"/>
        <v>1</v>
      </c>
      <c r="M484">
        <f t="shared" si="37"/>
        <v>8</v>
      </c>
      <c r="N484" t="str">
        <f t="shared" si="38"/>
        <v>Child</v>
      </c>
      <c r="O484">
        <f t="shared" si="39"/>
        <v>25.47</v>
      </c>
    </row>
    <row r="485" spans="1:15" x14ac:dyDescent="0.3">
      <c r="A485">
        <v>484</v>
      </c>
      <c r="B485">
        <v>1</v>
      </c>
      <c r="C485" t="str">
        <f t="shared" si="35"/>
        <v>Yes</v>
      </c>
      <c r="D485" t="s">
        <v>958</v>
      </c>
      <c r="E485" t="s">
        <v>1449</v>
      </c>
      <c r="F485" t="str" cm="1">
        <f t="array" ref="F485">IF(OR(COUNTIF(D485,"*"&amp;Preprocessing!$T$9:$T$15&amp;"*")),"Female","Male")</f>
        <v>Female</v>
      </c>
      <c r="G485">
        <v>35</v>
      </c>
      <c r="H485">
        <v>1</v>
      </c>
      <c r="I485">
        <v>0</v>
      </c>
      <c r="J485">
        <v>1</v>
      </c>
      <c r="K485">
        <v>90</v>
      </c>
      <c r="L485">
        <f t="shared" si="36"/>
        <v>1</v>
      </c>
      <c r="M485">
        <f t="shared" si="37"/>
        <v>35</v>
      </c>
      <c r="N485" t="str">
        <f t="shared" si="38"/>
        <v>Adult</v>
      </c>
      <c r="O485">
        <f t="shared" si="39"/>
        <v>90</v>
      </c>
    </row>
    <row r="486" spans="1:15" x14ac:dyDescent="0.3">
      <c r="A486">
        <v>485</v>
      </c>
      <c r="B486">
        <v>0</v>
      </c>
      <c r="C486" t="str">
        <f t="shared" si="35"/>
        <v>No</v>
      </c>
      <c r="D486" t="s">
        <v>956</v>
      </c>
      <c r="E486" t="s">
        <v>1450</v>
      </c>
      <c r="F486" t="str" cm="1">
        <f t="array" ref="F486">IF(OR(COUNTIF(D486,"*"&amp;Preprocessing!$T$9:$T$15&amp;"*")),"Female","Male")</f>
        <v>Male</v>
      </c>
      <c r="G486">
        <v>58</v>
      </c>
      <c r="H486">
        <v>0</v>
      </c>
      <c r="I486">
        <v>0</v>
      </c>
      <c r="J486">
        <v>1</v>
      </c>
      <c r="K486">
        <v>29.7</v>
      </c>
      <c r="L486">
        <f t="shared" si="36"/>
        <v>0</v>
      </c>
      <c r="M486">
        <f t="shared" si="37"/>
        <v>58</v>
      </c>
      <c r="N486" t="str">
        <f t="shared" si="38"/>
        <v>Adult</v>
      </c>
      <c r="O486">
        <f t="shared" si="39"/>
        <v>29.7</v>
      </c>
    </row>
    <row r="487" spans="1:15" x14ac:dyDescent="0.3">
      <c r="A487">
        <v>486</v>
      </c>
      <c r="B487">
        <v>0</v>
      </c>
      <c r="C487" t="str">
        <f t="shared" si="35"/>
        <v>No</v>
      </c>
      <c r="D487" t="s">
        <v>956</v>
      </c>
      <c r="E487" t="s">
        <v>1451</v>
      </c>
      <c r="F487" t="str" cm="1">
        <f t="array" ref="F487">IF(OR(COUNTIF(D487,"*"&amp;Preprocessing!$T$9:$T$15&amp;"*")),"Female","Male")</f>
        <v>Male</v>
      </c>
      <c r="G487">
        <v>30</v>
      </c>
      <c r="H487">
        <v>0</v>
      </c>
      <c r="I487">
        <v>0</v>
      </c>
      <c r="J487">
        <v>3</v>
      </c>
      <c r="K487">
        <v>8.0500000000000007</v>
      </c>
      <c r="L487">
        <f t="shared" si="36"/>
        <v>0</v>
      </c>
      <c r="M487">
        <f t="shared" si="37"/>
        <v>30</v>
      </c>
      <c r="N487" t="str">
        <f t="shared" si="38"/>
        <v>Adult</v>
      </c>
      <c r="O487">
        <f t="shared" si="39"/>
        <v>8.0500000000000007</v>
      </c>
    </row>
    <row r="488" spans="1:15" x14ac:dyDescent="0.3">
      <c r="A488">
        <v>487</v>
      </c>
      <c r="B488">
        <v>1</v>
      </c>
      <c r="C488" t="str">
        <f t="shared" si="35"/>
        <v>Yes</v>
      </c>
      <c r="D488" t="s">
        <v>966</v>
      </c>
      <c r="E488" t="s">
        <v>1452</v>
      </c>
      <c r="F488" t="str" cm="1">
        <f t="array" ref="F488">IF(OR(COUNTIF(D488,"*"&amp;Preprocessing!$T$9:$T$15&amp;"*")),"Female","Male")</f>
        <v>Male</v>
      </c>
      <c r="G488">
        <v>9</v>
      </c>
      <c r="H488">
        <v>1</v>
      </c>
      <c r="I488">
        <v>1</v>
      </c>
      <c r="J488">
        <v>3</v>
      </c>
      <c r="K488">
        <v>15.9</v>
      </c>
      <c r="L488">
        <f t="shared" si="36"/>
        <v>0</v>
      </c>
      <c r="M488">
        <f t="shared" si="37"/>
        <v>9</v>
      </c>
      <c r="N488" t="str">
        <f t="shared" si="38"/>
        <v>Child</v>
      </c>
      <c r="O488">
        <f t="shared" si="39"/>
        <v>15.9</v>
      </c>
    </row>
    <row r="489" spans="1:15" x14ac:dyDescent="0.3">
      <c r="A489">
        <v>488</v>
      </c>
      <c r="B489">
        <v>0</v>
      </c>
      <c r="C489" t="str">
        <f t="shared" si="35"/>
        <v>No</v>
      </c>
      <c r="D489" t="s">
        <v>956</v>
      </c>
      <c r="E489" t="s">
        <v>1453</v>
      </c>
      <c r="F489" t="str" cm="1">
        <f t="array" ref="F489">IF(OR(COUNTIF(D489,"*"&amp;Preprocessing!$T$9:$T$15&amp;"*")),"Female","Male")</f>
        <v>Male</v>
      </c>
      <c r="G489">
        <v>19</v>
      </c>
      <c r="H489">
        <v>1</v>
      </c>
      <c r="I489">
        <v>0</v>
      </c>
      <c r="J489">
        <v>3</v>
      </c>
      <c r="K489">
        <v>19.966699999999999</v>
      </c>
      <c r="L489">
        <f t="shared" si="36"/>
        <v>0</v>
      </c>
      <c r="M489">
        <f t="shared" si="37"/>
        <v>19</v>
      </c>
      <c r="N489" t="str">
        <f t="shared" si="38"/>
        <v>Adult</v>
      </c>
      <c r="O489">
        <f t="shared" si="39"/>
        <v>19.97</v>
      </c>
    </row>
    <row r="490" spans="1:15" x14ac:dyDescent="0.3">
      <c r="A490">
        <v>489</v>
      </c>
      <c r="B490">
        <v>0</v>
      </c>
      <c r="C490" t="str">
        <f t="shared" si="35"/>
        <v>No</v>
      </c>
      <c r="D490" t="s">
        <v>956</v>
      </c>
      <c r="E490" t="s">
        <v>1454</v>
      </c>
      <c r="F490" t="str" cm="1">
        <f t="array" ref="F490">IF(OR(COUNTIF(D490,"*"&amp;Preprocessing!$T$9:$T$15&amp;"*")),"Female","Male")</f>
        <v>Male</v>
      </c>
      <c r="G490">
        <v>21</v>
      </c>
      <c r="H490">
        <v>0</v>
      </c>
      <c r="I490">
        <v>0</v>
      </c>
      <c r="J490">
        <v>3</v>
      </c>
      <c r="K490">
        <v>7.25</v>
      </c>
      <c r="L490">
        <f t="shared" si="36"/>
        <v>0</v>
      </c>
      <c r="M490">
        <f t="shared" si="37"/>
        <v>21</v>
      </c>
      <c r="N490" t="str">
        <f t="shared" si="38"/>
        <v>Adult</v>
      </c>
      <c r="O490">
        <f t="shared" si="39"/>
        <v>7.25</v>
      </c>
    </row>
    <row r="491" spans="1:15" x14ac:dyDescent="0.3">
      <c r="A491">
        <v>490</v>
      </c>
      <c r="B491">
        <v>0</v>
      </c>
      <c r="C491" t="str">
        <f t="shared" si="35"/>
        <v>No</v>
      </c>
      <c r="D491" t="s">
        <v>956</v>
      </c>
      <c r="E491" t="s">
        <v>1455</v>
      </c>
      <c r="F491" t="str" cm="1">
        <f t="array" ref="F491">IF(OR(COUNTIF(D491,"*"&amp;Preprocessing!$T$9:$T$15&amp;"*")),"Female","Male")</f>
        <v>Male</v>
      </c>
      <c r="G491">
        <v>55</v>
      </c>
      <c r="H491">
        <v>0</v>
      </c>
      <c r="I491">
        <v>0</v>
      </c>
      <c r="J491">
        <v>1</v>
      </c>
      <c r="K491">
        <v>30.5</v>
      </c>
      <c r="L491">
        <f t="shared" si="36"/>
        <v>0</v>
      </c>
      <c r="M491">
        <f t="shared" si="37"/>
        <v>55</v>
      </c>
      <c r="N491" t="str">
        <f t="shared" si="38"/>
        <v>Adult</v>
      </c>
      <c r="O491">
        <f t="shared" si="39"/>
        <v>30.5</v>
      </c>
    </row>
    <row r="492" spans="1:15" x14ac:dyDescent="0.3">
      <c r="A492">
        <v>491</v>
      </c>
      <c r="B492">
        <v>0</v>
      </c>
      <c r="C492" t="str">
        <f t="shared" si="35"/>
        <v>No</v>
      </c>
      <c r="D492" t="s">
        <v>956</v>
      </c>
      <c r="E492" t="s">
        <v>1456</v>
      </c>
      <c r="F492" t="str" cm="1">
        <f t="array" ref="F492">IF(OR(COUNTIF(D492,"*"&amp;Preprocessing!$T$9:$T$15&amp;"*")),"Female","Male")</f>
        <v>Male</v>
      </c>
      <c r="G492">
        <v>71</v>
      </c>
      <c r="H492">
        <v>0</v>
      </c>
      <c r="I492">
        <v>0</v>
      </c>
      <c r="J492">
        <v>1</v>
      </c>
      <c r="K492">
        <v>49.504199999999997</v>
      </c>
      <c r="L492">
        <f t="shared" si="36"/>
        <v>0</v>
      </c>
      <c r="M492">
        <f t="shared" si="37"/>
        <v>71</v>
      </c>
      <c r="N492" t="str">
        <f t="shared" si="38"/>
        <v>Adult</v>
      </c>
      <c r="O492">
        <f t="shared" si="39"/>
        <v>49.5</v>
      </c>
    </row>
    <row r="493" spans="1:15" x14ac:dyDescent="0.3">
      <c r="A493">
        <v>492</v>
      </c>
      <c r="B493">
        <v>0</v>
      </c>
      <c r="C493" t="str">
        <f t="shared" si="35"/>
        <v>No</v>
      </c>
      <c r="D493" t="s">
        <v>956</v>
      </c>
      <c r="E493" t="s">
        <v>1457</v>
      </c>
      <c r="F493" t="str" cm="1">
        <f t="array" ref="F493">IF(OR(COUNTIF(D493,"*"&amp;Preprocessing!$T$9:$T$15&amp;"*")),"Female","Male")</f>
        <v>Male</v>
      </c>
      <c r="G493">
        <v>21</v>
      </c>
      <c r="H493">
        <v>0</v>
      </c>
      <c r="I493">
        <v>0</v>
      </c>
      <c r="J493">
        <v>3</v>
      </c>
      <c r="K493">
        <v>8.0500000000000007</v>
      </c>
      <c r="L493">
        <f t="shared" si="36"/>
        <v>0</v>
      </c>
      <c r="M493">
        <f t="shared" si="37"/>
        <v>21</v>
      </c>
      <c r="N493" t="str">
        <f t="shared" si="38"/>
        <v>Adult</v>
      </c>
      <c r="O493">
        <f t="shared" si="39"/>
        <v>8.0500000000000007</v>
      </c>
    </row>
    <row r="494" spans="1:15" x14ac:dyDescent="0.3">
      <c r="A494">
        <v>493</v>
      </c>
      <c r="B494">
        <v>0</v>
      </c>
      <c r="C494" t="str">
        <f t="shared" si="35"/>
        <v>No</v>
      </c>
      <c r="D494" t="s">
        <v>956</v>
      </c>
      <c r="E494" t="s">
        <v>1458</v>
      </c>
      <c r="F494" t="str" cm="1">
        <f t="array" ref="F494">IF(OR(COUNTIF(D494,"*"&amp;Preprocessing!$T$9:$T$15&amp;"*")),"Female","Male")</f>
        <v>Male</v>
      </c>
      <c r="G494">
        <v>26</v>
      </c>
      <c r="H494">
        <v>0</v>
      </c>
      <c r="I494">
        <v>0</v>
      </c>
      <c r="J494">
        <v>3</v>
      </c>
      <c r="K494">
        <v>14.458299999999999</v>
      </c>
      <c r="L494">
        <f t="shared" si="36"/>
        <v>0</v>
      </c>
      <c r="M494">
        <f t="shared" si="37"/>
        <v>26</v>
      </c>
      <c r="N494" t="str">
        <f t="shared" si="38"/>
        <v>Adult</v>
      </c>
      <c r="O494">
        <f t="shared" si="39"/>
        <v>14.46</v>
      </c>
    </row>
    <row r="495" spans="1:15" x14ac:dyDescent="0.3">
      <c r="A495">
        <v>494</v>
      </c>
      <c r="B495">
        <v>1</v>
      </c>
      <c r="C495" t="str">
        <f t="shared" si="35"/>
        <v>Yes</v>
      </c>
      <c r="D495" t="s">
        <v>960</v>
      </c>
      <c r="E495" t="s">
        <v>1459</v>
      </c>
      <c r="F495" t="str" cm="1">
        <f t="array" ref="F495">IF(OR(COUNTIF(D495,"*"&amp;Preprocessing!$T$9:$T$15&amp;"*")),"Female","Male")</f>
        <v>Female</v>
      </c>
      <c r="G495">
        <v>54</v>
      </c>
      <c r="H495">
        <v>1</v>
      </c>
      <c r="I495">
        <v>0</v>
      </c>
      <c r="J495">
        <v>1</v>
      </c>
      <c r="K495">
        <v>78.2667</v>
      </c>
      <c r="L495">
        <f t="shared" si="36"/>
        <v>1</v>
      </c>
      <c r="M495">
        <f t="shared" si="37"/>
        <v>54</v>
      </c>
      <c r="N495" t="str">
        <f t="shared" si="38"/>
        <v>Adult</v>
      </c>
      <c r="O495">
        <f t="shared" si="39"/>
        <v>78.27</v>
      </c>
    </row>
    <row r="496" spans="1:15" x14ac:dyDescent="0.3">
      <c r="A496">
        <v>495</v>
      </c>
      <c r="B496">
        <v>0</v>
      </c>
      <c r="C496" t="str">
        <f t="shared" si="35"/>
        <v>No</v>
      </c>
      <c r="D496" t="s">
        <v>956</v>
      </c>
      <c r="E496" t="s">
        <v>1460</v>
      </c>
      <c r="F496" t="str" cm="1">
        <f t="array" ref="F496">IF(OR(COUNTIF(D496,"*"&amp;Preprocessing!$T$9:$T$15&amp;"*")),"Female","Male")</f>
        <v>Male</v>
      </c>
      <c r="G496">
        <v>55</v>
      </c>
      <c r="H496">
        <v>0</v>
      </c>
      <c r="I496">
        <v>0</v>
      </c>
      <c r="J496">
        <v>3</v>
      </c>
      <c r="K496">
        <v>15.1</v>
      </c>
      <c r="L496">
        <f t="shared" si="36"/>
        <v>0</v>
      </c>
      <c r="M496">
        <f t="shared" si="37"/>
        <v>55</v>
      </c>
      <c r="N496" t="str">
        <f t="shared" si="38"/>
        <v>Adult</v>
      </c>
      <c r="O496">
        <f t="shared" si="39"/>
        <v>15.1</v>
      </c>
    </row>
    <row r="497" spans="1:15" x14ac:dyDescent="0.3">
      <c r="A497">
        <v>496</v>
      </c>
      <c r="B497">
        <v>0</v>
      </c>
      <c r="C497" t="str">
        <f t="shared" si="35"/>
        <v>No</v>
      </c>
      <c r="D497" t="s">
        <v>958</v>
      </c>
      <c r="E497" t="s">
        <v>1461</v>
      </c>
      <c r="F497" t="str" cm="1">
        <f t="array" ref="F497">IF(OR(COUNTIF(D497,"*"&amp;Preprocessing!$T$9:$T$15&amp;"*")),"Female","Male")</f>
        <v>Female</v>
      </c>
      <c r="G497">
        <v>25</v>
      </c>
      <c r="H497">
        <v>1</v>
      </c>
      <c r="I497">
        <v>2</v>
      </c>
      <c r="J497">
        <v>1</v>
      </c>
      <c r="K497">
        <v>151.55000000000001</v>
      </c>
      <c r="L497">
        <f t="shared" si="36"/>
        <v>1</v>
      </c>
      <c r="M497">
        <f t="shared" si="37"/>
        <v>25</v>
      </c>
      <c r="N497" t="str">
        <f t="shared" si="38"/>
        <v>Adult</v>
      </c>
      <c r="O497">
        <f t="shared" si="39"/>
        <v>151.55000000000001</v>
      </c>
    </row>
    <row r="498" spans="1:15" x14ac:dyDescent="0.3">
      <c r="A498">
        <v>497</v>
      </c>
      <c r="B498">
        <v>0</v>
      </c>
      <c r="C498" t="str">
        <f t="shared" si="35"/>
        <v>No</v>
      </c>
      <c r="D498" t="s">
        <v>956</v>
      </c>
      <c r="E498" t="s">
        <v>1462</v>
      </c>
      <c r="F498" t="str" cm="1">
        <f t="array" ref="F498">IF(OR(COUNTIF(D498,"*"&amp;Preprocessing!$T$9:$T$15&amp;"*")),"Female","Male")</f>
        <v>Male</v>
      </c>
      <c r="G498">
        <v>24</v>
      </c>
      <c r="H498">
        <v>0</v>
      </c>
      <c r="I498">
        <v>0</v>
      </c>
      <c r="J498">
        <v>3</v>
      </c>
      <c r="K498">
        <v>7.7957999999999998</v>
      </c>
      <c r="L498">
        <f t="shared" si="36"/>
        <v>0</v>
      </c>
      <c r="M498">
        <f t="shared" si="37"/>
        <v>24</v>
      </c>
      <c r="N498" t="str">
        <f t="shared" si="38"/>
        <v>Adult</v>
      </c>
      <c r="O498">
        <f t="shared" si="39"/>
        <v>7.8</v>
      </c>
    </row>
    <row r="499" spans="1:15" x14ac:dyDescent="0.3">
      <c r="A499">
        <v>498</v>
      </c>
      <c r="B499">
        <v>0</v>
      </c>
      <c r="C499" t="str">
        <f t="shared" si="35"/>
        <v>No</v>
      </c>
      <c r="D499" t="s">
        <v>956</v>
      </c>
      <c r="E499" t="s">
        <v>1463</v>
      </c>
      <c r="F499" t="str" cm="1">
        <f t="array" ref="F499">IF(OR(COUNTIF(D499,"*"&amp;Preprocessing!$T$9:$T$15&amp;"*")),"Female","Male")</f>
        <v>Male</v>
      </c>
      <c r="G499">
        <v>17</v>
      </c>
      <c r="H499">
        <v>0</v>
      </c>
      <c r="I499">
        <v>0</v>
      </c>
      <c r="J499">
        <v>3</v>
      </c>
      <c r="K499">
        <v>8.6624999999999996</v>
      </c>
      <c r="L499">
        <f t="shared" si="36"/>
        <v>0</v>
      </c>
      <c r="M499">
        <f t="shared" si="37"/>
        <v>17</v>
      </c>
      <c r="N499" t="str">
        <f t="shared" si="38"/>
        <v>Adult</v>
      </c>
      <c r="O499">
        <f t="shared" si="39"/>
        <v>8.66</v>
      </c>
    </row>
    <row r="500" spans="1:15" x14ac:dyDescent="0.3">
      <c r="A500">
        <v>499</v>
      </c>
      <c r="B500">
        <v>0</v>
      </c>
      <c r="C500" t="str">
        <f t="shared" si="35"/>
        <v>No</v>
      </c>
      <c r="D500" t="s">
        <v>960</v>
      </c>
      <c r="E500" t="s">
        <v>1464</v>
      </c>
      <c r="F500" t="str" cm="1">
        <f t="array" ref="F500">IF(OR(COUNTIF(D500,"*"&amp;Preprocessing!$T$9:$T$15&amp;"*")),"Female","Male")</f>
        <v>Female</v>
      </c>
      <c r="G500">
        <v>21</v>
      </c>
      <c r="H500">
        <v>0</v>
      </c>
      <c r="I500">
        <v>0</v>
      </c>
      <c r="J500">
        <v>3</v>
      </c>
      <c r="K500">
        <v>7.75</v>
      </c>
      <c r="L500">
        <f t="shared" si="36"/>
        <v>1</v>
      </c>
      <c r="M500">
        <f t="shared" si="37"/>
        <v>21</v>
      </c>
      <c r="N500" t="str">
        <f t="shared" si="38"/>
        <v>Adult</v>
      </c>
      <c r="O500">
        <f t="shared" si="39"/>
        <v>7.75</v>
      </c>
    </row>
    <row r="501" spans="1:15" x14ac:dyDescent="0.3">
      <c r="A501">
        <v>500</v>
      </c>
      <c r="B501">
        <v>0</v>
      </c>
      <c r="C501" t="str">
        <f t="shared" si="35"/>
        <v>No</v>
      </c>
      <c r="D501" t="s">
        <v>960</v>
      </c>
      <c r="E501" t="s">
        <v>1465</v>
      </c>
      <c r="F501" t="str" cm="1">
        <f t="array" ref="F501">IF(OR(COUNTIF(D501,"*"&amp;Preprocessing!$T$9:$T$15&amp;"*")),"Female","Male")</f>
        <v>Female</v>
      </c>
      <c r="G501">
        <v>21</v>
      </c>
      <c r="H501">
        <v>0</v>
      </c>
      <c r="I501">
        <v>0</v>
      </c>
      <c r="J501">
        <v>3</v>
      </c>
      <c r="K501">
        <v>7.6292</v>
      </c>
      <c r="L501">
        <f t="shared" si="36"/>
        <v>1</v>
      </c>
      <c r="M501">
        <f t="shared" si="37"/>
        <v>21</v>
      </c>
      <c r="N501" t="str">
        <f t="shared" si="38"/>
        <v>Adult</v>
      </c>
      <c r="O501">
        <f t="shared" si="39"/>
        <v>7.63</v>
      </c>
    </row>
    <row r="502" spans="1:15" x14ac:dyDescent="0.3">
      <c r="A502">
        <v>501</v>
      </c>
      <c r="B502">
        <v>0</v>
      </c>
      <c r="C502" t="str">
        <f t="shared" si="35"/>
        <v>No</v>
      </c>
      <c r="D502" t="s">
        <v>960</v>
      </c>
      <c r="E502" t="s">
        <v>1466</v>
      </c>
      <c r="F502" t="str" cm="1">
        <f t="array" ref="F502">IF(OR(COUNTIF(D502,"*"&amp;Preprocessing!$T$9:$T$15&amp;"*")),"Female","Male")</f>
        <v>Female</v>
      </c>
      <c r="G502">
        <v>37</v>
      </c>
      <c r="H502">
        <v>0</v>
      </c>
      <c r="I502">
        <v>0</v>
      </c>
      <c r="J502">
        <v>3</v>
      </c>
      <c r="K502">
        <v>9.5875000000000004</v>
      </c>
      <c r="L502">
        <f t="shared" si="36"/>
        <v>1</v>
      </c>
      <c r="M502">
        <f t="shared" si="37"/>
        <v>37</v>
      </c>
      <c r="N502" t="str">
        <f t="shared" si="38"/>
        <v>Adult</v>
      </c>
      <c r="O502">
        <f t="shared" si="39"/>
        <v>9.59</v>
      </c>
    </row>
    <row r="503" spans="1:15" x14ac:dyDescent="0.3">
      <c r="A503">
        <v>502</v>
      </c>
      <c r="B503">
        <v>1</v>
      </c>
      <c r="C503" t="str">
        <f t="shared" si="35"/>
        <v>Yes</v>
      </c>
      <c r="D503" t="s">
        <v>960</v>
      </c>
      <c r="E503" t="s">
        <v>1467</v>
      </c>
      <c r="F503" t="str" cm="1">
        <f t="array" ref="F503">IF(OR(COUNTIF(D503,"*"&amp;Preprocessing!$T$9:$T$15&amp;"*")),"Female","Male")</f>
        <v>Female</v>
      </c>
      <c r="G503">
        <v>16</v>
      </c>
      <c r="H503">
        <v>0</v>
      </c>
      <c r="I503">
        <v>0</v>
      </c>
      <c r="J503">
        <v>1</v>
      </c>
      <c r="K503">
        <v>86.5</v>
      </c>
      <c r="L503">
        <f t="shared" si="36"/>
        <v>1</v>
      </c>
      <c r="M503">
        <f t="shared" si="37"/>
        <v>16</v>
      </c>
      <c r="N503" t="str">
        <f t="shared" si="38"/>
        <v>Child</v>
      </c>
      <c r="O503">
        <f t="shared" si="39"/>
        <v>86.5</v>
      </c>
    </row>
    <row r="504" spans="1:15" x14ac:dyDescent="0.3">
      <c r="A504">
        <v>503</v>
      </c>
      <c r="B504">
        <v>0</v>
      </c>
      <c r="C504" t="str">
        <f t="shared" si="35"/>
        <v>No</v>
      </c>
      <c r="D504" t="s">
        <v>956</v>
      </c>
      <c r="E504" t="s">
        <v>1468</v>
      </c>
      <c r="F504" t="str" cm="1">
        <f t="array" ref="F504">IF(OR(COUNTIF(D504,"*"&amp;Preprocessing!$T$9:$T$15&amp;"*")),"Female","Male")</f>
        <v>Male</v>
      </c>
      <c r="G504">
        <v>18</v>
      </c>
      <c r="H504">
        <v>1</v>
      </c>
      <c r="I504">
        <v>0</v>
      </c>
      <c r="J504">
        <v>1</v>
      </c>
      <c r="K504">
        <v>108.9</v>
      </c>
      <c r="L504">
        <f t="shared" si="36"/>
        <v>0</v>
      </c>
      <c r="M504">
        <f t="shared" si="37"/>
        <v>18</v>
      </c>
      <c r="N504" t="str">
        <f t="shared" si="38"/>
        <v>Adult</v>
      </c>
      <c r="O504">
        <f t="shared" si="39"/>
        <v>108.9</v>
      </c>
    </row>
    <row r="505" spans="1:15" x14ac:dyDescent="0.3">
      <c r="A505">
        <v>504</v>
      </c>
      <c r="B505">
        <v>1</v>
      </c>
      <c r="C505" t="str">
        <f t="shared" si="35"/>
        <v>Yes</v>
      </c>
      <c r="D505" t="s">
        <v>958</v>
      </c>
      <c r="E505" t="s">
        <v>1469</v>
      </c>
      <c r="F505" t="str" cm="1">
        <f t="array" ref="F505">IF(OR(COUNTIF(D505,"*"&amp;Preprocessing!$T$9:$T$15&amp;"*")),"Female","Male")</f>
        <v>Female</v>
      </c>
      <c r="G505">
        <v>33</v>
      </c>
      <c r="H505">
        <v>0</v>
      </c>
      <c r="I505">
        <v>2</v>
      </c>
      <c r="J505">
        <v>2</v>
      </c>
      <c r="K505">
        <v>26</v>
      </c>
      <c r="L505">
        <f t="shared" si="36"/>
        <v>1</v>
      </c>
      <c r="M505">
        <f t="shared" si="37"/>
        <v>33</v>
      </c>
      <c r="N505" t="str">
        <f t="shared" si="38"/>
        <v>Adult</v>
      </c>
      <c r="O505">
        <f t="shared" si="39"/>
        <v>26</v>
      </c>
    </row>
    <row r="506" spans="1:15" x14ac:dyDescent="0.3">
      <c r="A506">
        <v>505</v>
      </c>
      <c r="B506">
        <v>1</v>
      </c>
      <c r="C506" t="str">
        <f t="shared" si="35"/>
        <v>Yes</v>
      </c>
      <c r="D506" t="s">
        <v>956</v>
      </c>
      <c r="E506" t="s">
        <v>1470</v>
      </c>
      <c r="F506" t="str" cm="1">
        <f t="array" ref="F506">IF(OR(COUNTIF(D506,"*"&amp;Preprocessing!$T$9:$T$15&amp;"*")),"Female","Male")</f>
        <v>Male</v>
      </c>
      <c r="G506">
        <v>37</v>
      </c>
      <c r="H506">
        <v>0</v>
      </c>
      <c r="I506">
        <v>0</v>
      </c>
      <c r="J506">
        <v>1</v>
      </c>
      <c r="K506">
        <v>26.55</v>
      </c>
      <c r="L506">
        <f t="shared" si="36"/>
        <v>0</v>
      </c>
      <c r="M506">
        <f t="shared" si="37"/>
        <v>37</v>
      </c>
      <c r="N506" t="str">
        <f t="shared" si="38"/>
        <v>Adult</v>
      </c>
      <c r="O506">
        <f t="shared" si="39"/>
        <v>26.55</v>
      </c>
    </row>
    <row r="507" spans="1:15" x14ac:dyDescent="0.3">
      <c r="A507">
        <v>506</v>
      </c>
      <c r="B507">
        <v>0</v>
      </c>
      <c r="C507" t="str">
        <f t="shared" si="35"/>
        <v>No</v>
      </c>
      <c r="D507" t="s">
        <v>956</v>
      </c>
      <c r="E507" t="s">
        <v>1471</v>
      </c>
      <c r="F507" t="str" cm="1">
        <f t="array" ref="F507">IF(OR(COUNTIF(D507,"*"&amp;Preprocessing!$T$9:$T$15&amp;"*")),"Female","Male")</f>
        <v>Male</v>
      </c>
      <c r="G507">
        <v>28</v>
      </c>
      <c r="H507">
        <v>0</v>
      </c>
      <c r="I507">
        <v>0</v>
      </c>
      <c r="J507">
        <v>3</v>
      </c>
      <c r="K507">
        <v>22.524999999999999</v>
      </c>
      <c r="L507">
        <f t="shared" si="36"/>
        <v>0</v>
      </c>
      <c r="M507">
        <f t="shared" si="37"/>
        <v>28</v>
      </c>
      <c r="N507" t="str">
        <f t="shared" si="38"/>
        <v>Adult</v>
      </c>
      <c r="O507">
        <f t="shared" si="39"/>
        <v>22.53</v>
      </c>
    </row>
    <row r="508" spans="1:15" x14ac:dyDescent="0.3">
      <c r="A508">
        <v>507</v>
      </c>
      <c r="B508">
        <v>1</v>
      </c>
      <c r="C508" t="str">
        <f t="shared" si="35"/>
        <v>Yes</v>
      </c>
      <c r="D508" t="s">
        <v>956</v>
      </c>
      <c r="E508" t="s">
        <v>1472</v>
      </c>
      <c r="F508" t="str" cm="1">
        <f t="array" ref="F508">IF(OR(COUNTIF(D508,"*"&amp;Preprocessing!$T$9:$T$15&amp;"*")),"Female","Male")</f>
        <v>Male</v>
      </c>
      <c r="G508">
        <v>26</v>
      </c>
      <c r="H508">
        <v>0</v>
      </c>
      <c r="I508">
        <v>0</v>
      </c>
      <c r="J508">
        <v>3</v>
      </c>
      <c r="K508">
        <v>56.495800000000003</v>
      </c>
      <c r="L508">
        <f t="shared" si="36"/>
        <v>0</v>
      </c>
      <c r="M508">
        <f t="shared" si="37"/>
        <v>26</v>
      </c>
      <c r="N508" t="str">
        <f t="shared" si="38"/>
        <v>Adult</v>
      </c>
      <c r="O508">
        <f t="shared" si="39"/>
        <v>56.5</v>
      </c>
    </row>
    <row r="509" spans="1:15" x14ac:dyDescent="0.3">
      <c r="A509">
        <v>508</v>
      </c>
      <c r="B509">
        <v>1</v>
      </c>
      <c r="C509" t="str">
        <f t="shared" si="35"/>
        <v>Yes</v>
      </c>
      <c r="D509" t="s">
        <v>956</v>
      </c>
      <c r="E509" t="s">
        <v>1473</v>
      </c>
      <c r="F509" t="str" cm="1">
        <f t="array" ref="F509">IF(OR(COUNTIF(D509,"*"&amp;Preprocessing!$T$9:$T$15&amp;"*")),"Female","Male")</f>
        <v>Male</v>
      </c>
      <c r="G509">
        <v>29</v>
      </c>
      <c r="H509">
        <v>0</v>
      </c>
      <c r="I509">
        <v>0</v>
      </c>
      <c r="J509">
        <v>3</v>
      </c>
      <c r="K509">
        <v>7.75</v>
      </c>
      <c r="L509">
        <f t="shared" si="36"/>
        <v>0</v>
      </c>
      <c r="M509">
        <f t="shared" si="37"/>
        <v>29</v>
      </c>
      <c r="N509" t="str">
        <f t="shared" si="38"/>
        <v>Adult</v>
      </c>
      <c r="O509">
        <f t="shared" si="39"/>
        <v>7.75</v>
      </c>
    </row>
    <row r="510" spans="1:15" x14ac:dyDescent="0.3">
      <c r="A510">
        <v>509</v>
      </c>
      <c r="B510">
        <v>0</v>
      </c>
      <c r="C510" t="str">
        <f t="shared" si="35"/>
        <v>No</v>
      </c>
      <c r="D510" t="s">
        <v>956</v>
      </c>
      <c r="E510" t="s">
        <v>1474</v>
      </c>
      <c r="F510" t="str" cm="1">
        <f t="array" ref="F510">IF(OR(COUNTIF(D510,"*"&amp;Preprocessing!$T$9:$T$15&amp;"*")),"Female","Male")</f>
        <v>Male</v>
      </c>
      <c r="G510">
        <v>66</v>
      </c>
      <c r="H510">
        <v>0</v>
      </c>
      <c r="I510">
        <v>0</v>
      </c>
      <c r="J510">
        <v>3</v>
      </c>
      <c r="K510">
        <v>8.0500000000000007</v>
      </c>
      <c r="L510">
        <f t="shared" si="36"/>
        <v>0</v>
      </c>
      <c r="M510">
        <f t="shared" si="37"/>
        <v>66</v>
      </c>
      <c r="N510" t="str">
        <f t="shared" si="38"/>
        <v>Adult</v>
      </c>
      <c r="O510">
        <f t="shared" si="39"/>
        <v>8.0500000000000007</v>
      </c>
    </row>
    <row r="511" spans="1:15" x14ac:dyDescent="0.3">
      <c r="A511">
        <v>510</v>
      </c>
      <c r="B511">
        <v>1</v>
      </c>
      <c r="C511" t="str">
        <f t="shared" si="35"/>
        <v>Yes</v>
      </c>
      <c r="D511" t="s">
        <v>956</v>
      </c>
      <c r="E511" t="s">
        <v>1475</v>
      </c>
      <c r="F511" t="str" cm="1">
        <f t="array" ref="F511">IF(OR(COUNTIF(D511,"*"&amp;Preprocessing!$T$9:$T$15&amp;"*")),"Female","Male")</f>
        <v>Male</v>
      </c>
      <c r="G511">
        <v>36</v>
      </c>
      <c r="H511">
        <v>0</v>
      </c>
      <c r="I511">
        <v>0</v>
      </c>
      <c r="J511">
        <v>1</v>
      </c>
      <c r="K511">
        <v>26.287500000000001</v>
      </c>
      <c r="L511">
        <f t="shared" si="36"/>
        <v>0</v>
      </c>
      <c r="M511">
        <f t="shared" si="37"/>
        <v>36</v>
      </c>
      <c r="N511" t="str">
        <f t="shared" si="38"/>
        <v>Adult</v>
      </c>
      <c r="O511">
        <f t="shared" si="39"/>
        <v>26.29</v>
      </c>
    </row>
    <row r="512" spans="1:15" x14ac:dyDescent="0.3">
      <c r="A512">
        <v>511</v>
      </c>
      <c r="B512">
        <v>1</v>
      </c>
      <c r="C512" t="str">
        <f t="shared" si="35"/>
        <v>Yes</v>
      </c>
      <c r="D512" t="s">
        <v>958</v>
      </c>
      <c r="E512" t="s">
        <v>1476</v>
      </c>
      <c r="F512" t="str" cm="1">
        <f t="array" ref="F512">IF(OR(COUNTIF(D512,"*"&amp;Preprocessing!$T$9:$T$15&amp;"*")),"Female","Male")</f>
        <v>Female</v>
      </c>
      <c r="G512">
        <v>54</v>
      </c>
      <c r="H512">
        <v>1</v>
      </c>
      <c r="I512">
        <v>0</v>
      </c>
      <c r="J512">
        <v>1</v>
      </c>
      <c r="K512">
        <v>59.4</v>
      </c>
      <c r="L512">
        <f t="shared" si="36"/>
        <v>1</v>
      </c>
      <c r="M512">
        <f t="shared" si="37"/>
        <v>54</v>
      </c>
      <c r="N512" t="str">
        <f t="shared" si="38"/>
        <v>Adult</v>
      </c>
      <c r="O512">
        <f t="shared" si="39"/>
        <v>59.4</v>
      </c>
    </row>
    <row r="513" spans="1:15" x14ac:dyDescent="0.3">
      <c r="A513">
        <v>512</v>
      </c>
      <c r="B513">
        <v>0</v>
      </c>
      <c r="C513" t="str">
        <f t="shared" si="35"/>
        <v>No</v>
      </c>
      <c r="D513" t="s">
        <v>956</v>
      </c>
      <c r="E513" t="s">
        <v>1477</v>
      </c>
      <c r="F513" t="str" cm="1">
        <f t="array" ref="F513">IF(OR(COUNTIF(D513,"*"&amp;Preprocessing!$T$9:$T$15&amp;"*")),"Female","Male")</f>
        <v>Male</v>
      </c>
      <c r="G513">
        <v>24</v>
      </c>
      <c r="H513">
        <v>0</v>
      </c>
      <c r="I513">
        <v>0</v>
      </c>
      <c r="J513">
        <v>3</v>
      </c>
      <c r="K513">
        <v>7.4958</v>
      </c>
      <c r="L513">
        <f t="shared" si="36"/>
        <v>0</v>
      </c>
      <c r="M513">
        <f t="shared" si="37"/>
        <v>24</v>
      </c>
      <c r="N513" t="str">
        <f t="shared" si="38"/>
        <v>Adult</v>
      </c>
      <c r="O513">
        <f t="shared" si="39"/>
        <v>7.5</v>
      </c>
    </row>
    <row r="514" spans="1:15" x14ac:dyDescent="0.3">
      <c r="A514">
        <v>513</v>
      </c>
      <c r="B514">
        <v>0</v>
      </c>
      <c r="C514" t="str">
        <f t="shared" si="35"/>
        <v>No</v>
      </c>
      <c r="D514" t="s">
        <v>956</v>
      </c>
      <c r="E514" t="s">
        <v>1478</v>
      </c>
      <c r="F514" t="str" cm="1">
        <f t="array" ref="F514">IF(OR(COUNTIF(D514,"*"&amp;Preprocessing!$T$9:$T$15&amp;"*")),"Female","Male")</f>
        <v>Male</v>
      </c>
      <c r="G514">
        <v>47</v>
      </c>
      <c r="H514">
        <v>0</v>
      </c>
      <c r="I514">
        <v>0</v>
      </c>
      <c r="J514">
        <v>1</v>
      </c>
      <c r="K514">
        <v>34.020800000000001</v>
      </c>
      <c r="L514">
        <f t="shared" si="36"/>
        <v>0</v>
      </c>
      <c r="M514">
        <f t="shared" si="37"/>
        <v>47</v>
      </c>
      <c r="N514" t="str">
        <f t="shared" si="38"/>
        <v>Adult</v>
      </c>
      <c r="O514">
        <f t="shared" si="39"/>
        <v>34.020000000000003</v>
      </c>
    </row>
    <row r="515" spans="1:15" x14ac:dyDescent="0.3">
      <c r="A515">
        <v>514</v>
      </c>
      <c r="B515">
        <v>1</v>
      </c>
      <c r="C515" t="str">
        <f t="shared" ref="C515:C578" si="40">IF(B515=0,"No","Yes")</f>
        <v>Yes</v>
      </c>
      <c r="D515" t="s">
        <v>958</v>
      </c>
      <c r="E515" t="s">
        <v>1479</v>
      </c>
      <c r="F515" t="str" cm="1">
        <f t="array" ref="F515">IF(OR(COUNTIF(D515,"*"&amp;Preprocessing!$T$9:$T$15&amp;"*")),"Female","Male")</f>
        <v>Female</v>
      </c>
      <c r="G515">
        <v>34</v>
      </c>
      <c r="H515">
        <v>0</v>
      </c>
      <c r="I515">
        <v>0</v>
      </c>
      <c r="J515">
        <v>2</v>
      </c>
      <c r="K515">
        <v>10.5</v>
      </c>
      <c r="L515">
        <f t="shared" ref="L515:L578" si="41">IF(F515 = "Male", 0, 1)</f>
        <v>1</v>
      </c>
      <c r="M515">
        <f t="shared" ref="M515:M578" si="42">ROUND(G515, 0)</f>
        <v>34</v>
      </c>
      <c r="N515" t="str">
        <f t="shared" ref="N515:N578" si="43">IF(G515&lt;=16,"Child","Adult")</f>
        <v>Adult</v>
      </c>
      <c r="O515">
        <f t="shared" ref="O515:O578" si="44">ROUND(K515, 2)</f>
        <v>10.5</v>
      </c>
    </row>
    <row r="516" spans="1:15" x14ac:dyDescent="0.3">
      <c r="A516">
        <v>515</v>
      </c>
      <c r="B516">
        <v>0</v>
      </c>
      <c r="C516" t="str">
        <f t="shared" si="40"/>
        <v>No</v>
      </c>
      <c r="D516" t="s">
        <v>956</v>
      </c>
      <c r="E516" t="s">
        <v>1480</v>
      </c>
      <c r="F516" t="str" cm="1">
        <f t="array" ref="F516">IF(OR(COUNTIF(D516,"*"&amp;Preprocessing!$T$9:$T$15&amp;"*")),"Female","Male")</f>
        <v>Male</v>
      </c>
      <c r="G516">
        <v>30</v>
      </c>
      <c r="H516">
        <v>0</v>
      </c>
      <c r="I516">
        <v>0</v>
      </c>
      <c r="J516">
        <v>3</v>
      </c>
      <c r="K516">
        <v>24.15</v>
      </c>
      <c r="L516">
        <f t="shared" si="41"/>
        <v>0</v>
      </c>
      <c r="M516">
        <f t="shared" si="42"/>
        <v>30</v>
      </c>
      <c r="N516" t="str">
        <f t="shared" si="43"/>
        <v>Adult</v>
      </c>
      <c r="O516">
        <f t="shared" si="44"/>
        <v>24.15</v>
      </c>
    </row>
    <row r="517" spans="1:15" x14ac:dyDescent="0.3">
      <c r="A517">
        <v>516</v>
      </c>
      <c r="B517">
        <v>1</v>
      </c>
      <c r="C517" t="str">
        <f t="shared" si="40"/>
        <v>Yes</v>
      </c>
      <c r="D517" t="s">
        <v>958</v>
      </c>
      <c r="E517" t="s">
        <v>1481</v>
      </c>
      <c r="F517" t="str" cm="1">
        <f t="array" ref="F517">IF(OR(COUNTIF(D517,"*"&amp;Preprocessing!$T$9:$T$15&amp;"*")),"Female","Male")</f>
        <v>Female</v>
      </c>
      <c r="G517">
        <v>36</v>
      </c>
      <c r="H517">
        <v>1</v>
      </c>
      <c r="I517">
        <v>0</v>
      </c>
      <c r="J517">
        <v>2</v>
      </c>
      <c r="K517">
        <v>26</v>
      </c>
      <c r="L517">
        <f t="shared" si="41"/>
        <v>1</v>
      </c>
      <c r="M517">
        <f t="shared" si="42"/>
        <v>36</v>
      </c>
      <c r="N517" t="str">
        <f t="shared" si="43"/>
        <v>Adult</v>
      </c>
      <c r="O517">
        <f t="shared" si="44"/>
        <v>26</v>
      </c>
    </row>
    <row r="518" spans="1:15" x14ac:dyDescent="0.3">
      <c r="A518">
        <v>517</v>
      </c>
      <c r="B518">
        <v>0</v>
      </c>
      <c r="C518" t="str">
        <f t="shared" si="40"/>
        <v>No</v>
      </c>
      <c r="D518" t="s">
        <v>956</v>
      </c>
      <c r="E518" t="s">
        <v>1482</v>
      </c>
      <c r="F518" t="str" cm="1">
        <f t="array" ref="F518">IF(OR(COUNTIF(D518,"*"&amp;Preprocessing!$T$9:$T$15&amp;"*")),"Female","Male")</f>
        <v>Male</v>
      </c>
      <c r="G518">
        <v>32</v>
      </c>
      <c r="H518">
        <v>0</v>
      </c>
      <c r="I518">
        <v>0</v>
      </c>
      <c r="J518">
        <v>3</v>
      </c>
      <c r="K518">
        <v>7.8958000000000004</v>
      </c>
      <c r="L518">
        <f t="shared" si="41"/>
        <v>0</v>
      </c>
      <c r="M518">
        <f t="shared" si="42"/>
        <v>32</v>
      </c>
      <c r="N518" t="str">
        <f t="shared" si="43"/>
        <v>Adult</v>
      </c>
      <c r="O518">
        <f t="shared" si="44"/>
        <v>7.9</v>
      </c>
    </row>
    <row r="519" spans="1:15" x14ac:dyDescent="0.3">
      <c r="A519">
        <v>518</v>
      </c>
      <c r="B519">
        <v>1</v>
      </c>
      <c r="C519" t="str">
        <f t="shared" si="40"/>
        <v>Yes</v>
      </c>
      <c r="D519" t="s">
        <v>960</v>
      </c>
      <c r="E519" t="s">
        <v>1483</v>
      </c>
      <c r="F519" t="str" cm="1">
        <f t="array" ref="F519">IF(OR(COUNTIF(D519,"*"&amp;Preprocessing!$T$9:$T$15&amp;"*")),"Female","Male")</f>
        <v>Female</v>
      </c>
      <c r="G519">
        <v>30</v>
      </c>
      <c r="H519">
        <v>0</v>
      </c>
      <c r="I519">
        <v>0</v>
      </c>
      <c r="J519">
        <v>1</v>
      </c>
      <c r="K519">
        <v>93.5</v>
      </c>
      <c r="L519">
        <f t="shared" si="41"/>
        <v>1</v>
      </c>
      <c r="M519">
        <f t="shared" si="42"/>
        <v>30</v>
      </c>
      <c r="N519" t="str">
        <f t="shared" si="43"/>
        <v>Adult</v>
      </c>
      <c r="O519">
        <f t="shared" si="44"/>
        <v>93.5</v>
      </c>
    </row>
    <row r="520" spans="1:15" x14ac:dyDescent="0.3">
      <c r="A520">
        <v>519</v>
      </c>
      <c r="B520">
        <v>0</v>
      </c>
      <c r="C520" t="str">
        <f t="shared" si="40"/>
        <v>No</v>
      </c>
      <c r="D520" t="s">
        <v>956</v>
      </c>
      <c r="E520" t="s">
        <v>1484</v>
      </c>
      <c r="F520" t="str" cm="1">
        <f t="array" ref="F520">IF(OR(COUNTIF(D520,"*"&amp;Preprocessing!$T$9:$T$15&amp;"*")),"Female","Male")</f>
        <v>Male</v>
      </c>
      <c r="G520">
        <v>22</v>
      </c>
      <c r="H520">
        <v>0</v>
      </c>
      <c r="I520">
        <v>0</v>
      </c>
      <c r="J520">
        <v>3</v>
      </c>
      <c r="K520">
        <v>7.8958000000000004</v>
      </c>
      <c r="L520">
        <f t="shared" si="41"/>
        <v>0</v>
      </c>
      <c r="M520">
        <f t="shared" si="42"/>
        <v>22</v>
      </c>
      <c r="N520" t="str">
        <f t="shared" si="43"/>
        <v>Adult</v>
      </c>
      <c r="O520">
        <f t="shared" si="44"/>
        <v>7.9</v>
      </c>
    </row>
    <row r="521" spans="1:15" x14ac:dyDescent="0.3">
      <c r="A521">
        <v>520</v>
      </c>
      <c r="B521">
        <v>0</v>
      </c>
      <c r="C521" t="str">
        <f t="shared" si="40"/>
        <v>No</v>
      </c>
      <c r="D521" t="s">
        <v>956</v>
      </c>
      <c r="E521" t="s">
        <v>1485</v>
      </c>
      <c r="F521" t="str" cm="1">
        <f t="array" ref="F521">IF(OR(COUNTIF(D521,"*"&amp;Preprocessing!$T$9:$T$15&amp;"*")),"Female","Male")</f>
        <v>Male</v>
      </c>
      <c r="G521">
        <v>35</v>
      </c>
      <c r="H521">
        <v>0</v>
      </c>
      <c r="I521">
        <v>0</v>
      </c>
      <c r="J521">
        <v>3</v>
      </c>
      <c r="K521">
        <v>7.2249999999999996</v>
      </c>
      <c r="L521">
        <f t="shared" si="41"/>
        <v>0</v>
      </c>
      <c r="M521">
        <f t="shared" si="42"/>
        <v>35</v>
      </c>
      <c r="N521" t="str">
        <f t="shared" si="43"/>
        <v>Adult</v>
      </c>
      <c r="O521">
        <f t="shared" si="44"/>
        <v>7.23</v>
      </c>
    </row>
    <row r="522" spans="1:15" x14ac:dyDescent="0.3">
      <c r="A522">
        <v>521</v>
      </c>
      <c r="B522">
        <v>1</v>
      </c>
      <c r="C522" t="str">
        <f t="shared" si="40"/>
        <v>Yes</v>
      </c>
      <c r="D522" t="s">
        <v>958</v>
      </c>
      <c r="E522" t="s">
        <v>1486</v>
      </c>
      <c r="F522" t="str" cm="1">
        <f t="array" ref="F522">IF(OR(COUNTIF(D522,"*"&amp;Preprocessing!$T$9:$T$15&amp;"*")),"Female","Male")</f>
        <v>Female</v>
      </c>
      <c r="G522">
        <v>44</v>
      </c>
      <c r="H522">
        <v>0</v>
      </c>
      <c r="I522">
        <v>1</v>
      </c>
      <c r="J522">
        <v>1</v>
      </c>
      <c r="K522">
        <v>57.979199999999999</v>
      </c>
      <c r="L522">
        <f t="shared" si="41"/>
        <v>1</v>
      </c>
      <c r="M522">
        <f t="shared" si="42"/>
        <v>44</v>
      </c>
      <c r="N522" t="str">
        <f t="shared" si="43"/>
        <v>Adult</v>
      </c>
      <c r="O522">
        <f t="shared" si="44"/>
        <v>57.98</v>
      </c>
    </row>
    <row r="523" spans="1:15" x14ac:dyDescent="0.3">
      <c r="A523">
        <v>522</v>
      </c>
      <c r="B523">
        <v>0</v>
      </c>
      <c r="C523" t="str">
        <f t="shared" si="40"/>
        <v>No</v>
      </c>
      <c r="D523" t="s">
        <v>956</v>
      </c>
      <c r="E523" t="s">
        <v>1487</v>
      </c>
      <c r="F523" t="str" cm="1">
        <f t="array" ref="F523">IF(OR(COUNTIF(D523,"*"&amp;Preprocessing!$T$9:$T$15&amp;"*")),"Female","Male")</f>
        <v>Male</v>
      </c>
      <c r="G523">
        <v>18</v>
      </c>
      <c r="H523">
        <v>0</v>
      </c>
      <c r="I523">
        <v>0</v>
      </c>
      <c r="J523">
        <v>3</v>
      </c>
      <c r="K523">
        <v>7.2291999999999996</v>
      </c>
      <c r="L523">
        <f t="shared" si="41"/>
        <v>0</v>
      </c>
      <c r="M523">
        <f t="shared" si="42"/>
        <v>18</v>
      </c>
      <c r="N523" t="str">
        <f t="shared" si="43"/>
        <v>Adult</v>
      </c>
      <c r="O523">
        <f t="shared" si="44"/>
        <v>7.23</v>
      </c>
    </row>
    <row r="524" spans="1:15" x14ac:dyDescent="0.3">
      <c r="A524">
        <v>523</v>
      </c>
      <c r="B524">
        <v>0</v>
      </c>
      <c r="C524" t="str">
        <f t="shared" si="40"/>
        <v>No</v>
      </c>
      <c r="D524" t="s">
        <v>956</v>
      </c>
      <c r="E524" t="s">
        <v>1488</v>
      </c>
      <c r="F524" t="str" cm="1">
        <f t="array" ref="F524">IF(OR(COUNTIF(D524,"*"&amp;Preprocessing!$T$9:$T$15&amp;"*")),"Female","Male")</f>
        <v>Male</v>
      </c>
      <c r="G524">
        <v>40.5</v>
      </c>
      <c r="H524">
        <v>0</v>
      </c>
      <c r="I524">
        <v>0</v>
      </c>
      <c r="J524">
        <v>3</v>
      </c>
      <c r="K524">
        <v>7.75</v>
      </c>
      <c r="L524">
        <f t="shared" si="41"/>
        <v>0</v>
      </c>
      <c r="M524">
        <f t="shared" si="42"/>
        <v>41</v>
      </c>
      <c r="N524" t="str">
        <f t="shared" si="43"/>
        <v>Adult</v>
      </c>
      <c r="O524">
        <f t="shared" si="44"/>
        <v>7.75</v>
      </c>
    </row>
    <row r="525" spans="1:15" x14ac:dyDescent="0.3">
      <c r="A525">
        <v>524</v>
      </c>
      <c r="B525">
        <v>1</v>
      </c>
      <c r="C525" t="str">
        <f t="shared" si="40"/>
        <v>Yes</v>
      </c>
      <c r="D525" t="s">
        <v>960</v>
      </c>
      <c r="E525" t="s">
        <v>1489</v>
      </c>
      <c r="F525" t="str" cm="1">
        <f t="array" ref="F525">IF(OR(COUNTIF(D525,"*"&amp;Preprocessing!$T$9:$T$15&amp;"*")),"Female","Male")</f>
        <v>Female</v>
      </c>
      <c r="G525">
        <v>50</v>
      </c>
      <c r="H525">
        <v>0</v>
      </c>
      <c r="I525">
        <v>0</v>
      </c>
      <c r="J525">
        <v>2</v>
      </c>
      <c r="K525">
        <v>10.5</v>
      </c>
      <c r="L525">
        <f t="shared" si="41"/>
        <v>1</v>
      </c>
      <c r="M525">
        <f t="shared" si="42"/>
        <v>50</v>
      </c>
      <c r="N525" t="str">
        <f t="shared" si="43"/>
        <v>Adult</v>
      </c>
      <c r="O525">
        <f t="shared" si="44"/>
        <v>10.5</v>
      </c>
    </row>
    <row r="526" spans="1:15" x14ac:dyDescent="0.3">
      <c r="A526">
        <v>525</v>
      </c>
      <c r="B526">
        <v>0</v>
      </c>
      <c r="C526" t="str">
        <f t="shared" si="40"/>
        <v>No</v>
      </c>
      <c r="D526" t="s">
        <v>956</v>
      </c>
      <c r="E526" t="s">
        <v>1490</v>
      </c>
      <c r="F526" t="str" cm="1">
        <f t="array" ref="F526">IF(OR(COUNTIF(D526,"*"&amp;Preprocessing!$T$9:$T$15&amp;"*")),"Female","Male")</f>
        <v>Male</v>
      </c>
      <c r="G526">
        <v>49</v>
      </c>
      <c r="H526">
        <v>0</v>
      </c>
      <c r="I526">
        <v>0</v>
      </c>
      <c r="J526">
        <v>1</v>
      </c>
      <c r="K526">
        <v>221.7792</v>
      </c>
      <c r="L526">
        <f t="shared" si="41"/>
        <v>0</v>
      </c>
      <c r="M526">
        <f t="shared" si="42"/>
        <v>49</v>
      </c>
      <c r="N526" t="str">
        <f t="shared" si="43"/>
        <v>Adult</v>
      </c>
      <c r="O526">
        <f t="shared" si="44"/>
        <v>221.78</v>
      </c>
    </row>
    <row r="527" spans="1:15" x14ac:dyDescent="0.3">
      <c r="A527">
        <v>526</v>
      </c>
      <c r="B527">
        <v>0</v>
      </c>
      <c r="C527" t="str">
        <f t="shared" si="40"/>
        <v>No</v>
      </c>
      <c r="D527" t="s">
        <v>956</v>
      </c>
      <c r="E527" t="s">
        <v>1491</v>
      </c>
      <c r="F527" t="str" cm="1">
        <f t="array" ref="F527">IF(OR(COUNTIF(D527,"*"&amp;Preprocessing!$T$9:$T$15&amp;"*")),"Female","Male")</f>
        <v>Male</v>
      </c>
      <c r="G527">
        <v>39</v>
      </c>
      <c r="H527">
        <v>0</v>
      </c>
      <c r="I527">
        <v>0</v>
      </c>
      <c r="J527">
        <v>3</v>
      </c>
      <c r="K527">
        <v>7.9249999999999998</v>
      </c>
      <c r="L527">
        <f t="shared" si="41"/>
        <v>0</v>
      </c>
      <c r="M527">
        <f t="shared" si="42"/>
        <v>39</v>
      </c>
      <c r="N527" t="str">
        <f t="shared" si="43"/>
        <v>Adult</v>
      </c>
      <c r="O527">
        <f t="shared" si="44"/>
        <v>7.93</v>
      </c>
    </row>
    <row r="528" spans="1:15" x14ac:dyDescent="0.3">
      <c r="A528">
        <v>527</v>
      </c>
      <c r="B528">
        <v>0</v>
      </c>
      <c r="C528" t="str">
        <f t="shared" si="40"/>
        <v>No</v>
      </c>
      <c r="D528" t="s">
        <v>956</v>
      </c>
      <c r="E528" t="s">
        <v>1492</v>
      </c>
      <c r="F528" t="str" cm="1">
        <f t="array" ref="F528">IF(OR(COUNTIF(D528,"*"&amp;Preprocessing!$T$9:$T$15&amp;"*")),"Female","Male")</f>
        <v>Male</v>
      </c>
      <c r="G528">
        <v>23</v>
      </c>
      <c r="H528">
        <v>2</v>
      </c>
      <c r="I528">
        <v>1</v>
      </c>
      <c r="J528">
        <v>2</v>
      </c>
      <c r="K528">
        <v>11.5</v>
      </c>
      <c r="L528">
        <f t="shared" si="41"/>
        <v>0</v>
      </c>
      <c r="M528">
        <f t="shared" si="42"/>
        <v>23</v>
      </c>
      <c r="N528" t="str">
        <f t="shared" si="43"/>
        <v>Adult</v>
      </c>
      <c r="O528">
        <f t="shared" si="44"/>
        <v>11.5</v>
      </c>
    </row>
    <row r="529" spans="1:15" x14ac:dyDescent="0.3">
      <c r="A529">
        <v>528</v>
      </c>
      <c r="B529">
        <v>1</v>
      </c>
      <c r="C529" t="str">
        <f t="shared" si="40"/>
        <v>Yes</v>
      </c>
      <c r="D529" t="s">
        <v>960</v>
      </c>
      <c r="E529" t="s">
        <v>1493</v>
      </c>
      <c r="F529" t="str" cm="1">
        <f t="array" ref="F529">IF(OR(COUNTIF(D529,"*"&amp;Preprocessing!$T$9:$T$15&amp;"*")),"Female","Male")</f>
        <v>Female</v>
      </c>
      <c r="G529">
        <v>2</v>
      </c>
      <c r="H529">
        <v>1</v>
      </c>
      <c r="I529">
        <v>1</v>
      </c>
      <c r="J529">
        <v>2</v>
      </c>
      <c r="K529">
        <v>26</v>
      </c>
      <c r="L529">
        <f t="shared" si="41"/>
        <v>1</v>
      </c>
      <c r="M529">
        <f t="shared" si="42"/>
        <v>2</v>
      </c>
      <c r="N529" t="str">
        <f t="shared" si="43"/>
        <v>Child</v>
      </c>
      <c r="O529">
        <f t="shared" si="44"/>
        <v>26</v>
      </c>
    </row>
    <row r="530" spans="1:15" x14ac:dyDescent="0.3">
      <c r="A530">
        <v>529</v>
      </c>
      <c r="B530">
        <v>0</v>
      </c>
      <c r="C530" t="str">
        <f t="shared" si="40"/>
        <v>No</v>
      </c>
      <c r="D530" t="s">
        <v>956</v>
      </c>
      <c r="E530" t="s">
        <v>1494</v>
      </c>
      <c r="F530" t="str" cm="1">
        <f t="array" ref="F530">IF(OR(COUNTIF(D530,"*"&amp;Preprocessing!$T$9:$T$15&amp;"*")),"Female","Male")</f>
        <v>Male</v>
      </c>
      <c r="G530">
        <v>17</v>
      </c>
      <c r="H530">
        <v>0</v>
      </c>
      <c r="I530">
        <v>0</v>
      </c>
      <c r="J530">
        <v>3</v>
      </c>
      <c r="K530">
        <v>7.2291999999999996</v>
      </c>
      <c r="L530">
        <f t="shared" si="41"/>
        <v>0</v>
      </c>
      <c r="M530">
        <f t="shared" si="42"/>
        <v>17</v>
      </c>
      <c r="N530" t="str">
        <f t="shared" si="43"/>
        <v>Adult</v>
      </c>
      <c r="O530">
        <f t="shared" si="44"/>
        <v>7.23</v>
      </c>
    </row>
    <row r="531" spans="1:15" x14ac:dyDescent="0.3">
      <c r="A531">
        <v>530</v>
      </c>
      <c r="B531">
        <v>0</v>
      </c>
      <c r="C531" t="str">
        <f t="shared" si="40"/>
        <v>No</v>
      </c>
      <c r="D531" t="s">
        <v>956</v>
      </c>
      <c r="E531" t="s">
        <v>1495</v>
      </c>
      <c r="F531" t="str" cm="1">
        <f t="array" ref="F531">IF(OR(COUNTIF(D531,"*"&amp;Preprocessing!$T$9:$T$15&amp;"*")),"Female","Male")</f>
        <v>Male</v>
      </c>
      <c r="G531">
        <v>17</v>
      </c>
      <c r="H531">
        <v>1</v>
      </c>
      <c r="I531">
        <v>1</v>
      </c>
      <c r="J531">
        <v>3</v>
      </c>
      <c r="K531">
        <v>7.2291999999999996</v>
      </c>
      <c r="L531">
        <f t="shared" si="41"/>
        <v>0</v>
      </c>
      <c r="M531">
        <f t="shared" si="42"/>
        <v>17</v>
      </c>
      <c r="N531" t="str">
        <f t="shared" si="43"/>
        <v>Adult</v>
      </c>
      <c r="O531">
        <f t="shared" si="44"/>
        <v>7.23</v>
      </c>
    </row>
    <row r="532" spans="1:15" x14ac:dyDescent="0.3">
      <c r="A532">
        <v>531</v>
      </c>
      <c r="B532">
        <v>1</v>
      </c>
      <c r="C532" t="str">
        <f t="shared" si="40"/>
        <v>Yes</v>
      </c>
      <c r="D532" t="s">
        <v>958</v>
      </c>
      <c r="E532" t="s">
        <v>1496</v>
      </c>
      <c r="F532" t="str" cm="1">
        <f t="array" ref="F532">IF(OR(COUNTIF(D532,"*"&amp;Preprocessing!$T$9:$T$15&amp;"*")),"Female","Male")</f>
        <v>Female</v>
      </c>
      <c r="G532">
        <v>24</v>
      </c>
      <c r="H532">
        <v>0</v>
      </c>
      <c r="I532">
        <v>2</v>
      </c>
      <c r="J532">
        <v>3</v>
      </c>
      <c r="K532">
        <v>22.3583</v>
      </c>
      <c r="L532">
        <f t="shared" si="41"/>
        <v>1</v>
      </c>
      <c r="M532">
        <f t="shared" si="42"/>
        <v>24</v>
      </c>
      <c r="N532" t="str">
        <f t="shared" si="43"/>
        <v>Adult</v>
      </c>
      <c r="O532">
        <f t="shared" si="44"/>
        <v>22.36</v>
      </c>
    </row>
    <row r="533" spans="1:15" x14ac:dyDescent="0.3">
      <c r="A533">
        <v>532</v>
      </c>
      <c r="B533">
        <v>0</v>
      </c>
      <c r="C533" t="str">
        <f t="shared" si="40"/>
        <v>No</v>
      </c>
      <c r="D533" t="s">
        <v>960</v>
      </c>
      <c r="E533" t="s">
        <v>1497</v>
      </c>
      <c r="F533" t="str" cm="1">
        <f t="array" ref="F533">IF(OR(COUNTIF(D533,"*"&amp;Preprocessing!$T$9:$T$15&amp;"*")),"Female","Male")</f>
        <v>Female</v>
      </c>
      <c r="G533">
        <v>30</v>
      </c>
      <c r="H533">
        <v>0</v>
      </c>
      <c r="I533">
        <v>0</v>
      </c>
      <c r="J533">
        <v>3</v>
      </c>
      <c r="K533">
        <v>8.6624999999999996</v>
      </c>
      <c r="L533">
        <f t="shared" si="41"/>
        <v>1</v>
      </c>
      <c r="M533">
        <f t="shared" si="42"/>
        <v>30</v>
      </c>
      <c r="N533" t="str">
        <f t="shared" si="43"/>
        <v>Adult</v>
      </c>
      <c r="O533">
        <f t="shared" si="44"/>
        <v>8.66</v>
      </c>
    </row>
    <row r="534" spans="1:15" x14ac:dyDescent="0.3">
      <c r="A534">
        <v>533</v>
      </c>
      <c r="B534">
        <v>1</v>
      </c>
      <c r="C534" t="str">
        <f t="shared" si="40"/>
        <v>Yes</v>
      </c>
      <c r="D534" t="s">
        <v>960</v>
      </c>
      <c r="E534" t="s">
        <v>1498</v>
      </c>
      <c r="F534" t="str" cm="1">
        <f t="array" ref="F534">IF(OR(COUNTIF(D534,"*"&amp;Preprocessing!$T$9:$T$15&amp;"*")),"Female","Male")</f>
        <v>Female</v>
      </c>
      <c r="G534">
        <v>7</v>
      </c>
      <c r="H534">
        <v>0</v>
      </c>
      <c r="I534">
        <v>2</v>
      </c>
      <c r="J534">
        <v>2</v>
      </c>
      <c r="K534">
        <v>26.25</v>
      </c>
      <c r="L534">
        <f t="shared" si="41"/>
        <v>1</v>
      </c>
      <c r="M534">
        <f t="shared" si="42"/>
        <v>7</v>
      </c>
      <c r="N534" t="str">
        <f t="shared" si="43"/>
        <v>Child</v>
      </c>
      <c r="O534">
        <f t="shared" si="44"/>
        <v>26.25</v>
      </c>
    </row>
    <row r="535" spans="1:15" x14ac:dyDescent="0.3">
      <c r="A535">
        <v>534</v>
      </c>
      <c r="B535">
        <v>0</v>
      </c>
      <c r="C535" t="str">
        <f t="shared" si="40"/>
        <v>No</v>
      </c>
      <c r="D535" t="s">
        <v>1411</v>
      </c>
      <c r="E535" t="s">
        <v>1499</v>
      </c>
      <c r="F535" t="str" cm="1">
        <f t="array" ref="F535">IF(OR(COUNTIF(D535,"*"&amp;Preprocessing!$T$9:$T$15&amp;"*")),"Female","Male")</f>
        <v>Male</v>
      </c>
      <c r="G535">
        <v>45</v>
      </c>
      <c r="H535">
        <v>0</v>
      </c>
      <c r="I535">
        <v>0</v>
      </c>
      <c r="J535">
        <v>1</v>
      </c>
      <c r="K535">
        <v>26.55</v>
      </c>
      <c r="L535">
        <f t="shared" si="41"/>
        <v>0</v>
      </c>
      <c r="M535">
        <f t="shared" si="42"/>
        <v>45</v>
      </c>
      <c r="N535" t="str">
        <f t="shared" si="43"/>
        <v>Adult</v>
      </c>
      <c r="O535">
        <f t="shared" si="44"/>
        <v>26.55</v>
      </c>
    </row>
    <row r="536" spans="1:15" x14ac:dyDescent="0.3">
      <c r="A536">
        <v>535</v>
      </c>
      <c r="B536">
        <v>1</v>
      </c>
      <c r="C536" t="str">
        <f t="shared" si="40"/>
        <v>Yes</v>
      </c>
      <c r="D536" t="s">
        <v>960</v>
      </c>
      <c r="E536" t="s">
        <v>1500</v>
      </c>
      <c r="F536" t="str" cm="1">
        <f t="array" ref="F536">IF(OR(COUNTIF(D536,"*"&amp;Preprocessing!$T$9:$T$15&amp;"*")),"Female","Male")</f>
        <v>Female</v>
      </c>
      <c r="G536">
        <v>30</v>
      </c>
      <c r="H536">
        <v>0</v>
      </c>
      <c r="I536">
        <v>0</v>
      </c>
      <c r="J536">
        <v>1</v>
      </c>
      <c r="K536">
        <v>106.425</v>
      </c>
      <c r="L536">
        <f t="shared" si="41"/>
        <v>1</v>
      </c>
      <c r="M536">
        <f t="shared" si="42"/>
        <v>30</v>
      </c>
      <c r="N536" t="str">
        <f t="shared" si="43"/>
        <v>Adult</v>
      </c>
      <c r="O536">
        <f t="shared" si="44"/>
        <v>106.43</v>
      </c>
    </row>
    <row r="537" spans="1:15" x14ac:dyDescent="0.3">
      <c r="A537">
        <v>536</v>
      </c>
      <c r="B537">
        <v>0</v>
      </c>
      <c r="C537" t="str">
        <f t="shared" si="40"/>
        <v>No</v>
      </c>
      <c r="D537" t="s">
        <v>956</v>
      </c>
      <c r="E537" t="s">
        <v>1501</v>
      </c>
      <c r="F537" t="str" cm="1">
        <f t="array" ref="F537">IF(OR(COUNTIF(D537,"*"&amp;Preprocessing!$T$9:$T$15&amp;"*")),"Female","Male")</f>
        <v>Male</v>
      </c>
      <c r="G537">
        <v>69</v>
      </c>
      <c r="H537">
        <v>0</v>
      </c>
      <c r="I537">
        <v>0</v>
      </c>
      <c r="J537">
        <v>3</v>
      </c>
      <c r="K537">
        <v>14.5</v>
      </c>
      <c r="L537">
        <f t="shared" si="41"/>
        <v>0</v>
      </c>
      <c r="M537">
        <f t="shared" si="42"/>
        <v>69</v>
      </c>
      <c r="N537" t="str">
        <f t="shared" si="43"/>
        <v>Adult</v>
      </c>
      <c r="O537">
        <f t="shared" si="44"/>
        <v>14.5</v>
      </c>
    </row>
    <row r="538" spans="1:15" x14ac:dyDescent="0.3">
      <c r="A538">
        <v>537</v>
      </c>
      <c r="B538">
        <v>1</v>
      </c>
      <c r="C538" t="str">
        <f t="shared" si="40"/>
        <v>Yes</v>
      </c>
      <c r="D538" t="s">
        <v>960</v>
      </c>
      <c r="E538" t="s">
        <v>1502</v>
      </c>
      <c r="F538" t="str" cm="1">
        <f t="array" ref="F538">IF(OR(COUNTIF(D538,"*"&amp;Preprocessing!$T$9:$T$15&amp;"*")),"Female","Male")</f>
        <v>Female</v>
      </c>
      <c r="G538">
        <v>22</v>
      </c>
      <c r="H538">
        <v>0</v>
      </c>
      <c r="I538">
        <v>2</v>
      </c>
      <c r="J538">
        <v>1</v>
      </c>
      <c r="K538">
        <v>49.5</v>
      </c>
      <c r="L538">
        <f t="shared" si="41"/>
        <v>1</v>
      </c>
      <c r="M538">
        <f t="shared" si="42"/>
        <v>22</v>
      </c>
      <c r="N538" t="str">
        <f t="shared" si="43"/>
        <v>Adult</v>
      </c>
      <c r="O538">
        <f t="shared" si="44"/>
        <v>49.5</v>
      </c>
    </row>
    <row r="539" spans="1:15" x14ac:dyDescent="0.3">
      <c r="A539">
        <v>538</v>
      </c>
      <c r="B539">
        <v>1</v>
      </c>
      <c r="C539" t="str">
        <f t="shared" si="40"/>
        <v>Yes</v>
      </c>
      <c r="D539" t="s">
        <v>960</v>
      </c>
      <c r="E539" t="s">
        <v>1503</v>
      </c>
      <c r="F539" t="str" cm="1">
        <f t="array" ref="F539">IF(OR(COUNTIF(D539,"*"&amp;Preprocessing!$T$9:$T$15&amp;"*")),"Female","Male")</f>
        <v>Female</v>
      </c>
      <c r="G539">
        <v>36</v>
      </c>
      <c r="H539">
        <v>0</v>
      </c>
      <c r="I539">
        <v>2</v>
      </c>
      <c r="J539">
        <v>1</v>
      </c>
      <c r="K539">
        <v>71</v>
      </c>
      <c r="L539">
        <f t="shared" si="41"/>
        <v>1</v>
      </c>
      <c r="M539">
        <f t="shared" si="42"/>
        <v>36</v>
      </c>
      <c r="N539" t="str">
        <f t="shared" si="43"/>
        <v>Adult</v>
      </c>
      <c r="O539">
        <f t="shared" si="44"/>
        <v>71</v>
      </c>
    </row>
    <row r="540" spans="1:15" x14ac:dyDescent="0.3">
      <c r="A540">
        <v>539</v>
      </c>
      <c r="B540">
        <v>0</v>
      </c>
      <c r="C540" t="str">
        <f t="shared" si="40"/>
        <v>No</v>
      </c>
      <c r="D540" t="s">
        <v>960</v>
      </c>
      <c r="E540" t="s">
        <v>1504</v>
      </c>
      <c r="F540" t="str" cm="1">
        <f t="array" ref="F540">IF(OR(COUNTIF(D540,"*"&amp;Preprocessing!$T$9:$T$15&amp;"*")),"Female","Male")</f>
        <v>Female</v>
      </c>
      <c r="G540">
        <v>9</v>
      </c>
      <c r="H540">
        <v>4</v>
      </c>
      <c r="I540">
        <v>2</v>
      </c>
      <c r="J540">
        <v>3</v>
      </c>
      <c r="K540">
        <v>31.274999999999999</v>
      </c>
      <c r="L540">
        <f t="shared" si="41"/>
        <v>1</v>
      </c>
      <c r="M540">
        <f t="shared" si="42"/>
        <v>9</v>
      </c>
      <c r="N540" t="str">
        <f t="shared" si="43"/>
        <v>Child</v>
      </c>
      <c r="O540">
        <f t="shared" si="44"/>
        <v>31.28</v>
      </c>
    </row>
    <row r="541" spans="1:15" x14ac:dyDescent="0.3">
      <c r="A541">
        <v>540</v>
      </c>
      <c r="B541">
        <v>0</v>
      </c>
      <c r="C541" t="str">
        <f t="shared" si="40"/>
        <v>No</v>
      </c>
      <c r="D541" t="s">
        <v>960</v>
      </c>
      <c r="E541" t="s">
        <v>1505</v>
      </c>
      <c r="F541" t="str" cm="1">
        <f t="array" ref="F541">IF(OR(COUNTIF(D541,"*"&amp;Preprocessing!$T$9:$T$15&amp;"*")),"Female","Male")</f>
        <v>Female</v>
      </c>
      <c r="G541">
        <v>11</v>
      </c>
      <c r="H541">
        <v>4</v>
      </c>
      <c r="I541">
        <v>2</v>
      </c>
      <c r="J541">
        <v>3</v>
      </c>
      <c r="K541">
        <v>31.274999999999999</v>
      </c>
      <c r="L541">
        <f t="shared" si="41"/>
        <v>1</v>
      </c>
      <c r="M541">
        <f t="shared" si="42"/>
        <v>11</v>
      </c>
      <c r="N541" t="str">
        <f t="shared" si="43"/>
        <v>Child</v>
      </c>
      <c r="O541">
        <f t="shared" si="44"/>
        <v>31.28</v>
      </c>
    </row>
    <row r="542" spans="1:15" x14ac:dyDescent="0.3">
      <c r="A542">
        <v>541</v>
      </c>
      <c r="B542">
        <v>1</v>
      </c>
      <c r="C542" t="str">
        <f t="shared" si="40"/>
        <v>Yes</v>
      </c>
      <c r="D542" t="s">
        <v>956</v>
      </c>
      <c r="E542" t="s">
        <v>1506</v>
      </c>
      <c r="F542" t="str" cm="1">
        <f t="array" ref="F542">IF(OR(COUNTIF(D542,"*"&amp;Preprocessing!$T$9:$T$15&amp;"*")),"Female","Male")</f>
        <v>Male</v>
      </c>
      <c r="G542">
        <v>32</v>
      </c>
      <c r="H542">
        <v>1</v>
      </c>
      <c r="I542">
        <v>0</v>
      </c>
      <c r="J542">
        <v>2</v>
      </c>
      <c r="K542">
        <v>26</v>
      </c>
      <c r="L542">
        <f t="shared" si="41"/>
        <v>0</v>
      </c>
      <c r="M542">
        <f t="shared" si="42"/>
        <v>32</v>
      </c>
      <c r="N542" t="str">
        <f t="shared" si="43"/>
        <v>Adult</v>
      </c>
      <c r="O542">
        <f t="shared" si="44"/>
        <v>26</v>
      </c>
    </row>
    <row r="543" spans="1:15" x14ac:dyDescent="0.3">
      <c r="A543">
        <v>542</v>
      </c>
      <c r="B543">
        <v>0</v>
      </c>
      <c r="C543" t="str">
        <f t="shared" si="40"/>
        <v>No</v>
      </c>
      <c r="D543" t="s">
        <v>956</v>
      </c>
      <c r="E543" t="s">
        <v>1507</v>
      </c>
      <c r="F543" t="str" cm="1">
        <f t="array" ref="F543">IF(OR(COUNTIF(D543,"*"&amp;Preprocessing!$T$9:$T$15&amp;"*")),"Female","Male")</f>
        <v>Male</v>
      </c>
      <c r="G543">
        <v>50</v>
      </c>
      <c r="H543">
        <v>1</v>
      </c>
      <c r="I543">
        <v>0</v>
      </c>
      <c r="J543">
        <v>1</v>
      </c>
      <c r="K543">
        <v>106.425</v>
      </c>
      <c r="L543">
        <f t="shared" si="41"/>
        <v>0</v>
      </c>
      <c r="M543">
        <f t="shared" si="42"/>
        <v>50</v>
      </c>
      <c r="N543" t="str">
        <f t="shared" si="43"/>
        <v>Adult</v>
      </c>
      <c r="O543">
        <f t="shared" si="44"/>
        <v>106.43</v>
      </c>
    </row>
    <row r="544" spans="1:15" x14ac:dyDescent="0.3">
      <c r="A544">
        <v>543</v>
      </c>
      <c r="B544">
        <v>0</v>
      </c>
      <c r="C544" t="str">
        <f t="shared" si="40"/>
        <v>No</v>
      </c>
      <c r="D544" t="s">
        <v>956</v>
      </c>
      <c r="E544" t="s">
        <v>1508</v>
      </c>
      <c r="F544" t="str" cm="1">
        <f t="array" ref="F544">IF(OR(COUNTIF(D544,"*"&amp;Preprocessing!$T$9:$T$15&amp;"*")),"Female","Male")</f>
        <v>Male</v>
      </c>
      <c r="G544">
        <v>64</v>
      </c>
      <c r="H544">
        <v>0</v>
      </c>
      <c r="I544">
        <v>0</v>
      </c>
      <c r="J544">
        <v>1</v>
      </c>
      <c r="K544">
        <v>26</v>
      </c>
      <c r="L544">
        <f t="shared" si="41"/>
        <v>0</v>
      </c>
      <c r="M544">
        <f t="shared" si="42"/>
        <v>64</v>
      </c>
      <c r="N544" t="str">
        <f t="shared" si="43"/>
        <v>Adult</v>
      </c>
      <c r="O544">
        <f t="shared" si="44"/>
        <v>26</v>
      </c>
    </row>
    <row r="545" spans="1:15" x14ac:dyDescent="0.3">
      <c r="A545">
        <v>544</v>
      </c>
      <c r="B545">
        <v>1</v>
      </c>
      <c r="C545" t="str">
        <f t="shared" si="40"/>
        <v>Yes</v>
      </c>
      <c r="D545" t="s">
        <v>958</v>
      </c>
      <c r="E545" t="s">
        <v>1509</v>
      </c>
      <c r="F545" t="str" cm="1">
        <f t="array" ref="F545">IF(OR(COUNTIF(D545,"*"&amp;Preprocessing!$T$9:$T$15&amp;"*")),"Female","Male")</f>
        <v>Female</v>
      </c>
      <c r="G545">
        <v>19</v>
      </c>
      <c r="H545">
        <v>1</v>
      </c>
      <c r="I545">
        <v>0</v>
      </c>
      <c r="J545">
        <v>2</v>
      </c>
      <c r="K545">
        <v>26</v>
      </c>
      <c r="L545">
        <f t="shared" si="41"/>
        <v>1</v>
      </c>
      <c r="M545">
        <f t="shared" si="42"/>
        <v>19</v>
      </c>
      <c r="N545" t="str">
        <f t="shared" si="43"/>
        <v>Adult</v>
      </c>
      <c r="O545">
        <f t="shared" si="44"/>
        <v>26</v>
      </c>
    </row>
    <row r="546" spans="1:15" x14ac:dyDescent="0.3">
      <c r="A546">
        <v>545</v>
      </c>
      <c r="B546">
        <v>1</v>
      </c>
      <c r="C546" t="str">
        <f t="shared" si="40"/>
        <v>Yes</v>
      </c>
      <c r="D546" t="s">
        <v>956</v>
      </c>
      <c r="E546" t="s">
        <v>1510</v>
      </c>
      <c r="F546" t="str" cm="1">
        <f t="array" ref="F546">IF(OR(COUNTIF(D546,"*"&amp;Preprocessing!$T$9:$T$15&amp;"*")),"Female","Male")</f>
        <v>Male</v>
      </c>
      <c r="G546">
        <v>27</v>
      </c>
      <c r="H546">
        <v>0</v>
      </c>
      <c r="I546">
        <v>0</v>
      </c>
      <c r="J546">
        <v>2</v>
      </c>
      <c r="K546">
        <v>13.862500000000001</v>
      </c>
      <c r="L546">
        <f t="shared" si="41"/>
        <v>0</v>
      </c>
      <c r="M546">
        <f t="shared" si="42"/>
        <v>27</v>
      </c>
      <c r="N546" t="str">
        <f t="shared" si="43"/>
        <v>Adult</v>
      </c>
      <c r="O546">
        <f t="shared" si="44"/>
        <v>13.86</v>
      </c>
    </row>
    <row r="547" spans="1:15" x14ac:dyDescent="0.3">
      <c r="A547">
        <v>546</v>
      </c>
      <c r="B547">
        <v>0</v>
      </c>
      <c r="C547" t="str">
        <f t="shared" si="40"/>
        <v>No</v>
      </c>
      <c r="D547" t="s">
        <v>956</v>
      </c>
      <c r="E547" t="s">
        <v>1511</v>
      </c>
      <c r="F547" t="str" cm="1">
        <f t="array" ref="F547">IF(OR(COUNTIF(D547,"*"&amp;Preprocessing!$T$9:$T$15&amp;"*")),"Female","Male")</f>
        <v>Male</v>
      </c>
      <c r="G547">
        <v>33</v>
      </c>
      <c r="H547">
        <v>1</v>
      </c>
      <c r="I547">
        <v>1</v>
      </c>
      <c r="J547">
        <v>3</v>
      </c>
      <c r="K547">
        <v>20.524999999999999</v>
      </c>
      <c r="L547">
        <f t="shared" si="41"/>
        <v>0</v>
      </c>
      <c r="M547">
        <f t="shared" si="42"/>
        <v>33</v>
      </c>
      <c r="N547" t="str">
        <f t="shared" si="43"/>
        <v>Adult</v>
      </c>
      <c r="O547">
        <f t="shared" si="44"/>
        <v>20.53</v>
      </c>
    </row>
    <row r="548" spans="1:15" x14ac:dyDescent="0.3">
      <c r="A548">
        <v>547</v>
      </c>
      <c r="B548">
        <v>1</v>
      </c>
      <c r="C548" t="str">
        <f t="shared" si="40"/>
        <v>Yes</v>
      </c>
      <c r="D548" t="s">
        <v>966</v>
      </c>
      <c r="E548" t="s">
        <v>1512</v>
      </c>
      <c r="F548" t="str" cm="1">
        <f t="array" ref="F548">IF(OR(COUNTIF(D548,"*"&amp;Preprocessing!$T$9:$T$15&amp;"*")),"Female","Male")</f>
        <v>Male</v>
      </c>
      <c r="G548">
        <v>8</v>
      </c>
      <c r="H548">
        <v>1</v>
      </c>
      <c r="I548">
        <v>1</v>
      </c>
      <c r="J548">
        <v>2</v>
      </c>
      <c r="K548">
        <v>36.75</v>
      </c>
      <c r="L548">
        <f t="shared" si="41"/>
        <v>0</v>
      </c>
      <c r="M548">
        <f t="shared" si="42"/>
        <v>8</v>
      </c>
      <c r="N548" t="str">
        <f t="shared" si="43"/>
        <v>Child</v>
      </c>
      <c r="O548">
        <f t="shared" si="44"/>
        <v>36.75</v>
      </c>
    </row>
    <row r="549" spans="1:15" x14ac:dyDescent="0.3">
      <c r="A549">
        <v>548</v>
      </c>
      <c r="B549">
        <v>1</v>
      </c>
      <c r="C549" t="str">
        <f t="shared" si="40"/>
        <v>Yes</v>
      </c>
      <c r="D549" t="s">
        <v>956</v>
      </c>
      <c r="E549" t="s">
        <v>1513</v>
      </c>
      <c r="F549" t="str" cm="1">
        <f t="array" ref="F549">IF(OR(COUNTIF(D549,"*"&amp;Preprocessing!$T$9:$T$15&amp;"*")),"Female","Male")</f>
        <v>Male</v>
      </c>
      <c r="G549">
        <v>17</v>
      </c>
      <c r="H549">
        <v>0</v>
      </c>
      <c r="I549">
        <v>2</v>
      </c>
      <c r="J549">
        <v>1</v>
      </c>
      <c r="K549">
        <v>110.88330000000001</v>
      </c>
      <c r="L549">
        <f t="shared" si="41"/>
        <v>0</v>
      </c>
      <c r="M549">
        <f t="shared" si="42"/>
        <v>17</v>
      </c>
      <c r="N549" t="str">
        <f t="shared" si="43"/>
        <v>Adult</v>
      </c>
      <c r="O549">
        <f t="shared" si="44"/>
        <v>110.88</v>
      </c>
    </row>
    <row r="550" spans="1:15" x14ac:dyDescent="0.3">
      <c r="A550">
        <v>549</v>
      </c>
      <c r="B550">
        <v>0</v>
      </c>
      <c r="C550" t="str">
        <f t="shared" si="40"/>
        <v>No</v>
      </c>
      <c r="D550" t="s">
        <v>956</v>
      </c>
      <c r="E550" t="s">
        <v>1514</v>
      </c>
      <c r="F550" t="str" cm="1">
        <f t="array" ref="F550">IF(OR(COUNTIF(D550,"*"&amp;Preprocessing!$T$9:$T$15&amp;"*")),"Female","Male")</f>
        <v>Male</v>
      </c>
      <c r="G550">
        <v>27</v>
      </c>
      <c r="H550">
        <v>0</v>
      </c>
      <c r="I550">
        <v>0</v>
      </c>
      <c r="J550">
        <v>2</v>
      </c>
      <c r="K550">
        <v>26</v>
      </c>
      <c r="L550">
        <f t="shared" si="41"/>
        <v>0</v>
      </c>
      <c r="M550">
        <f t="shared" si="42"/>
        <v>27</v>
      </c>
      <c r="N550" t="str">
        <f t="shared" si="43"/>
        <v>Adult</v>
      </c>
      <c r="O550">
        <f t="shared" si="44"/>
        <v>26</v>
      </c>
    </row>
    <row r="551" spans="1:15" x14ac:dyDescent="0.3">
      <c r="A551">
        <v>550</v>
      </c>
      <c r="B551">
        <v>0</v>
      </c>
      <c r="C551" t="str">
        <f t="shared" si="40"/>
        <v>No</v>
      </c>
      <c r="D551" t="s">
        <v>956</v>
      </c>
      <c r="E551" t="s">
        <v>1515</v>
      </c>
      <c r="F551" t="str" cm="1">
        <f t="array" ref="F551">IF(OR(COUNTIF(D551,"*"&amp;Preprocessing!$T$9:$T$15&amp;"*")),"Female","Male")</f>
        <v>Male</v>
      </c>
      <c r="G551">
        <v>21</v>
      </c>
      <c r="H551">
        <v>0</v>
      </c>
      <c r="I551">
        <v>0</v>
      </c>
      <c r="J551">
        <v>3</v>
      </c>
      <c r="K551">
        <v>7.8292000000000002</v>
      </c>
      <c r="L551">
        <f t="shared" si="41"/>
        <v>0</v>
      </c>
      <c r="M551">
        <f t="shared" si="42"/>
        <v>21</v>
      </c>
      <c r="N551" t="str">
        <f t="shared" si="43"/>
        <v>Adult</v>
      </c>
      <c r="O551">
        <f t="shared" si="44"/>
        <v>7.83</v>
      </c>
    </row>
    <row r="552" spans="1:15" x14ac:dyDescent="0.3">
      <c r="A552">
        <v>551</v>
      </c>
      <c r="B552">
        <v>1</v>
      </c>
      <c r="C552" t="str">
        <f t="shared" si="40"/>
        <v>Yes</v>
      </c>
      <c r="D552" t="s">
        <v>956</v>
      </c>
      <c r="E552" t="s">
        <v>1516</v>
      </c>
      <c r="F552" t="str" cm="1">
        <f t="array" ref="F552">IF(OR(COUNTIF(D552,"*"&amp;Preprocessing!$T$9:$T$15&amp;"*")),"Female","Male")</f>
        <v>Male</v>
      </c>
      <c r="G552">
        <v>22</v>
      </c>
      <c r="H552">
        <v>0</v>
      </c>
      <c r="I552">
        <v>0</v>
      </c>
      <c r="J552">
        <v>3</v>
      </c>
      <c r="K552">
        <v>7.2249999999999996</v>
      </c>
      <c r="L552">
        <f t="shared" si="41"/>
        <v>0</v>
      </c>
      <c r="M552">
        <f t="shared" si="42"/>
        <v>22</v>
      </c>
      <c r="N552" t="str">
        <f t="shared" si="43"/>
        <v>Adult</v>
      </c>
      <c r="O552">
        <f t="shared" si="44"/>
        <v>7.23</v>
      </c>
    </row>
    <row r="553" spans="1:15" x14ac:dyDescent="0.3">
      <c r="A553">
        <v>552</v>
      </c>
      <c r="B553">
        <v>1</v>
      </c>
      <c r="C553" t="str">
        <f t="shared" si="40"/>
        <v>Yes</v>
      </c>
      <c r="D553" t="s">
        <v>960</v>
      </c>
      <c r="E553" t="s">
        <v>1517</v>
      </c>
      <c r="F553" t="str" cm="1">
        <f t="array" ref="F553">IF(OR(COUNTIF(D553,"*"&amp;Preprocessing!$T$9:$T$15&amp;"*")),"Female","Male")</f>
        <v>Female</v>
      </c>
      <c r="G553">
        <v>22</v>
      </c>
      <c r="H553">
        <v>0</v>
      </c>
      <c r="I553">
        <v>0</v>
      </c>
      <c r="J553">
        <v>3</v>
      </c>
      <c r="K553">
        <v>7.7750000000000004</v>
      </c>
      <c r="L553">
        <f t="shared" si="41"/>
        <v>1</v>
      </c>
      <c r="M553">
        <f t="shared" si="42"/>
        <v>22</v>
      </c>
      <c r="N553" t="str">
        <f t="shared" si="43"/>
        <v>Adult</v>
      </c>
      <c r="O553">
        <f t="shared" si="44"/>
        <v>7.78</v>
      </c>
    </row>
    <row r="554" spans="1:15" x14ac:dyDescent="0.3">
      <c r="A554">
        <v>553</v>
      </c>
      <c r="B554">
        <v>0</v>
      </c>
      <c r="C554" t="str">
        <f t="shared" si="40"/>
        <v>No</v>
      </c>
      <c r="D554" t="s">
        <v>956</v>
      </c>
      <c r="E554" t="s">
        <v>1518</v>
      </c>
      <c r="F554" t="str" cm="1">
        <f t="array" ref="F554">IF(OR(COUNTIF(D554,"*"&amp;Preprocessing!$T$9:$T$15&amp;"*")),"Female","Male")</f>
        <v>Male</v>
      </c>
      <c r="G554">
        <v>62</v>
      </c>
      <c r="H554">
        <v>0</v>
      </c>
      <c r="I554">
        <v>0</v>
      </c>
      <c r="J554">
        <v>1</v>
      </c>
      <c r="K554">
        <v>26.55</v>
      </c>
      <c r="L554">
        <f t="shared" si="41"/>
        <v>0</v>
      </c>
      <c r="M554">
        <f t="shared" si="42"/>
        <v>62</v>
      </c>
      <c r="N554" t="str">
        <f t="shared" si="43"/>
        <v>Adult</v>
      </c>
      <c r="O554">
        <f t="shared" si="44"/>
        <v>26.55</v>
      </c>
    </row>
    <row r="555" spans="1:15" x14ac:dyDescent="0.3">
      <c r="A555">
        <v>554</v>
      </c>
      <c r="B555">
        <v>1</v>
      </c>
      <c r="C555" t="str">
        <f t="shared" si="40"/>
        <v>Yes</v>
      </c>
      <c r="D555" t="s">
        <v>1519</v>
      </c>
      <c r="E555" t="s">
        <v>1520</v>
      </c>
      <c r="F555" t="str" cm="1">
        <f t="array" ref="F555">IF(OR(COUNTIF(D555,"*"&amp;Preprocessing!$T$9:$T$15&amp;"*")),"Female","Male")</f>
        <v>Female</v>
      </c>
      <c r="G555">
        <v>48</v>
      </c>
      <c r="H555">
        <v>1</v>
      </c>
      <c r="I555">
        <v>0</v>
      </c>
      <c r="J555">
        <v>1</v>
      </c>
      <c r="K555">
        <v>39.6</v>
      </c>
      <c r="L555">
        <f t="shared" si="41"/>
        <v>1</v>
      </c>
      <c r="M555">
        <f t="shared" si="42"/>
        <v>48</v>
      </c>
      <c r="N555" t="str">
        <f t="shared" si="43"/>
        <v>Adult</v>
      </c>
      <c r="O555">
        <f t="shared" si="44"/>
        <v>39.6</v>
      </c>
    </row>
    <row r="556" spans="1:15" x14ac:dyDescent="0.3">
      <c r="A556">
        <v>555</v>
      </c>
      <c r="B556">
        <v>0</v>
      </c>
      <c r="C556" t="str">
        <f t="shared" si="40"/>
        <v>No</v>
      </c>
      <c r="D556" t="s">
        <v>956</v>
      </c>
      <c r="E556" t="s">
        <v>1521</v>
      </c>
      <c r="F556" t="str" cm="1">
        <f t="array" ref="F556">IF(OR(COUNTIF(D556,"*"&amp;Preprocessing!$T$9:$T$15&amp;"*")),"Female","Male")</f>
        <v>Male</v>
      </c>
      <c r="G556">
        <v>45</v>
      </c>
      <c r="H556">
        <v>0</v>
      </c>
      <c r="I556">
        <v>0</v>
      </c>
      <c r="J556">
        <v>1</v>
      </c>
      <c r="K556">
        <v>227.52500000000001</v>
      </c>
      <c r="L556">
        <f t="shared" si="41"/>
        <v>0</v>
      </c>
      <c r="M556">
        <f t="shared" si="42"/>
        <v>45</v>
      </c>
      <c r="N556" t="str">
        <f t="shared" si="43"/>
        <v>Adult</v>
      </c>
      <c r="O556">
        <f t="shared" si="44"/>
        <v>227.53</v>
      </c>
    </row>
    <row r="557" spans="1:15" x14ac:dyDescent="0.3">
      <c r="A557">
        <v>556</v>
      </c>
      <c r="B557">
        <v>1</v>
      </c>
      <c r="C557" t="str">
        <f t="shared" si="40"/>
        <v>Yes</v>
      </c>
      <c r="D557" t="s">
        <v>958</v>
      </c>
      <c r="E557" t="s">
        <v>1522</v>
      </c>
      <c r="F557" t="str" cm="1">
        <f t="array" ref="F557">IF(OR(COUNTIF(D557,"*"&amp;Preprocessing!$T$9:$T$15&amp;"*")),"Female","Male")</f>
        <v>Female</v>
      </c>
      <c r="G557">
        <v>39</v>
      </c>
      <c r="H557">
        <v>1</v>
      </c>
      <c r="I557">
        <v>1</v>
      </c>
      <c r="J557">
        <v>1</v>
      </c>
      <c r="K557">
        <v>79.650000000000006</v>
      </c>
      <c r="L557">
        <f t="shared" si="41"/>
        <v>1</v>
      </c>
      <c r="M557">
        <f t="shared" si="42"/>
        <v>39</v>
      </c>
      <c r="N557" t="str">
        <f t="shared" si="43"/>
        <v>Adult</v>
      </c>
      <c r="O557">
        <f t="shared" si="44"/>
        <v>79.650000000000006</v>
      </c>
    </row>
    <row r="558" spans="1:15" x14ac:dyDescent="0.3">
      <c r="A558">
        <v>557</v>
      </c>
      <c r="B558">
        <v>1</v>
      </c>
      <c r="C558" t="str">
        <f t="shared" si="40"/>
        <v>Yes</v>
      </c>
      <c r="D558" t="s">
        <v>958</v>
      </c>
      <c r="E558" t="s">
        <v>1523</v>
      </c>
      <c r="F558" t="str" cm="1">
        <f t="array" ref="F558">IF(OR(COUNTIF(D558,"*"&amp;Preprocessing!$T$9:$T$15&amp;"*")),"Female","Male")</f>
        <v>Female</v>
      </c>
      <c r="G558">
        <v>36</v>
      </c>
      <c r="H558">
        <v>1</v>
      </c>
      <c r="I558">
        <v>0</v>
      </c>
      <c r="J558">
        <v>3</v>
      </c>
      <c r="K558">
        <v>17.399999999999999</v>
      </c>
      <c r="L558">
        <f t="shared" si="41"/>
        <v>1</v>
      </c>
      <c r="M558">
        <f t="shared" si="42"/>
        <v>36</v>
      </c>
      <c r="N558" t="str">
        <f t="shared" si="43"/>
        <v>Adult</v>
      </c>
      <c r="O558">
        <f t="shared" si="44"/>
        <v>17.399999999999999</v>
      </c>
    </row>
    <row r="559" spans="1:15" x14ac:dyDescent="0.3">
      <c r="A559">
        <v>558</v>
      </c>
      <c r="B559">
        <v>0</v>
      </c>
      <c r="C559" t="str">
        <f t="shared" si="40"/>
        <v>No</v>
      </c>
      <c r="D559" t="s">
        <v>956</v>
      </c>
      <c r="E559" t="s">
        <v>1524</v>
      </c>
      <c r="F559" t="str" cm="1">
        <f t="array" ref="F559">IF(OR(COUNTIF(D559,"*"&amp;Preprocessing!$T$9:$T$15&amp;"*")),"Female","Male")</f>
        <v>Male</v>
      </c>
      <c r="G559">
        <v>30</v>
      </c>
      <c r="H559">
        <v>0</v>
      </c>
      <c r="I559">
        <v>0</v>
      </c>
      <c r="J559">
        <v>3</v>
      </c>
      <c r="K559">
        <v>7.75</v>
      </c>
      <c r="L559">
        <f t="shared" si="41"/>
        <v>0</v>
      </c>
      <c r="M559">
        <f t="shared" si="42"/>
        <v>30</v>
      </c>
      <c r="N559" t="str">
        <f t="shared" si="43"/>
        <v>Adult</v>
      </c>
      <c r="O559">
        <f t="shared" si="44"/>
        <v>7.75</v>
      </c>
    </row>
    <row r="560" spans="1:15" x14ac:dyDescent="0.3">
      <c r="A560">
        <v>559</v>
      </c>
      <c r="B560">
        <v>0</v>
      </c>
      <c r="C560" t="str">
        <f t="shared" si="40"/>
        <v>No</v>
      </c>
      <c r="D560" t="s">
        <v>956</v>
      </c>
      <c r="E560" t="s">
        <v>1525</v>
      </c>
      <c r="F560" t="str" cm="1">
        <f t="array" ref="F560">IF(OR(COUNTIF(D560,"*"&amp;Preprocessing!$T$9:$T$15&amp;"*")),"Female","Male")</f>
        <v>Male</v>
      </c>
      <c r="G560">
        <v>40</v>
      </c>
      <c r="H560">
        <v>0</v>
      </c>
      <c r="I560">
        <v>0</v>
      </c>
      <c r="J560">
        <v>3</v>
      </c>
      <c r="K560">
        <v>7.8958000000000004</v>
      </c>
      <c r="L560">
        <f t="shared" si="41"/>
        <v>0</v>
      </c>
      <c r="M560">
        <f t="shared" si="42"/>
        <v>40</v>
      </c>
      <c r="N560" t="str">
        <f t="shared" si="43"/>
        <v>Adult</v>
      </c>
      <c r="O560">
        <f t="shared" si="44"/>
        <v>7.9</v>
      </c>
    </row>
    <row r="561" spans="1:15" x14ac:dyDescent="0.3">
      <c r="A561">
        <v>560</v>
      </c>
      <c r="B561">
        <v>0</v>
      </c>
      <c r="C561" t="str">
        <f t="shared" si="40"/>
        <v>No</v>
      </c>
      <c r="D561" t="s">
        <v>956</v>
      </c>
      <c r="E561" t="s">
        <v>1526</v>
      </c>
      <c r="F561" t="str" cm="1">
        <f t="array" ref="F561">IF(OR(COUNTIF(D561,"*"&amp;Preprocessing!$T$9:$T$15&amp;"*")),"Female","Male")</f>
        <v>Male</v>
      </c>
      <c r="G561">
        <v>28</v>
      </c>
      <c r="H561">
        <v>0</v>
      </c>
      <c r="I561">
        <v>0</v>
      </c>
      <c r="J561">
        <v>2</v>
      </c>
      <c r="K561">
        <v>13.5</v>
      </c>
      <c r="L561">
        <f t="shared" si="41"/>
        <v>0</v>
      </c>
      <c r="M561">
        <f t="shared" si="42"/>
        <v>28</v>
      </c>
      <c r="N561" t="str">
        <f t="shared" si="43"/>
        <v>Adult</v>
      </c>
      <c r="O561">
        <f t="shared" si="44"/>
        <v>13.5</v>
      </c>
    </row>
    <row r="562" spans="1:15" x14ac:dyDescent="0.3">
      <c r="A562">
        <v>561</v>
      </c>
      <c r="B562">
        <v>0</v>
      </c>
      <c r="C562" t="str">
        <f t="shared" si="40"/>
        <v>No</v>
      </c>
      <c r="D562" t="s">
        <v>956</v>
      </c>
      <c r="E562" t="s">
        <v>1527</v>
      </c>
      <c r="F562" t="str" cm="1">
        <f t="array" ref="F562">IF(OR(COUNTIF(D562,"*"&amp;Preprocessing!$T$9:$T$15&amp;"*")),"Female","Male")</f>
        <v>Male</v>
      </c>
      <c r="G562">
        <v>40</v>
      </c>
      <c r="H562">
        <v>0</v>
      </c>
      <c r="I562">
        <v>0</v>
      </c>
      <c r="J562">
        <v>3</v>
      </c>
      <c r="K562">
        <v>8.0500000000000007</v>
      </c>
      <c r="L562">
        <f t="shared" si="41"/>
        <v>0</v>
      </c>
      <c r="M562">
        <f t="shared" si="42"/>
        <v>40</v>
      </c>
      <c r="N562" t="str">
        <f t="shared" si="43"/>
        <v>Adult</v>
      </c>
      <c r="O562">
        <f t="shared" si="44"/>
        <v>8.0500000000000007</v>
      </c>
    </row>
    <row r="563" spans="1:15" x14ac:dyDescent="0.3">
      <c r="A563">
        <v>562</v>
      </c>
      <c r="B563">
        <v>0</v>
      </c>
      <c r="C563" t="str">
        <f t="shared" si="40"/>
        <v>No</v>
      </c>
      <c r="D563" t="s">
        <v>960</v>
      </c>
      <c r="E563" t="s">
        <v>1528</v>
      </c>
      <c r="F563" t="str" cm="1">
        <f t="array" ref="F563">IF(OR(COUNTIF(D563,"*"&amp;Preprocessing!$T$9:$T$15&amp;"*")),"Female","Male")</f>
        <v>Female</v>
      </c>
      <c r="G563">
        <v>62</v>
      </c>
      <c r="H563">
        <v>0</v>
      </c>
      <c r="I563">
        <v>0</v>
      </c>
      <c r="J563">
        <v>3</v>
      </c>
      <c r="K563">
        <v>8.0500000000000007</v>
      </c>
      <c r="L563">
        <f t="shared" si="41"/>
        <v>1</v>
      </c>
      <c r="M563">
        <f t="shared" si="42"/>
        <v>62</v>
      </c>
      <c r="N563" t="str">
        <f t="shared" si="43"/>
        <v>Adult</v>
      </c>
      <c r="O563">
        <f t="shared" si="44"/>
        <v>8.0500000000000007</v>
      </c>
    </row>
    <row r="564" spans="1:15" x14ac:dyDescent="0.3">
      <c r="A564">
        <v>563</v>
      </c>
      <c r="B564">
        <v>0</v>
      </c>
      <c r="C564" t="str">
        <f t="shared" si="40"/>
        <v>No</v>
      </c>
      <c r="D564" t="s">
        <v>956</v>
      </c>
      <c r="E564" t="s">
        <v>1529</v>
      </c>
      <c r="F564" t="str" cm="1">
        <f t="array" ref="F564">IF(OR(COUNTIF(D564,"*"&amp;Preprocessing!$T$9:$T$15&amp;"*")),"Female","Male")</f>
        <v>Male</v>
      </c>
      <c r="G564">
        <v>24</v>
      </c>
      <c r="H564">
        <v>2</v>
      </c>
      <c r="I564">
        <v>0</v>
      </c>
      <c r="J564">
        <v>3</v>
      </c>
      <c r="K564">
        <v>24.15</v>
      </c>
      <c r="L564">
        <f t="shared" si="41"/>
        <v>0</v>
      </c>
      <c r="M564">
        <f t="shared" si="42"/>
        <v>24</v>
      </c>
      <c r="N564" t="str">
        <f t="shared" si="43"/>
        <v>Adult</v>
      </c>
      <c r="O564">
        <f t="shared" si="44"/>
        <v>24.15</v>
      </c>
    </row>
    <row r="565" spans="1:15" x14ac:dyDescent="0.3">
      <c r="A565">
        <v>564</v>
      </c>
      <c r="B565">
        <v>0</v>
      </c>
      <c r="C565" t="str">
        <f t="shared" si="40"/>
        <v>No</v>
      </c>
      <c r="D565" t="s">
        <v>956</v>
      </c>
      <c r="E565" t="s">
        <v>1530</v>
      </c>
      <c r="F565" t="str" cm="1">
        <f t="array" ref="F565">IF(OR(COUNTIF(D565,"*"&amp;Preprocessing!$T$9:$T$15&amp;"*")),"Female","Male")</f>
        <v>Male</v>
      </c>
      <c r="G565">
        <v>19</v>
      </c>
      <c r="H565">
        <v>0</v>
      </c>
      <c r="I565">
        <v>0</v>
      </c>
      <c r="J565">
        <v>3</v>
      </c>
      <c r="K565">
        <v>7.8958000000000004</v>
      </c>
      <c r="L565">
        <f t="shared" si="41"/>
        <v>0</v>
      </c>
      <c r="M565">
        <f t="shared" si="42"/>
        <v>19</v>
      </c>
      <c r="N565" t="str">
        <f t="shared" si="43"/>
        <v>Adult</v>
      </c>
      <c r="O565">
        <f t="shared" si="44"/>
        <v>7.9</v>
      </c>
    </row>
    <row r="566" spans="1:15" x14ac:dyDescent="0.3">
      <c r="A566">
        <v>565</v>
      </c>
      <c r="B566">
        <v>0</v>
      </c>
      <c r="C566" t="str">
        <f t="shared" si="40"/>
        <v>No</v>
      </c>
      <c r="D566" t="s">
        <v>958</v>
      </c>
      <c r="E566" t="s">
        <v>1531</v>
      </c>
      <c r="F566" t="str" cm="1">
        <f t="array" ref="F566">IF(OR(COUNTIF(D566,"*"&amp;Preprocessing!$T$9:$T$15&amp;"*")),"Female","Male")</f>
        <v>Female</v>
      </c>
      <c r="G566">
        <v>29</v>
      </c>
      <c r="H566">
        <v>0</v>
      </c>
      <c r="I566">
        <v>4</v>
      </c>
      <c r="J566">
        <v>3</v>
      </c>
      <c r="K566">
        <v>21.074999999999999</v>
      </c>
      <c r="L566">
        <f t="shared" si="41"/>
        <v>1</v>
      </c>
      <c r="M566">
        <f t="shared" si="42"/>
        <v>29</v>
      </c>
      <c r="N566" t="str">
        <f t="shared" si="43"/>
        <v>Adult</v>
      </c>
      <c r="O566">
        <f t="shared" si="44"/>
        <v>21.08</v>
      </c>
    </row>
    <row r="567" spans="1:15" x14ac:dyDescent="0.3">
      <c r="A567">
        <v>566</v>
      </c>
      <c r="B567">
        <v>0</v>
      </c>
      <c r="C567" t="str">
        <f t="shared" si="40"/>
        <v>No</v>
      </c>
      <c r="D567" t="s">
        <v>956</v>
      </c>
      <c r="E567" t="s">
        <v>1532</v>
      </c>
      <c r="F567" t="str" cm="1">
        <f t="array" ref="F567">IF(OR(COUNTIF(D567,"*"&amp;Preprocessing!$T$9:$T$15&amp;"*")),"Female","Male")</f>
        <v>Male</v>
      </c>
      <c r="G567">
        <v>28</v>
      </c>
      <c r="H567">
        <v>0</v>
      </c>
      <c r="I567">
        <v>0</v>
      </c>
      <c r="J567">
        <v>3</v>
      </c>
      <c r="K567">
        <v>7.2291999999999996</v>
      </c>
      <c r="L567">
        <f t="shared" si="41"/>
        <v>0</v>
      </c>
      <c r="M567">
        <f t="shared" si="42"/>
        <v>28</v>
      </c>
      <c r="N567" t="str">
        <f t="shared" si="43"/>
        <v>Adult</v>
      </c>
      <c r="O567">
        <f t="shared" si="44"/>
        <v>7.23</v>
      </c>
    </row>
    <row r="568" spans="1:15" x14ac:dyDescent="0.3">
      <c r="A568">
        <v>567</v>
      </c>
      <c r="B568">
        <v>1</v>
      </c>
      <c r="C568" t="str">
        <f t="shared" si="40"/>
        <v>Yes</v>
      </c>
      <c r="D568" t="s">
        <v>956</v>
      </c>
      <c r="E568" t="s">
        <v>1533</v>
      </c>
      <c r="F568" t="str" cm="1">
        <f t="array" ref="F568">IF(OR(COUNTIF(D568,"*"&amp;Preprocessing!$T$9:$T$15&amp;"*")),"Female","Male")</f>
        <v>Male</v>
      </c>
      <c r="G568">
        <v>32</v>
      </c>
      <c r="H568">
        <v>0</v>
      </c>
      <c r="I568">
        <v>0</v>
      </c>
      <c r="J568">
        <v>3</v>
      </c>
      <c r="K568">
        <v>7.8541999999999996</v>
      </c>
      <c r="L568">
        <f t="shared" si="41"/>
        <v>0</v>
      </c>
      <c r="M568">
        <f t="shared" si="42"/>
        <v>32</v>
      </c>
      <c r="N568" t="str">
        <f t="shared" si="43"/>
        <v>Adult</v>
      </c>
      <c r="O568">
        <f t="shared" si="44"/>
        <v>7.85</v>
      </c>
    </row>
    <row r="569" spans="1:15" x14ac:dyDescent="0.3">
      <c r="A569">
        <v>568</v>
      </c>
      <c r="B569">
        <v>1</v>
      </c>
      <c r="C569" t="str">
        <f t="shared" si="40"/>
        <v>Yes</v>
      </c>
      <c r="D569" t="s">
        <v>956</v>
      </c>
      <c r="E569" t="s">
        <v>1534</v>
      </c>
      <c r="F569" t="str" cm="1">
        <f t="array" ref="F569">IF(OR(COUNTIF(D569,"*"&amp;Preprocessing!$T$9:$T$15&amp;"*")),"Female","Male")</f>
        <v>Male</v>
      </c>
      <c r="G569">
        <v>62</v>
      </c>
      <c r="H569">
        <v>0</v>
      </c>
      <c r="I569">
        <v>0</v>
      </c>
      <c r="J569">
        <v>2</v>
      </c>
      <c r="K569">
        <v>10.5</v>
      </c>
      <c r="L569">
        <f t="shared" si="41"/>
        <v>0</v>
      </c>
      <c r="M569">
        <f t="shared" si="42"/>
        <v>62</v>
      </c>
      <c r="N569" t="str">
        <f t="shared" si="43"/>
        <v>Adult</v>
      </c>
      <c r="O569">
        <f t="shared" si="44"/>
        <v>10.5</v>
      </c>
    </row>
    <row r="570" spans="1:15" x14ac:dyDescent="0.3">
      <c r="A570">
        <v>569</v>
      </c>
      <c r="B570">
        <v>1</v>
      </c>
      <c r="C570" t="str">
        <f t="shared" si="40"/>
        <v>Yes</v>
      </c>
      <c r="D570" t="s">
        <v>958</v>
      </c>
      <c r="E570" t="s">
        <v>1535</v>
      </c>
      <c r="F570" t="str" cm="1">
        <f t="array" ref="F570">IF(OR(COUNTIF(D570,"*"&amp;Preprocessing!$T$9:$T$15&amp;"*")),"Female","Male")</f>
        <v>Female</v>
      </c>
      <c r="G570">
        <v>53</v>
      </c>
      <c r="H570">
        <v>2</v>
      </c>
      <c r="I570">
        <v>0</v>
      </c>
      <c r="J570">
        <v>1</v>
      </c>
      <c r="K570">
        <v>51.479199999999999</v>
      </c>
      <c r="L570">
        <f t="shared" si="41"/>
        <v>1</v>
      </c>
      <c r="M570">
        <f t="shared" si="42"/>
        <v>53</v>
      </c>
      <c r="N570" t="str">
        <f t="shared" si="43"/>
        <v>Adult</v>
      </c>
      <c r="O570">
        <f t="shared" si="44"/>
        <v>51.48</v>
      </c>
    </row>
    <row r="571" spans="1:15" x14ac:dyDescent="0.3">
      <c r="A571">
        <v>570</v>
      </c>
      <c r="B571">
        <v>1</v>
      </c>
      <c r="C571" t="str">
        <f t="shared" si="40"/>
        <v>Yes</v>
      </c>
      <c r="D571" t="s">
        <v>956</v>
      </c>
      <c r="E571" t="s">
        <v>1536</v>
      </c>
      <c r="F571" t="str" cm="1">
        <f t="array" ref="F571">IF(OR(COUNTIF(D571,"*"&amp;Preprocessing!$T$9:$T$15&amp;"*")),"Female","Male")</f>
        <v>Male</v>
      </c>
      <c r="G571">
        <v>36</v>
      </c>
      <c r="H571">
        <v>0</v>
      </c>
      <c r="I571">
        <v>0</v>
      </c>
      <c r="J571">
        <v>1</v>
      </c>
      <c r="K571">
        <v>26.387499999999999</v>
      </c>
      <c r="L571">
        <f t="shared" si="41"/>
        <v>0</v>
      </c>
      <c r="M571">
        <f t="shared" si="42"/>
        <v>36</v>
      </c>
      <c r="N571" t="str">
        <f t="shared" si="43"/>
        <v>Adult</v>
      </c>
      <c r="O571">
        <f t="shared" si="44"/>
        <v>26.39</v>
      </c>
    </row>
    <row r="572" spans="1:15" x14ac:dyDescent="0.3">
      <c r="A572">
        <v>571</v>
      </c>
      <c r="B572">
        <v>1</v>
      </c>
      <c r="C572" t="str">
        <f t="shared" si="40"/>
        <v>Yes</v>
      </c>
      <c r="D572" t="s">
        <v>960</v>
      </c>
      <c r="E572" t="s">
        <v>1537</v>
      </c>
      <c r="F572" t="str" cm="1">
        <f t="array" ref="F572">IF(OR(COUNTIF(D572,"*"&amp;Preprocessing!$T$9:$T$15&amp;"*")),"Female","Male")</f>
        <v>Female</v>
      </c>
      <c r="G572">
        <v>22</v>
      </c>
      <c r="H572">
        <v>0</v>
      </c>
      <c r="I572">
        <v>0</v>
      </c>
      <c r="J572">
        <v>3</v>
      </c>
      <c r="K572">
        <v>7.75</v>
      </c>
      <c r="L572">
        <f t="shared" si="41"/>
        <v>1</v>
      </c>
      <c r="M572">
        <f t="shared" si="42"/>
        <v>22</v>
      </c>
      <c r="N572" t="str">
        <f t="shared" si="43"/>
        <v>Adult</v>
      </c>
      <c r="O572">
        <f t="shared" si="44"/>
        <v>7.75</v>
      </c>
    </row>
    <row r="573" spans="1:15" x14ac:dyDescent="0.3">
      <c r="A573">
        <v>572</v>
      </c>
      <c r="B573">
        <v>0</v>
      </c>
      <c r="C573" t="str">
        <f t="shared" si="40"/>
        <v>No</v>
      </c>
      <c r="D573" t="s">
        <v>956</v>
      </c>
      <c r="E573" t="s">
        <v>1538</v>
      </c>
      <c r="F573" t="str" cm="1">
        <f t="array" ref="F573">IF(OR(COUNTIF(D573,"*"&amp;Preprocessing!$T$9:$T$15&amp;"*")),"Female","Male")</f>
        <v>Male</v>
      </c>
      <c r="G573">
        <v>16</v>
      </c>
      <c r="H573">
        <v>0</v>
      </c>
      <c r="I573">
        <v>0</v>
      </c>
      <c r="J573">
        <v>3</v>
      </c>
      <c r="K573">
        <v>8.0500000000000007</v>
      </c>
      <c r="L573">
        <f t="shared" si="41"/>
        <v>0</v>
      </c>
      <c r="M573">
        <f t="shared" si="42"/>
        <v>16</v>
      </c>
      <c r="N573" t="str">
        <f t="shared" si="43"/>
        <v>Child</v>
      </c>
      <c r="O573">
        <f t="shared" si="44"/>
        <v>8.0500000000000007</v>
      </c>
    </row>
    <row r="574" spans="1:15" x14ac:dyDescent="0.3">
      <c r="A574">
        <v>573</v>
      </c>
      <c r="B574">
        <v>0</v>
      </c>
      <c r="C574" t="str">
        <f t="shared" si="40"/>
        <v>No</v>
      </c>
      <c r="D574" t="s">
        <v>956</v>
      </c>
      <c r="E574" t="s">
        <v>1539</v>
      </c>
      <c r="F574" t="str" cm="1">
        <f t="array" ref="F574">IF(OR(COUNTIF(D574,"*"&amp;Preprocessing!$T$9:$T$15&amp;"*")),"Female","Male")</f>
        <v>Male</v>
      </c>
      <c r="G574">
        <v>19</v>
      </c>
      <c r="H574">
        <v>0</v>
      </c>
      <c r="I574">
        <v>0</v>
      </c>
      <c r="J574">
        <v>3</v>
      </c>
      <c r="K574">
        <v>14.5</v>
      </c>
      <c r="L574">
        <f t="shared" si="41"/>
        <v>0</v>
      </c>
      <c r="M574">
        <f t="shared" si="42"/>
        <v>19</v>
      </c>
      <c r="N574" t="str">
        <f t="shared" si="43"/>
        <v>Adult</v>
      </c>
      <c r="O574">
        <f t="shared" si="44"/>
        <v>14.5</v>
      </c>
    </row>
    <row r="575" spans="1:15" x14ac:dyDescent="0.3">
      <c r="A575">
        <v>574</v>
      </c>
      <c r="B575">
        <v>1</v>
      </c>
      <c r="C575" t="str">
        <f t="shared" si="40"/>
        <v>Yes</v>
      </c>
      <c r="D575" t="s">
        <v>960</v>
      </c>
      <c r="E575" t="s">
        <v>1540</v>
      </c>
      <c r="F575" t="str" cm="1">
        <f t="array" ref="F575">IF(OR(COUNTIF(D575,"*"&amp;Preprocessing!$T$9:$T$15&amp;"*")),"Female","Male")</f>
        <v>Female</v>
      </c>
      <c r="G575">
        <v>34</v>
      </c>
      <c r="H575">
        <v>0</v>
      </c>
      <c r="I575">
        <v>0</v>
      </c>
      <c r="J575">
        <v>2</v>
      </c>
      <c r="K575">
        <v>13</v>
      </c>
      <c r="L575">
        <f t="shared" si="41"/>
        <v>1</v>
      </c>
      <c r="M575">
        <f t="shared" si="42"/>
        <v>34</v>
      </c>
      <c r="N575" t="str">
        <f t="shared" si="43"/>
        <v>Adult</v>
      </c>
      <c r="O575">
        <f t="shared" si="44"/>
        <v>13</v>
      </c>
    </row>
    <row r="576" spans="1:15" x14ac:dyDescent="0.3">
      <c r="A576">
        <v>575</v>
      </c>
      <c r="B576">
        <v>1</v>
      </c>
      <c r="C576" t="str">
        <f t="shared" si="40"/>
        <v>Yes</v>
      </c>
      <c r="D576" t="s">
        <v>958</v>
      </c>
      <c r="E576" t="s">
        <v>1541</v>
      </c>
      <c r="F576" t="str" cm="1">
        <f t="array" ref="F576">IF(OR(COUNTIF(D576,"*"&amp;Preprocessing!$T$9:$T$15&amp;"*")),"Female","Male")</f>
        <v>Female</v>
      </c>
      <c r="G576">
        <v>39</v>
      </c>
      <c r="H576">
        <v>1</v>
      </c>
      <c r="I576">
        <v>0</v>
      </c>
      <c r="J576">
        <v>1</v>
      </c>
      <c r="K576">
        <v>55.9</v>
      </c>
      <c r="L576">
        <f t="shared" si="41"/>
        <v>1</v>
      </c>
      <c r="M576">
        <f t="shared" si="42"/>
        <v>39</v>
      </c>
      <c r="N576" t="str">
        <f t="shared" si="43"/>
        <v>Adult</v>
      </c>
      <c r="O576">
        <f t="shared" si="44"/>
        <v>55.9</v>
      </c>
    </row>
    <row r="577" spans="1:15" x14ac:dyDescent="0.3">
      <c r="A577">
        <v>576</v>
      </c>
      <c r="B577">
        <v>0</v>
      </c>
      <c r="C577" t="str">
        <f t="shared" si="40"/>
        <v>No</v>
      </c>
      <c r="D577" t="s">
        <v>958</v>
      </c>
      <c r="E577" t="s">
        <v>1542</v>
      </c>
      <c r="F577" t="str" cm="1">
        <f t="array" ref="F577">IF(OR(COUNTIF(D577,"*"&amp;Preprocessing!$T$9:$T$15&amp;"*")),"Female","Male")</f>
        <v>Female</v>
      </c>
      <c r="G577">
        <v>18</v>
      </c>
      <c r="H577">
        <v>1</v>
      </c>
      <c r="I577">
        <v>0</v>
      </c>
      <c r="J577">
        <v>3</v>
      </c>
      <c r="K577">
        <v>14.458299999999999</v>
      </c>
      <c r="L577">
        <f t="shared" si="41"/>
        <v>1</v>
      </c>
      <c r="M577">
        <f t="shared" si="42"/>
        <v>18</v>
      </c>
      <c r="N577" t="str">
        <f t="shared" si="43"/>
        <v>Adult</v>
      </c>
      <c r="O577">
        <f t="shared" si="44"/>
        <v>14.46</v>
      </c>
    </row>
    <row r="578" spans="1:15" x14ac:dyDescent="0.3">
      <c r="A578">
        <v>577</v>
      </c>
      <c r="B578">
        <v>1</v>
      </c>
      <c r="C578" t="str">
        <f t="shared" si="40"/>
        <v>Yes</v>
      </c>
      <c r="D578" t="s">
        <v>956</v>
      </c>
      <c r="E578" t="s">
        <v>1543</v>
      </c>
      <c r="F578" t="str" cm="1">
        <f t="array" ref="F578">IF(OR(COUNTIF(D578,"*"&amp;Preprocessing!$T$9:$T$15&amp;"*")),"Female","Male")</f>
        <v>Male</v>
      </c>
      <c r="G578">
        <v>32</v>
      </c>
      <c r="H578">
        <v>0</v>
      </c>
      <c r="I578">
        <v>0</v>
      </c>
      <c r="J578">
        <v>3</v>
      </c>
      <c r="K578">
        <v>7.9249999999999998</v>
      </c>
      <c r="L578">
        <f t="shared" si="41"/>
        <v>0</v>
      </c>
      <c r="M578">
        <f t="shared" si="42"/>
        <v>32</v>
      </c>
      <c r="N578" t="str">
        <f t="shared" si="43"/>
        <v>Adult</v>
      </c>
      <c r="O578">
        <f t="shared" si="44"/>
        <v>7.93</v>
      </c>
    </row>
    <row r="579" spans="1:15" x14ac:dyDescent="0.3">
      <c r="A579">
        <v>578</v>
      </c>
      <c r="B579">
        <v>1</v>
      </c>
      <c r="C579" t="str">
        <f t="shared" ref="C579:C642" si="45">IF(B579=0,"No","Yes")</f>
        <v>Yes</v>
      </c>
      <c r="D579" t="s">
        <v>960</v>
      </c>
      <c r="E579" t="s">
        <v>1544</v>
      </c>
      <c r="F579" t="str" cm="1">
        <f t="array" ref="F579">IF(OR(COUNTIF(D579,"*"&amp;Preprocessing!$T$9:$T$15&amp;"*")),"Female","Male")</f>
        <v>Female</v>
      </c>
      <c r="G579">
        <v>25</v>
      </c>
      <c r="H579">
        <v>1</v>
      </c>
      <c r="I579">
        <v>1</v>
      </c>
      <c r="J579">
        <v>2</v>
      </c>
      <c r="K579">
        <v>30</v>
      </c>
      <c r="L579">
        <f t="shared" ref="L579:L642" si="46">IF(F579 = "Male", 0, 1)</f>
        <v>1</v>
      </c>
      <c r="M579">
        <f t="shared" ref="M579:M642" si="47">ROUND(G579, 0)</f>
        <v>25</v>
      </c>
      <c r="N579" t="str">
        <f t="shared" ref="N579:N642" si="48">IF(G579&lt;=16,"Child","Adult")</f>
        <v>Adult</v>
      </c>
      <c r="O579">
        <f t="shared" ref="O579:O642" si="49">ROUND(K579, 2)</f>
        <v>30</v>
      </c>
    </row>
    <row r="580" spans="1:15" x14ac:dyDescent="0.3">
      <c r="A580">
        <v>579</v>
      </c>
      <c r="B580">
        <v>1</v>
      </c>
      <c r="C580" t="str">
        <f t="shared" si="45"/>
        <v>Yes</v>
      </c>
      <c r="D580" t="s">
        <v>958</v>
      </c>
      <c r="E580" t="s">
        <v>1545</v>
      </c>
      <c r="F580" t="str" cm="1">
        <f t="array" ref="F580">IF(OR(COUNTIF(D580,"*"&amp;Preprocessing!$T$9:$T$15&amp;"*")),"Female","Male")</f>
        <v>Female</v>
      </c>
      <c r="G580">
        <v>39</v>
      </c>
      <c r="H580">
        <v>1</v>
      </c>
      <c r="I580">
        <v>1</v>
      </c>
      <c r="J580">
        <v>1</v>
      </c>
      <c r="K580">
        <v>110.88330000000001</v>
      </c>
      <c r="L580">
        <f t="shared" si="46"/>
        <v>1</v>
      </c>
      <c r="M580">
        <f t="shared" si="47"/>
        <v>39</v>
      </c>
      <c r="N580" t="str">
        <f t="shared" si="48"/>
        <v>Adult</v>
      </c>
      <c r="O580">
        <f t="shared" si="49"/>
        <v>110.88</v>
      </c>
    </row>
    <row r="581" spans="1:15" x14ac:dyDescent="0.3">
      <c r="A581">
        <v>580</v>
      </c>
      <c r="B581">
        <v>0</v>
      </c>
      <c r="C581" t="str">
        <f t="shared" si="45"/>
        <v>No</v>
      </c>
      <c r="D581" t="s">
        <v>956</v>
      </c>
      <c r="E581" t="s">
        <v>1546</v>
      </c>
      <c r="F581" t="str" cm="1">
        <f t="array" ref="F581">IF(OR(COUNTIF(D581,"*"&amp;Preprocessing!$T$9:$T$15&amp;"*")),"Female","Male")</f>
        <v>Male</v>
      </c>
      <c r="G581">
        <v>54</v>
      </c>
      <c r="H581">
        <v>0</v>
      </c>
      <c r="I581">
        <v>0</v>
      </c>
      <c r="J581">
        <v>2</v>
      </c>
      <c r="K581">
        <v>26</v>
      </c>
      <c r="L581">
        <f t="shared" si="46"/>
        <v>0</v>
      </c>
      <c r="M581">
        <f t="shared" si="47"/>
        <v>54</v>
      </c>
      <c r="N581" t="str">
        <f t="shared" si="48"/>
        <v>Adult</v>
      </c>
      <c r="O581">
        <f t="shared" si="49"/>
        <v>26</v>
      </c>
    </row>
    <row r="582" spans="1:15" x14ac:dyDescent="0.3">
      <c r="A582">
        <v>581</v>
      </c>
      <c r="B582">
        <v>0</v>
      </c>
      <c r="C582" t="str">
        <f t="shared" si="45"/>
        <v>No</v>
      </c>
      <c r="D582" t="s">
        <v>956</v>
      </c>
      <c r="E582" t="s">
        <v>1547</v>
      </c>
      <c r="F582" t="str" cm="1">
        <f t="array" ref="F582">IF(OR(COUNTIF(D582,"*"&amp;Preprocessing!$T$9:$T$15&amp;"*")),"Female","Male")</f>
        <v>Male</v>
      </c>
      <c r="G582">
        <v>36</v>
      </c>
      <c r="H582">
        <v>0</v>
      </c>
      <c r="I582">
        <v>0</v>
      </c>
      <c r="J582">
        <v>1</v>
      </c>
      <c r="K582">
        <v>40.125</v>
      </c>
      <c r="L582">
        <f t="shared" si="46"/>
        <v>0</v>
      </c>
      <c r="M582">
        <f t="shared" si="47"/>
        <v>36</v>
      </c>
      <c r="N582" t="str">
        <f t="shared" si="48"/>
        <v>Adult</v>
      </c>
      <c r="O582">
        <f t="shared" si="49"/>
        <v>40.130000000000003</v>
      </c>
    </row>
    <row r="583" spans="1:15" x14ac:dyDescent="0.3">
      <c r="A583">
        <v>582</v>
      </c>
      <c r="B583">
        <v>0</v>
      </c>
      <c r="C583" t="str">
        <f t="shared" si="45"/>
        <v>No</v>
      </c>
      <c r="D583" t="s">
        <v>956</v>
      </c>
      <c r="E583" t="s">
        <v>1548</v>
      </c>
      <c r="F583" t="str" cm="1">
        <f t="array" ref="F583">IF(OR(COUNTIF(D583,"*"&amp;Preprocessing!$T$9:$T$15&amp;"*")),"Female","Male")</f>
        <v>Male</v>
      </c>
      <c r="G583">
        <v>16</v>
      </c>
      <c r="H583">
        <v>0</v>
      </c>
      <c r="I583">
        <v>0</v>
      </c>
      <c r="J583">
        <v>3</v>
      </c>
      <c r="K583">
        <v>8.7125000000000004</v>
      </c>
      <c r="L583">
        <f t="shared" si="46"/>
        <v>0</v>
      </c>
      <c r="M583">
        <f t="shared" si="47"/>
        <v>16</v>
      </c>
      <c r="N583" t="str">
        <f t="shared" si="48"/>
        <v>Child</v>
      </c>
      <c r="O583">
        <f t="shared" si="49"/>
        <v>8.7100000000000009</v>
      </c>
    </row>
    <row r="584" spans="1:15" x14ac:dyDescent="0.3">
      <c r="A584">
        <v>583</v>
      </c>
      <c r="B584">
        <v>1</v>
      </c>
      <c r="C584" t="str">
        <f t="shared" si="45"/>
        <v>Yes</v>
      </c>
      <c r="D584" t="s">
        <v>960</v>
      </c>
      <c r="E584" t="s">
        <v>1549</v>
      </c>
      <c r="F584" t="str" cm="1">
        <f t="array" ref="F584">IF(OR(COUNTIF(D584,"*"&amp;Preprocessing!$T$9:$T$15&amp;"*")),"Female","Male")</f>
        <v>Female</v>
      </c>
      <c r="G584">
        <v>18</v>
      </c>
      <c r="H584">
        <v>0</v>
      </c>
      <c r="I584">
        <v>2</v>
      </c>
      <c r="J584">
        <v>1</v>
      </c>
      <c r="K584">
        <v>79.650000000000006</v>
      </c>
      <c r="L584">
        <f t="shared" si="46"/>
        <v>1</v>
      </c>
      <c r="M584">
        <f t="shared" si="47"/>
        <v>18</v>
      </c>
      <c r="N584" t="str">
        <f t="shared" si="48"/>
        <v>Adult</v>
      </c>
      <c r="O584">
        <f t="shared" si="49"/>
        <v>79.650000000000006</v>
      </c>
    </row>
    <row r="585" spans="1:15" x14ac:dyDescent="0.3">
      <c r="A585">
        <v>584</v>
      </c>
      <c r="B585">
        <v>0</v>
      </c>
      <c r="C585" t="str">
        <f t="shared" si="45"/>
        <v>No</v>
      </c>
      <c r="D585" t="s">
        <v>956</v>
      </c>
      <c r="E585" t="s">
        <v>1550</v>
      </c>
      <c r="F585" t="str" cm="1">
        <f t="array" ref="F585">IF(OR(COUNTIF(D585,"*"&amp;Preprocessing!$T$9:$T$15&amp;"*")),"Female","Male")</f>
        <v>Male</v>
      </c>
      <c r="G585">
        <v>47</v>
      </c>
      <c r="H585">
        <v>0</v>
      </c>
      <c r="I585">
        <v>0</v>
      </c>
      <c r="J585">
        <v>2</v>
      </c>
      <c r="K585">
        <v>15</v>
      </c>
      <c r="L585">
        <f t="shared" si="46"/>
        <v>0</v>
      </c>
      <c r="M585">
        <f t="shared" si="47"/>
        <v>47</v>
      </c>
      <c r="N585" t="str">
        <f t="shared" si="48"/>
        <v>Adult</v>
      </c>
      <c r="O585">
        <f t="shared" si="49"/>
        <v>15</v>
      </c>
    </row>
    <row r="586" spans="1:15" x14ac:dyDescent="0.3">
      <c r="A586">
        <v>585</v>
      </c>
      <c r="B586">
        <v>1</v>
      </c>
      <c r="C586" t="str">
        <f t="shared" si="45"/>
        <v>Yes</v>
      </c>
      <c r="D586" t="s">
        <v>956</v>
      </c>
      <c r="E586" t="s">
        <v>1551</v>
      </c>
      <c r="F586" t="str" cm="1">
        <f t="array" ref="F586">IF(OR(COUNTIF(D586,"*"&amp;Preprocessing!$T$9:$T$15&amp;"*")),"Female","Male")</f>
        <v>Male</v>
      </c>
      <c r="G586">
        <v>60</v>
      </c>
      <c r="H586">
        <v>1</v>
      </c>
      <c r="I586">
        <v>1</v>
      </c>
      <c r="J586">
        <v>1</v>
      </c>
      <c r="K586">
        <v>79.2</v>
      </c>
      <c r="L586">
        <f t="shared" si="46"/>
        <v>0</v>
      </c>
      <c r="M586">
        <f t="shared" si="47"/>
        <v>60</v>
      </c>
      <c r="N586" t="str">
        <f t="shared" si="48"/>
        <v>Adult</v>
      </c>
      <c r="O586">
        <f t="shared" si="49"/>
        <v>79.2</v>
      </c>
    </row>
    <row r="587" spans="1:15" x14ac:dyDescent="0.3">
      <c r="A587">
        <v>586</v>
      </c>
      <c r="B587">
        <v>0</v>
      </c>
      <c r="C587" t="str">
        <f t="shared" si="45"/>
        <v>No</v>
      </c>
      <c r="D587" t="s">
        <v>956</v>
      </c>
      <c r="E587" t="s">
        <v>1552</v>
      </c>
      <c r="F587" t="str" cm="1">
        <f t="array" ref="F587">IF(OR(COUNTIF(D587,"*"&amp;Preprocessing!$T$9:$T$15&amp;"*")),"Female","Male")</f>
        <v>Male</v>
      </c>
      <c r="G587">
        <v>22</v>
      </c>
      <c r="H587">
        <v>0</v>
      </c>
      <c r="I587">
        <v>0</v>
      </c>
      <c r="J587">
        <v>3</v>
      </c>
      <c r="K587">
        <v>8.0500000000000007</v>
      </c>
      <c r="L587">
        <f t="shared" si="46"/>
        <v>0</v>
      </c>
      <c r="M587">
        <f t="shared" si="47"/>
        <v>22</v>
      </c>
      <c r="N587" t="str">
        <f t="shared" si="48"/>
        <v>Adult</v>
      </c>
      <c r="O587">
        <f t="shared" si="49"/>
        <v>8.0500000000000007</v>
      </c>
    </row>
    <row r="588" spans="1:15" x14ac:dyDescent="0.3">
      <c r="A588">
        <v>587</v>
      </c>
      <c r="B588">
        <v>0</v>
      </c>
      <c r="C588" t="str">
        <f t="shared" si="45"/>
        <v>No</v>
      </c>
      <c r="D588" t="s">
        <v>956</v>
      </c>
      <c r="E588" t="s">
        <v>1553</v>
      </c>
      <c r="F588" t="str" cm="1">
        <f t="array" ref="F588">IF(OR(COUNTIF(D588,"*"&amp;Preprocessing!$T$9:$T$15&amp;"*")),"Female","Male")</f>
        <v>Male</v>
      </c>
      <c r="G588">
        <v>22</v>
      </c>
      <c r="H588">
        <v>0</v>
      </c>
      <c r="I588">
        <v>0</v>
      </c>
      <c r="J588">
        <v>3</v>
      </c>
      <c r="K588">
        <v>8.0500000000000007</v>
      </c>
      <c r="L588">
        <f t="shared" si="46"/>
        <v>0</v>
      </c>
      <c r="M588">
        <f t="shared" si="47"/>
        <v>22</v>
      </c>
      <c r="N588" t="str">
        <f t="shared" si="48"/>
        <v>Adult</v>
      </c>
      <c r="O588">
        <f t="shared" si="49"/>
        <v>8.0500000000000007</v>
      </c>
    </row>
    <row r="589" spans="1:15" x14ac:dyDescent="0.3">
      <c r="A589">
        <v>588</v>
      </c>
      <c r="B589">
        <v>0</v>
      </c>
      <c r="C589" t="str">
        <f t="shared" si="45"/>
        <v>No</v>
      </c>
      <c r="D589" t="s">
        <v>956</v>
      </c>
      <c r="E589" t="s">
        <v>1554</v>
      </c>
      <c r="F589" t="str" cm="1">
        <f t="array" ref="F589">IF(OR(COUNTIF(D589,"*"&amp;Preprocessing!$T$9:$T$15&amp;"*")),"Female","Male")</f>
        <v>Male</v>
      </c>
      <c r="G589">
        <v>35</v>
      </c>
      <c r="H589">
        <v>0</v>
      </c>
      <c r="I589">
        <v>0</v>
      </c>
      <c r="J589">
        <v>3</v>
      </c>
      <c r="K589">
        <v>7.125</v>
      </c>
      <c r="L589">
        <f t="shared" si="46"/>
        <v>0</v>
      </c>
      <c r="M589">
        <f t="shared" si="47"/>
        <v>35</v>
      </c>
      <c r="N589" t="str">
        <f t="shared" si="48"/>
        <v>Adult</v>
      </c>
      <c r="O589">
        <f t="shared" si="49"/>
        <v>7.13</v>
      </c>
    </row>
    <row r="590" spans="1:15" x14ac:dyDescent="0.3">
      <c r="A590">
        <v>589</v>
      </c>
      <c r="B590">
        <v>1</v>
      </c>
      <c r="C590" t="str">
        <f t="shared" si="45"/>
        <v>Yes</v>
      </c>
      <c r="D590" t="s">
        <v>958</v>
      </c>
      <c r="E590" t="s">
        <v>1555</v>
      </c>
      <c r="F590" t="str" cm="1">
        <f t="array" ref="F590">IF(OR(COUNTIF(D590,"*"&amp;Preprocessing!$T$9:$T$15&amp;"*")),"Female","Male")</f>
        <v>Female</v>
      </c>
      <c r="G590">
        <v>52</v>
      </c>
      <c r="H590">
        <v>1</v>
      </c>
      <c r="I590">
        <v>0</v>
      </c>
      <c r="J590">
        <v>1</v>
      </c>
      <c r="K590">
        <v>78.2667</v>
      </c>
      <c r="L590">
        <f t="shared" si="46"/>
        <v>1</v>
      </c>
      <c r="M590">
        <f t="shared" si="47"/>
        <v>52</v>
      </c>
      <c r="N590" t="str">
        <f t="shared" si="48"/>
        <v>Adult</v>
      </c>
      <c r="O590">
        <f t="shared" si="49"/>
        <v>78.27</v>
      </c>
    </row>
    <row r="591" spans="1:15" x14ac:dyDescent="0.3">
      <c r="A591">
        <v>590</v>
      </c>
      <c r="B591">
        <v>0</v>
      </c>
      <c r="C591" t="str">
        <f t="shared" si="45"/>
        <v>No</v>
      </c>
      <c r="D591" t="s">
        <v>956</v>
      </c>
      <c r="E591" t="s">
        <v>1556</v>
      </c>
      <c r="F591" t="str" cm="1">
        <f t="array" ref="F591">IF(OR(COUNTIF(D591,"*"&amp;Preprocessing!$T$9:$T$15&amp;"*")),"Female","Male")</f>
        <v>Male</v>
      </c>
      <c r="G591">
        <v>47</v>
      </c>
      <c r="H591">
        <v>0</v>
      </c>
      <c r="I591">
        <v>0</v>
      </c>
      <c r="J591">
        <v>3</v>
      </c>
      <c r="K591">
        <v>7.25</v>
      </c>
      <c r="L591">
        <f t="shared" si="46"/>
        <v>0</v>
      </c>
      <c r="M591">
        <f t="shared" si="47"/>
        <v>47</v>
      </c>
      <c r="N591" t="str">
        <f t="shared" si="48"/>
        <v>Adult</v>
      </c>
      <c r="O591">
        <f t="shared" si="49"/>
        <v>7.25</v>
      </c>
    </row>
    <row r="592" spans="1:15" x14ac:dyDescent="0.3">
      <c r="A592">
        <v>591</v>
      </c>
      <c r="B592">
        <v>0</v>
      </c>
      <c r="C592" t="str">
        <f t="shared" si="45"/>
        <v>No</v>
      </c>
      <c r="D592" t="s">
        <v>960</v>
      </c>
      <c r="E592" t="s">
        <v>1557</v>
      </c>
      <c r="F592" t="str" cm="1">
        <f t="array" ref="F592">IF(OR(COUNTIF(D592,"*"&amp;Preprocessing!$T$9:$T$15&amp;"*")),"Female","Male")</f>
        <v>Female</v>
      </c>
      <c r="G592">
        <v>40</v>
      </c>
      <c r="H592">
        <v>0</v>
      </c>
      <c r="I592">
        <v>2</v>
      </c>
      <c r="J592">
        <v>3</v>
      </c>
      <c r="K592">
        <v>7.75</v>
      </c>
      <c r="L592">
        <f t="shared" si="46"/>
        <v>1</v>
      </c>
      <c r="M592">
        <f t="shared" si="47"/>
        <v>40</v>
      </c>
      <c r="N592" t="str">
        <f t="shared" si="48"/>
        <v>Adult</v>
      </c>
      <c r="O592">
        <f t="shared" si="49"/>
        <v>7.75</v>
      </c>
    </row>
    <row r="593" spans="1:15" x14ac:dyDescent="0.3">
      <c r="A593">
        <v>592</v>
      </c>
      <c r="B593">
        <v>0</v>
      </c>
      <c r="C593" t="str">
        <f t="shared" si="45"/>
        <v>No</v>
      </c>
      <c r="D593" t="s">
        <v>956</v>
      </c>
      <c r="E593" t="s">
        <v>1558</v>
      </c>
      <c r="F593" t="str" cm="1">
        <f t="array" ref="F593">IF(OR(COUNTIF(D593,"*"&amp;Preprocessing!$T$9:$T$15&amp;"*")),"Female","Male")</f>
        <v>Male</v>
      </c>
      <c r="G593">
        <v>37</v>
      </c>
      <c r="H593">
        <v>1</v>
      </c>
      <c r="I593">
        <v>0</v>
      </c>
      <c r="J593">
        <v>2</v>
      </c>
      <c r="K593">
        <v>26</v>
      </c>
      <c r="L593">
        <f t="shared" si="46"/>
        <v>0</v>
      </c>
      <c r="M593">
        <f t="shared" si="47"/>
        <v>37</v>
      </c>
      <c r="N593" t="str">
        <f t="shared" si="48"/>
        <v>Adult</v>
      </c>
      <c r="O593">
        <f t="shared" si="49"/>
        <v>26</v>
      </c>
    </row>
    <row r="594" spans="1:15" x14ac:dyDescent="0.3">
      <c r="A594">
        <v>593</v>
      </c>
      <c r="B594">
        <v>0</v>
      </c>
      <c r="C594" t="str">
        <f t="shared" si="45"/>
        <v>No</v>
      </c>
      <c r="D594" t="s">
        <v>956</v>
      </c>
      <c r="E594" t="s">
        <v>1559</v>
      </c>
      <c r="F594" t="str" cm="1">
        <f t="array" ref="F594">IF(OR(COUNTIF(D594,"*"&amp;Preprocessing!$T$9:$T$15&amp;"*")),"Female","Male")</f>
        <v>Male</v>
      </c>
      <c r="G594">
        <v>36</v>
      </c>
      <c r="H594">
        <v>1</v>
      </c>
      <c r="I594">
        <v>1</v>
      </c>
      <c r="J594">
        <v>3</v>
      </c>
      <c r="K594">
        <v>24.15</v>
      </c>
      <c r="L594">
        <f t="shared" si="46"/>
        <v>0</v>
      </c>
      <c r="M594">
        <f t="shared" si="47"/>
        <v>36</v>
      </c>
      <c r="N594" t="str">
        <f t="shared" si="48"/>
        <v>Adult</v>
      </c>
      <c r="O594">
        <f t="shared" si="49"/>
        <v>24.15</v>
      </c>
    </row>
    <row r="595" spans="1:15" x14ac:dyDescent="0.3">
      <c r="A595">
        <v>594</v>
      </c>
      <c r="B595">
        <v>1</v>
      </c>
      <c r="C595" t="str">
        <f t="shared" si="45"/>
        <v>Yes</v>
      </c>
      <c r="D595" t="s">
        <v>960</v>
      </c>
      <c r="E595" t="s">
        <v>1560</v>
      </c>
      <c r="F595" t="str" cm="1">
        <f t="array" ref="F595">IF(OR(COUNTIF(D595,"*"&amp;Preprocessing!$T$9:$T$15&amp;"*")),"Female","Male")</f>
        <v>Female</v>
      </c>
      <c r="G595">
        <v>31</v>
      </c>
      <c r="H595">
        <v>0</v>
      </c>
      <c r="I595">
        <v>0</v>
      </c>
      <c r="J595">
        <v>2</v>
      </c>
      <c r="K595">
        <v>33</v>
      </c>
      <c r="L595">
        <f t="shared" si="46"/>
        <v>1</v>
      </c>
      <c r="M595">
        <f t="shared" si="47"/>
        <v>31</v>
      </c>
      <c r="N595" t="str">
        <f t="shared" si="48"/>
        <v>Adult</v>
      </c>
      <c r="O595">
        <f t="shared" si="49"/>
        <v>33</v>
      </c>
    </row>
    <row r="596" spans="1:15" x14ac:dyDescent="0.3">
      <c r="A596">
        <v>595</v>
      </c>
      <c r="B596">
        <v>0</v>
      </c>
      <c r="C596" t="str">
        <f t="shared" si="45"/>
        <v>No</v>
      </c>
      <c r="D596" t="s">
        <v>956</v>
      </c>
      <c r="E596" t="s">
        <v>1561</v>
      </c>
      <c r="F596" t="str" cm="1">
        <f t="array" ref="F596">IF(OR(COUNTIF(D596,"*"&amp;Preprocessing!$T$9:$T$15&amp;"*")),"Female","Male")</f>
        <v>Male</v>
      </c>
      <c r="G596">
        <v>49</v>
      </c>
      <c r="H596">
        <v>0</v>
      </c>
      <c r="I596">
        <v>0</v>
      </c>
      <c r="J596">
        <v>3</v>
      </c>
      <c r="K596">
        <v>0</v>
      </c>
      <c r="L596">
        <f t="shared" si="46"/>
        <v>0</v>
      </c>
      <c r="M596">
        <f t="shared" si="47"/>
        <v>49</v>
      </c>
      <c r="N596" t="str">
        <f t="shared" si="48"/>
        <v>Adult</v>
      </c>
      <c r="O596">
        <f t="shared" si="49"/>
        <v>0</v>
      </c>
    </row>
    <row r="597" spans="1:15" x14ac:dyDescent="0.3">
      <c r="A597">
        <v>596</v>
      </c>
      <c r="B597">
        <v>0</v>
      </c>
      <c r="C597" t="str">
        <f t="shared" si="45"/>
        <v>No</v>
      </c>
      <c r="D597" t="s">
        <v>956</v>
      </c>
      <c r="E597" t="s">
        <v>1562</v>
      </c>
      <c r="F597" t="str" cm="1">
        <f t="array" ref="F597">IF(OR(COUNTIF(D597,"*"&amp;Preprocessing!$T$9:$T$15&amp;"*")),"Female","Male")</f>
        <v>Male</v>
      </c>
      <c r="G597">
        <v>18</v>
      </c>
      <c r="H597">
        <v>0</v>
      </c>
      <c r="I597">
        <v>0</v>
      </c>
      <c r="J597">
        <v>3</v>
      </c>
      <c r="K597">
        <v>7.2249999999999996</v>
      </c>
      <c r="L597">
        <f t="shared" si="46"/>
        <v>0</v>
      </c>
      <c r="M597">
        <f t="shared" si="47"/>
        <v>18</v>
      </c>
      <c r="N597" t="str">
        <f t="shared" si="48"/>
        <v>Adult</v>
      </c>
      <c r="O597">
        <f t="shared" si="49"/>
        <v>7.23</v>
      </c>
    </row>
    <row r="598" spans="1:15" x14ac:dyDescent="0.3">
      <c r="A598">
        <v>597</v>
      </c>
      <c r="B598">
        <v>1</v>
      </c>
      <c r="C598" t="str">
        <f t="shared" si="45"/>
        <v>Yes</v>
      </c>
      <c r="D598" t="s">
        <v>1563</v>
      </c>
      <c r="E598" t="s">
        <v>1564</v>
      </c>
      <c r="F598" t="str" cm="1">
        <f t="array" ref="F598">IF(OR(COUNTIF(D598,"*"&amp;Preprocessing!$T$9:$T$15&amp;"*")),"Female","Male")</f>
        <v>Male</v>
      </c>
      <c r="G598">
        <v>49</v>
      </c>
      <c r="H598">
        <v>1</v>
      </c>
      <c r="I598">
        <v>0</v>
      </c>
      <c r="J598">
        <v>1</v>
      </c>
      <c r="K598">
        <v>56.929200000000002</v>
      </c>
      <c r="L598">
        <f t="shared" si="46"/>
        <v>0</v>
      </c>
      <c r="M598">
        <f t="shared" si="47"/>
        <v>49</v>
      </c>
      <c r="N598" t="str">
        <f t="shared" si="48"/>
        <v>Adult</v>
      </c>
      <c r="O598">
        <f t="shared" si="49"/>
        <v>56.93</v>
      </c>
    </row>
    <row r="599" spans="1:15" x14ac:dyDescent="0.3">
      <c r="A599">
        <v>598</v>
      </c>
      <c r="B599">
        <v>1</v>
      </c>
      <c r="C599" t="str">
        <f t="shared" si="45"/>
        <v>Yes</v>
      </c>
      <c r="D599" t="s">
        <v>958</v>
      </c>
      <c r="E599" t="s">
        <v>1565</v>
      </c>
      <c r="F599" t="str" cm="1">
        <f t="array" ref="F599">IF(OR(COUNTIF(D599,"*"&amp;Preprocessing!$T$9:$T$15&amp;"*")),"Female","Male")</f>
        <v>Female</v>
      </c>
      <c r="G599">
        <v>24</v>
      </c>
      <c r="H599">
        <v>2</v>
      </c>
      <c r="I599">
        <v>1</v>
      </c>
      <c r="J599">
        <v>2</v>
      </c>
      <c r="K599">
        <v>27</v>
      </c>
      <c r="L599">
        <f t="shared" si="46"/>
        <v>1</v>
      </c>
      <c r="M599">
        <f t="shared" si="47"/>
        <v>24</v>
      </c>
      <c r="N599" t="str">
        <f t="shared" si="48"/>
        <v>Adult</v>
      </c>
      <c r="O599">
        <f t="shared" si="49"/>
        <v>27</v>
      </c>
    </row>
    <row r="600" spans="1:15" x14ac:dyDescent="0.3">
      <c r="A600">
        <v>599</v>
      </c>
      <c r="B600">
        <v>0</v>
      </c>
      <c r="C600" t="str">
        <f t="shared" si="45"/>
        <v>No</v>
      </c>
      <c r="D600" t="s">
        <v>956</v>
      </c>
      <c r="E600" t="s">
        <v>1566</v>
      </c>
      <c r="F600" t="str" cm="1">
        <f t="array" ref="F600">IF(OR(COUNTIF(D600,"*"&amp;Preprocessing!$T$9:$T$15&amp;"*")),"Female","Male")</f>
        <v>Male</v>
      </c>
      <c r="G600">
        <v>42</v>
      </c>
      <c r="H600">
        <v>0</v>
      </c>
      <c r="I600">
        <v>0</v>
      </c>
      <c r="J600">
        <v>3</v>
      </c>
      <c r="K600">
        <v>7.8958000000000004</v>
      </c>
      <c r="L600">
        <f t="shared" si="46"/>
        <v>0</v>
      </c>
      <c r="M600">
        <f t="shared" si="47"/>
        <v>42</v>
      </c>
      <c r="N600" t="str">
        <f t="shared" si="48"/>
        <v>Adult</v>
      </c>
      <c r="O600">
        <f t="shared" si="49"/>
        <v>7.9</v>
      </c>
    </row>
    <row r="601" spans="1:15" x14ac:dyDescent="0.3">
      <c r="A601">
        <v>600</v>
      </c>
      <c r="B601">
        <v>0</v>
      </c>
      <c r="C601" t="str">
        <f t="shared" si="45"/>
        <v>No</v>
      </c>
      <c r="D601" t="s">
        <v>956</v>
      </c>
      <c r="E601" t="s">
        <v>1567</v>
      </c>
      <c r="F601" t="str" cm="1">
        <f t="array" ref="F601">IF(OR(COUNTIF(D601,"*"&amp;Preprocessing!$T$9:$T$15&amp;"*")),"Female","Male")</f>
        <v>Male</v>
      </c>
      <c r="G601">
        <v>37</v>
      </c>
      <c r="H601">
        <v>0</v>
      </c>
      <c r="I601">
        <v>0</v>
      </c>
      <c r="J601">
        <v>1</v>
      </c>
      <c r="K601">
        <v>42.4</v>
      </c>
      <c r="L601">
        <f t="shared" si="46"/>
        <v>0</v>
      </c>
      <c r="M601">
        <f t="shared" si="47"/>
        <v>37</v>
      </c>
      <c r="N601" t="str">
        <f t="shared" si="48"/>
        <v>Adult</v>
      </c>
      <c r="O601">
        <f t="shared" si="49"/>
        <v>42.4</v>
      </c>
    </row>
    <row r="602" spans="1:15" x14ac:dyDescent="0.3">
      <c r="A602">
        <v>601</v>
      </c>
      <c r="B602">
        <v>0</v>
      </c>
      <c r="C602" t="str">
        <f t="shared" si="45"/>
        <v>No</v>
      </c>
      <c r="D602" t="s">
        <v>956</v>
      </c>
      <c r="E602" t="s">
        <v>1568</v>
      </c>
      <c r="F602" t="str" cm="1">
        <f t="array" ref="F602">IF(OR(COUNTIF(D602,"*"&amp;Preprocessing!$T$9:$T$15&amp;"*")),"Female","Male")</f>
        <v>Male</v>
      </c>
      <c r="G602">
        <v>44</v>
      </c>
      <c r="H602">
        <v>0</v>
      </c>
      <c r="I602">
        <v>0</v>
      </c>
      <c r="J602">
        <v>3</v>
      </c>
      <c r="K602">
        <v>8.0500000000000007</v>
      </c>
      <c r="L602">
        <f t="shared" si="46"/>
        <v>0</v>
      </c>
      <c r="M602">
        <f t="shared" si="47"/>
        <v>44</v>
      </c>
      <c r="N602" t="str">
        <f t="shared" si="48"/>
        <v>Adult</v>
      </c>
      <c r="O602">
        <f t="shared" si="49"/>
        <v>8.0500000000000007</v>
      </c>
    </row>
    <row r="603" spans="1:15" x14ac:dyDescent="0.3">
      <c r="A603">
        <v>602</v>
      </c>
      <c r="B603">
        <v>1</v>
      </c>
      <c r="C603" t="str">
        <f t="shared" si="45"/>
        <v>Yes</v>
      </c>
      <c r="D603" t="s">
        <v>956</v>
      </c>
      <c r="E603" t="s">
        <v>1569</v>
      </c>
      <c r="F603" t="str" cm="1">
        <f t="array" ref="F603">IF(OR(COUNTIF(D603,"*"&amp;Preprocessing!$T$9:$T$15&amp;"*")),"Female","Male")</f>
        <v>Male</v>
      </c>
      <c r="G603">
        <v>35</v>
      </c>
      <c r="H603">
        <v>0</v>
      </c>
      <c r="I603">
        <v>0</v>
      </c>
      <c r="J603">
        <v>1</v>
      </c>
      <c r="K603">
        <v>26.55</v>
      </c>
      <c r="L603">
        <f t="shared" si="46"/>
        <v>0</v>
      </c>
      <c r="M603">
        <f t="shared" si="47"/>
        <v>35</v>
      </c>
      <c r="N603" t="str">
        <f t="shared" si="48"/>
        <v>Adult</v>
      </c>
      <c r="O603">
        <f t="shared" si="49"/>
        <v>26.55</v>
      </c>
    </row>
    <row r="604" spans="1:15" x14ac:dyDescent="0.3">
      <c r="A604">
        <v>603</v>
      </c>
      <c r="B604">
        <v>0</v>
      </c>
      <c r="C604" t="str">
        <f t="shared" si="45"/>
        <v>No</v>
      </c>
      <c r="D604" t="s">
        <v>956</v>
      </c>
      <c r="E604" t="s">
        <v>1570</v>
      </c>
      <c r="F604" t="str" cm="1">
        <f t="array" ref="F604">IF(OR(COUNTIF(D604,"*"&amp;Preprocessing!$T$9:$T$15&amp;"*")),"Female","Male")</f>
        <v>Male</v>
      </c>
      <c r="G604">
        <v>36</v>
      </c>
      <c r="H604">
        <v>1</v>
      </c>
      <c r="I604">
        <v>0</v>
      </c>
      <c r="J604">
        <v>3</v>
      </c>
      <c r="K604">
        <v>15.55</v>
      </c>
      <c r="L604">
        <f t="shared" si="46"/>
        <v>0</v>
      </c>
      <c r="M604">
        <f t="shared" si="47"/>
        <v>36</v>
      </c>
      <c r="N604" t="str">
        <f t="shared" si="48"/>
        <v>Adult</v>
      </c>
      <c r="O604">
        <f t="shared" si="49"/>
        <v>15.55</v>
      </c>
    </row>
    <row r="605" spans="1:15" x14ac:dyDescent="0.3">
      <c r="A605">
        <v>604</v>
      </c>
      <c r="B605">
        <v>0</v>
      </c>
      <c r="C605" t="str">
        <f t="shared" si="45"/>
        <v>No</v>
      </c>
      <c r="D605" t="s">
        <v>956</v>
      </c>
      <c r="E605" t="s">
        <v>1571</v>
      </c>
      <c r="F605" t="str" cm="1">
        <f t="array" ref="F605">IF(OR(COUNTIF(D605,"*"&amp;Preprocessing!$T$9:$T$15&amp;"*")),"Female","Male")</f>
        <v>Male</v>
      </c>
      <c r="G605">
        <v>30</v>
      </c>
      <c r="H605">
        <v>0</v>
      </c>
      <c r="I605">
        <v>0</v>
      </c>
      <c r="J605">
        <v>3</v>
      </c>
      <c r="K605">
        <v>7.8958000000000004</v>
      </c>
      <c r="L605">
        <f t="shared" si="46"/>
        <v>0</v>
      </c>
      <c r="M605">
        <f t="shared" si="47"/>
        <v>30</v>
      </c>
      <c r="N605" t="str">
        <f t="shared" si="48"/>
        <v>Adult</v>
      </c>
      <c r="O605">
        <f t="shared" si="49"/>
        <v>7.9</v>
      </c>
    </row>
    <row r="606" spans="1:15" x14ac:dyDescent="0.3">
      <c r="A606">
        <v>605</v>
      </c>
      <c r="B606">
        <v>1</v>
      </c>
      <c r="C606" t="str">
        <f t="shared" si="45"/>
        <v>Yes</v>
      </c>
      <c r="D606" t="s">
        <v>956</v>
      </c>
      <c r="E606" t="s">
        <v>1572</v>
      </c>
      <c r="F606" t="str" cm="1">
        <f t="array" ref="F606">IF(OR(COUNTIF(D606,"*"&amp;Preprocessing!$T$9:$T$15&amp;"*")),"Female","Male")</f>
        <v>Male</v>
      </c>
      <c r="G606">
        <v>27</v>
      </c>
      <c r="H606">
        <v>0</v>
      </c>
      <c r="I606">
        <v>0</v>
      </c>
      <c r="J606">
        <v>1</v>
      </c>
      <c r="K606">
        <v>30.5</v>
      </c>
      <c r="L606">
        <f t="shared" si="46"/>
        <v>0</v>
      </c>
      <c r="M606">
        <f t="shared" si="47"/>
        <v>27</v>
      </c>
      <c r="N606" t="str">
        <f t="shared" si="48"/>
        <v>Adult</v>
      </c>
      <c r="O606">
        <f t="shared" si="49"/>
        <v>30.5</v>
      </c>
    </row>
    <row r="607" spans="1:15" x14ac:dyDescent="0.3">
      <c r="A607">
        <v>606</v>
      </c>
      <c r="B607">
        <v>1</v>
      </c>
      <c r="C607" t="str">
        <f t="shared" si="45"/>
        <v>Yes</v>
      </c>
      <c r="D607" t="s">
        <v>958</v>
      </c>
      <c r="E607" t="s">
        <v>1573</v>
      </c>
      <c r="F607" t="str" cm="1">
        <f t="array" ref="F607">IF(OR(COUNTIF(D607,"*"&amp;Preprocessing!$T$9:$T$15&amp;"*")),"Female","Male")</f>
        <v>Female</v>
      </c>
      <c r="G607">
        <v>22</v>
      </c>
      <c r="H607">
        <v>1</v>
      </c>
      <c r="I607">
        <v>2</v>
      </c>
      <c r="J607">
        <v>2</v>
      </c>
      <c r="K607">
        <v>41.5792</v>
      </c>
      <c r="L607">
        <f t="shared" si="46"/>
        <v>1</v>
      </c>
      <c r="M607">
        <f t="shared" si="47"/>
        <v>22</v>
      </c>
      <c r="N607" t="str">
        <f t="shared" si="48"/>
        <v>Adult</v>
      </c>
      <c r="O607">
        <f t="shared" si="49"/>
        <v>41.58</v>
      </c>
    </row>
    <row r="608" spans="1:15" x14ac:dyDescent="0.3">
      <c r="A608">
        <v>607</v>
      </c>
      <c r="B608">
        <v>1</v>
      </c>
      <c r="C608" t="str">
        <f t="shared" si="45"/>
        <v>Yes</v>
      </c>
      <c r="D608" t="s">
        <v>960</v>
      </c>
      <c r="E608" t="s">
        <v>1574</v>
      </c>
      <c r="F608" t="str" cm="1">
        <f t="array" ref="F608">IF(OR(COUNTIF(D608,"*"&amp;Preprocessing!$T$9:$T$15&amp;"*")),"Female","Male")</f>
        <v>Female</v>
      </c>
      <c r="G608">
        <v>40</v>
      </c>
      <c r="H608">
        <v>0</v>
      </c>
      <c r="I608">
        <v>0</v>
      </c>
      <c r="J608">
        <v>1</v>
      </c>
      <c r="K608">
        <v>153.46250000000001</v>
      </c>
      <c r="L608">
        <f t="shared" si="46"/>
        <v>1</v>
      </c>
      <c r="M608">
        <f t="shared" si="47"/>
        <v>40</v>
      </c>
      <c r="N608" t="str">
        <f t="shared" si="48"/>
        <v>Adult</v>
      </c>
      <c r="O608">
        <f t="shared" si="49"/>
        <v>153.46</v>
      </c>
    </row>
    <row r="609" spans="1:15" x14ac:dyDescent="0.3">
      <c r="A609">
        <v>608</v>
      </c>
      <c r="B609">
        <v>0</v>
      </c>
      <c r="C609" t="str">
        <f t="shared" si="45"/>
        <v>No</v>
      </c>
      <c r="D609" t="s">
        <v>958</v>
      </c>
      <c r="E609" t="s">
        <v>1575</v>
      </c>
      <c r="F609" t="str" cm="1">
        <f t="array" ref="F609">IF(OR(COUNTIF(D609,"*"&amp;Preprocessing!$T$9:$T$15&amp;"*")),"Female","Male")</f>
        <v>Female</v>
      </c>
      <c r="G609">
        <v>39</v>
      </c>
      <c r="H609">
        <v>1</v>
      </c>
      <c r="I609">
        <v>5</v>
      </c>
      <c r="J609">
        <v>3</v>
      </c>
      <c r="K609">
        <v>31.274999999999999</v>
      </c>
      <c r="L609">
        <f t="shared" si="46"/>
        <v>1</v>
      </c>
      <c r="M609">
        <f t="shared" si="47"/>
        <v>39</v>
      </c>
      <c r="N609" t="str">
        <f t="shared" si="48"/>
        <v>Adult</v>
      </c>
      <c r="O609">
        <f t="shared" si="49"/>
        <v>31.28</v>
      </c>
    </row>
    <row r="610" spans="1:15" x14ac:dyDescent="0.3">
      <c r="A610">
        <v>609</v>
      </c>
      <c r="B610">
        <v>0</v>
      </c>
      <c r="C610" t="str">
        <f t="shared" si="45"/>
        <v>No</v>
      </c>
      <c r="D610" t="s">
        <v>956</v>
      </c>
      <c r="E610" t="s">
        <v>1576</v>
      </c>
      <c r="F610" t="str" cm="1">
        <f t="array" ref="F610">IF(OR(COUNTIF(D610,"*"&amp;Preprocessing!$T$9:$T$15&amp;"*")),"Female","Male")</f>
        <v>Male</v>
      </c>
      <c r="G610">
        <v>21</v>
      </c>
      <c r="H610">
        <v>0</v>
      </c>
      <c r="I610">
        <v>0</v>
      </c>
      <c r="J610">
        <v>3</v>
      </c>
      <c r="K610">
        <v>7.05</v>
      </c>
      <c r="L610">
        <f t="shared" si="46"/>
        <v>0</v>
      </c>
      <c r="M610">
        <f t="shared" si="47"/>
        <v>21</v>
      </c>
      <c r="N610" t="str">
        <f t="shared" si="48"/>
        <v>Adult</v>
      </c>
      <c r="O610">
        <f t="shared" si="49"/>
        <v>7.05</v>
      </c>
    </row>
    <row r="611" spans="1:15" x14ac:dyDescent="0.3">
      <c r="A611">
        <v>610</v>
      </c>
      <c r="B611">
        <v>1</v>
      </c>
      <c r="C611" t="str">
        <f t="shared" si="45"/>
        <v>Yes</v>
      </c>
      <c r="D611" t="s">
        <v>960</v>
      </c>
      <c r="E611" t="s">
        <v>1577</v>
      </c>
      <c r="F611" t="str" cm="1">
        <f t="array" ref="F611">IF(OR(COUNTIF(D611,"*"&amp;Preprocessing!$T$9:$T$15&amp;"*")),"Female","Male")</f>
        <v>Female</v>
      </c>
      <c r="G611">
        <v>18</v>
      </c>
      <c r="H611">
        <v>1</v>
      </c>
      <c r="I611">
        <v>0</v>
      </c>
      <c r="J611">
        <v>3</v>
      </c>
      <c r="K611">
        <v>15.5</v>
      </c>
      <c r="L611">
        <f t="shared" si="46"/>
        <v>1</v>
      </c>
      <c r="M611">
        <f t="shared" si="47"/>
        <v>18</v>
      </c>
      <c r="N611" t="str">
        <f t="shared" si="48"/>
        <v>Adult</v>
      </c>
      <c r="O611">
        <f t="shared" si="49"/>
        <v>15.5</v>
      </c>
    </row>
    <row r="612" spans="1:15" x14ac:dyDescent="0.3">
      <c r="A612">
        <v>611</v>
      </c>
      <c r="B612">
        <v>0</v>
      </c>
      <c r="C612" t="str">
        <f t="shared" si="45"/>
        <v>No</v>
      </c>
      <c r="D612" t="s">
        <v>956</v>
      </c>
      <c r="E612" t="s">
        <v>1578</v>
      </c>
      <c r="F612" t="str" cm="1">
        <f t="array" ref="F612">IF(OR(COUNTIF(D612,"*"&amp;Preprocessing!$T$9:$T$15&amp;"*")),"Female","Male")</f>
        <v>Male</v>
      </c>
      <c r="G612">
        <v>22</v>
      </c>
      <c r="H612">
        <v>0</v>
      </c>
      <c r="I612">
        <v>0</v>
      </c>
      <c r="J612">
        <v>3</v>
      </c>
      <c r="K612">
        <v>7.75</v>
      </c>
      <c r="L612">
        <f t="shared" si="46"/>
        <v>0</v>
      </c>
      <c r="M612">
        <f t="shared" si="47"/>
        <v>22</v>
      </c>
      <c r="N612" t="str">
        <f t="shared" si="48"/>
        <v>Adult</v>
      </c>
      <c r="O612">
        <f t="shared" si="49"/>
        <v>7.75</v>
      </c>
    </row>
    <row r="613" spans="1:15" x14ac:dyDescent="0.3">
      <c r="A613">
        <v>612</v>
      </c>
      <c r="B613">
        <v>0</v>
      </c>
      <c r="C613" t="str">
        <f t="shared" si="45"/>
        <v>No</v>
      </c>
      <c r="D613" t="s">
        <v>956</v>
      </c>
      <c r="E613" t="s">
        <v>1579</v>
      </c>
      <c r="F613" t="str" cm="1">
        <f t="array" ref="F613">IF(OR(COUNTIF(D613,"*"&amp;Preprocessing!$T$9:$T$15&amp;"*")),"Female","Male")</f>
        <v>Male</v>
      </c>
      <c r="G613">
        <v>35</v>
      </c>
      <c r="H613">
        <v>0</v>
      </c>
      <c r="I613">
        <v>0</v>
      </c>
      <c r="J613">
        <v>3</v>
      </c>
      <c r="K613">
        <v>8.0500000000000007</v>
      </c>
      <c r="L613">
        <f t="shared" si="46"/>
        <v>0</v>
      </c>
      <c r="M613">
        <f t="shared" si="47"/>
        <v>35</v>
      </c>
      <c r="N613" t="str">
        <f t="shared" si="48"/>
        <v>Adult</v>
      </c>
      <c r="O613">
        <f t="shared" si="49"/>
        <v>8.0500000000000007</v>
      </c>
    </row>
    <row r="614" spans="1:15" x14ac:dyDescent="0.3">
      <c r="A614">
        <v>613</v>
      </c>
      <c r="B614">
        <v>1</v>
      </c>
      <c r="C614" t="str">
        <f t="shared" si="45"/>
        <v>Yes</v>
      </c>
      <c r="D614" t="s">
        <v>960</v>
      </c>
      <c r="E614" t="s">
        <v>1580</v>
      </c>
      <c r="F614" t="str" cm="1">
        <f t="array" ref="F614">IF(OR(COUNTIF(D614,"*"&amp;Preprocessing!$T$9:$T$15&amp;"*")),"Female","Male")</f>
        <v>Female</v>
      </c>
      <c r="G614">
        <v>24</v>
      </c>
      <c r="H614">
        <v>1</v>
      </c>
      <c r="I614">
        <v>2</v>
      </c>
      <c r="J614">
        <v>2</v>
      </c>
      <c r="K614">
        <v>65</v>
      </c>
      <c r="L614">
        <f t="shared" si="46"/>
        <v>1</v>
      </c>
      <c r="M614">
        <f t="shared" si="47"/>
        <v>24</v>
      </c>
      <c r="N614" t="str">
        <f t="shared" si="48"/>
        <v>Adult</v>
      </c>
      <c r="O614">
        <f t="shared" si="49"/>
        <v>65</v>
      </c>
    </row>
    <row r="615" spans="1:15" x14ac:dyDescent="0.3">
      <c r="A615">
        <v>614</v>
      </c>
      <c r="B615">
        <v>0</v>
      </c>
      <c r="C615" t="str">
        <f t="shared" si="45"/>
        <v>No</v>
      </c>
      <c r="D615" t="s">
        <v>956</v>
      </c>
      <c r="E615" t="s">
        <v>1581</v>
      </c>
      <c r="F615" t="str" cm="1">
        <f t="array" ref="F615">IF(OR(COUNTIF(D615,"*"&amp;Preprocessing!$T$9:$T$15&amp;"*")),"Female","Male")</f>
        <v>Male</v>
      </c>
      <c r="G615">
        <v>34</v>
      </c>
      <c r="H615">
        <v>1</v>
      </c>
      <c r="I615">
        <v>1</v>
      </c>
      <c r="J615">
        <v>3</v>
      </c>
      <c r="K615">
        <v>14.4</v>
      </c>
      <c r="L615">
        <f t="shared" si="46"/>
        <v>0</v>
      </c>
      <c r="M615">
        <f t="shared" si="47"/>
        <v>34</v>
      </c>
      <c r="N615" t="str">
        <f t="shared" si="48"/>
        <v>Adult</v>
      </c>
      <c r="O615">
        <f t="shared" si="49"/>
        <v>14.4</v>
      </c>
    </row>
    <row r="616" spans="1:15" x14ac:dyDescent="0.3">
      <c r="A616">
        <v>615</v>
      </c>
      <c r="B616">
        <v>0</v>
      </c>
      <c r="C616" t="str">
        <f t="shared" si="45"/>
        <v>No</v>
      </c>
      <c r="D616" t="s">
        <v>958</v>
      </c>
      <c r="E616" t="s">
        <v>1582</v>
      </c>
      <c r="F616" t="str" cm="1">
        <f t="array" ref="F616">IF(OR(COUNTIF(D616,"*"&amp;Preprocessing!$T$9:$T$15&amp;"*")),"Female","Male")</f>
        <v>Female</v>
      </c>
      <c r="G616">
        <v>26</v>
      </c>
      <c r="H616">
        <v>1</v>
      </c>
      <c r="I616">
        <v>0</v>
      </c>
      <c r="J616">
        <v>3</v>
      </c>
      <c r="K616">
        <v>16.100000000000001</v>
      </c>
      <c r="L616">
        <f t="shared" si="46"/>
        <v>1</v>
      </c>
      <c r="M616">
        <f t="shared" si="47"/>
        <v>26</v>
      </c>
      <c r="N616" t="str">
        <f t="shared" si="48"/>
        <v>Adult</v>
      </c>
      <c r="O616">
        <f t="shared" si="49"/>
        <v>16.100000000000001</v>
      </c>
    </row>
    <row r="617" spans="1:15" x14ac:dyDescent="0.3">
      <c r="A617">
        <v>616</v>
      </c>
      <c r="B617">
        <v>1</v>
      </c>
      <c r="C617" t="str">
        <f t="shared" si="45"/>
        <v>Yes</v>
      </c>
      <c r="D617" t="s">
        <v>960</v>
      </c>
      <c r="E617" t="s">
        <v>1583</v>
      </c>
      <c r="F617" t="str" cm="1">
        <f t="array" ref="F617">IF(OR(COUNTIF(D617,"*"&amp;Preprocessing!$T$9:$T$15&amp;"*")),"Female","Male")</f>
        <v>Female</v>
      </c>
      <c r="G617">
        <v>4</v>
      </c>
      <c r="H617">
        <v>2</v>
      </c>
      <c r="I617">
        <v>1</v>
      </c>
      <c r="J617">
        <v>2</v>
      </c>
      <c r="K617">
        <v>39</v>
      </c>
      <c r="L617">
        <f t="shared" si="46"/>
        <v>1</v>
      </c>
      <c r="M617">
        <f t="shared" si="47"/>
        <v>4</v>
      </c>
      <c r="N617" t="str">
        <f t="shared" si="48"/>
        <v>Child</v>
      </c>
      <c r="O617">
        <f t="shared" si="49"/>
        <v>39</v>
      </c>
    </row>
    <row r="618" spans="1:15" x14ac:dyDescent="0.3">
      <c r="A618">
        <v>617</v>
      </c>
      <c r="B618">
        <v>0</v>
      </c>
      <c r="C618" t="str">
        <f t="shared" si="45"/>
        <v>No</v>
      </c>
      <c r="D618" t="s">
        <v>956</v>
      </c>
      <c r="E618" t="s">
        <v>1584</v>
      </c>
      <c r="F618" t="str" cm="1">
        <f t="array" ref="F618">IF(OR(COUNTIF(D618,"*"&amp;Preprocessing!$T$9:$T$15&amp;"*")),"Female","Male")</f>
        <v>Male</v>
      </c>
      <c r="G618">
        <v>26</v>
      </c>
      <c r="H618">
        <v>0</v>
      </c>
      <c r="I618">
        <v>0</v>
      </c>
      <c r="J618">
        <v>2</v>
      </c>
      <c r="K618">
        <v>10.5</v>
      </c>
      <c r="L618">
        <f t="shared" si="46"/>
        <v>0</v>
      </c>
      <c r="M618">
        <f t="shared" si="47"/>
        <v>26</v>
      </c>
      <c r="N618" t="str">
        <f t="shared" si="48"/>
        <v>Adult</v>
      </c>
      <c r="O618">
        <f t="shared" si="49"/>
        <v>10.5</v>
      </c>
    </row>
    <row r="619" spans="1:15" x14ac:dyDescent="0.3">
      <c r="A619">
        <v>618</v>
      </c>
      <c r="B619">
        <v>0</v>
      </c>
      <c r="C619" t="str">
        <f t="shared" si="45"/>
        <v>No</v>
      </c>
      <c r="D619" t="s">
        <v>956</v>
      </c>
      <c r="E619" t="s">
        <v>1585</v>
      </c>
      <c r="F619" t="str" cm="1">
        <f t="array" ref="F619">IF(OR(COUNTIF(D619,"*"&amp;Preprocessing!$T$9:$T$15&amp;"*")),"Female","Male")</f>
        <v>Male</v>
      </c>
      <c r="G619">
        <v>27</v>
      </c>
      <c r="H619">
        <v>1</v>
      </c>
      <c r="I619">
        <v>0</v>
      </c>
      <c r="J619">
        <v>3</v>
      </c>
      <c r="K619">
        <v>14.4542</v>
      </c>
      <c r="L619">
        <f t="shared" si="46"/>
        <v>0</v>
      </c>
      <c r="M619">
        <f t="shared" si="47"/>
        <v>27</v>
      </c>
      <c r="N619" t="str">
        <f t="shared" si="48"/>
        <v>Adult</v>
      </c>
      <c r="O619">
        <f t="shared" si="49"/>
        <v>14.45</v>
      </c>
    </row>
    <row r="620" spans="1:15" x14ac:dyDescent="0.3">
      <c r="A620">
        <v>619</v>
      </c>
      <c r="B620">
        <v>1</v>
      </c>
      <c r="C620" t="str">
        <f t="shared" si="45"/>
        <v>Yes</v>
      </c>
      <c r="D620" t="s">
        <v>956</v>
      </c>
      <c r="E620" t="s">
        <v>1586</v>
      </c>
      <c r="F620" t="str" cm="1">
        <f t="array" ref="F620">IF(OR(COUNTIF(D620,"*"&amp;Preprocessing!$T$9:$T$15&amp;"*")),"Female","Male")</f>
        <v>Male</v>
      </c>
      <c r="G620">
        <v>42</v>
      </c>
      <c r="H620">
        <v>1</v>
      </c>
      <c r="I620">
        <v>0</v>
      </c>
      <c r="J620">
        <v>1</v>
      </c>
      <c r="K620">
        <v>52.554200000000002</v>
      </c>
      <c r="L620">
        <f t="shared" si="46"/>
        <v>0</v>
      </c>
      <c r="M620">
        <f t="shared" si="47"/>
        <v>42</v>
      </c>
      <c r="N620" t="str">
        <f t="shared" si="48"/>
        <v>Adult</v>
      </c>
      <c r="O620">
        <f t="shared" si="49"/>
        <v>52.55</v>
      </c>
    </row>
    <row r="621" spans="1:15" x14ac:dyDescent="0.3">
      <c r="A621">
        <v>620</v>
      </c>
      <c r="B621">
        <v>1</v>
      </c>
      <c r="C621" t="str">
        <f t="shared" si="45"/>
        <v>Yes</v>
      </c>
      <c r="D621" t="s">
        <v>956</v>
      </c>
      <c r="E621" t="s">
        <v>1587</v>
      </c>
      <c r="F621" t="str" cm="1">
        <f t="array" ref="F621">IF(OR(COUNTIF(D621,"*"&amp;Preprocessing!$T$9:$T$15&amp;"*")),"Female","Male")</f>
        <v>Male</v>
      </c>
      <c r="G621">
        <v>20</v>
      </c>
      <c r="H621">
        <v>1</v>
      </c>
      <c r="I621">
        <v>1</v>
      </c>
      <c r="J621">
        <v>3</v>
      </c>
      <c r="K621">
        <v>15.7417</v>
      </c>
      <c r="L621">
        <f t="shared" si="46"/>
        <v>0</v>
      </c>
      <c r="M621">
        <f t="shared" si="47"/>
        <v>20</v>
      </c>
      <c r="N621" t="str">
        <f t="shared" si="48"/>
        <v>Adult</v>
      </c>
      <c r="O621">
        <f t="shared" si="49"/>
        <v>15.74</v>
      </c>
    </row>
    <row r="622" spans="1:15" x14ac:dyDescent="0.3">
      <c r="A622">
        <v>621</v>
      </c>
      <c r="B622">
        <v>0</v>
      </c>
      <c r="C622" t="str">
        <f t="shared" si="45"/>
        <v>No</v>
      </c>
      <c r="D622" t="s">
        <v>956</v>
      </c>
      <c r="E622" t="s">
        <v>1588</v>
      </c>
      <c r="F622" t="str" cm="1">
        <f t="array" ref="F622">IF(OR(COUNTIF(D622,"*"&amp;Preprocessing!$T$9:$T$15&amp;"*")),"Female","Male")</f>
        <v>Male</v>
      </c>
      <c r="G622">
        <v>21</v>
      </c>
      <c r="H622">
        <v>0</v>
      </c>
      <c r="I622">
        <v>0</v>
      </c>
      <c r="J622">
        <v>3</v>
      </c>
      <c r="K622">
        <v>7.8541999999999996</v>
      </c>
      <c r="L622">
        <f t="shared" si="46"/>
        <v>0</v>
      </c>
      <c r="M622">
        <f t="shared" si="47"/>
        <v>21</v>
      </c>
      <c r="N622" t="str">
        <f t="shared" si="48"/>
        <v>Adult</v>
      </c>
      <c r="O622">
        <f t="shared" si="49"/>
        <v>7.85</v>
      </c>
    </row>
    <row r="623" spans="1:15" x14ac:dyDescent="0.3">
      <c r="A623">
        <v>622</v>
      </c>
      <c r="B623">
        <v>0</v>
      </c>
      <c r="C623" t="str">
        <f t="shared" si="45"/>
        <v>No</v>
      </c>
      <c r="D623" t="s">
        <v>956</v>
      </c>
      <c r="E623" t="s">
        <v>1589</v>
      </c>
      <c r="F623" t="str" cm="1">
        <f t="array" ref="F623">IF(OR(COUNTIF(D623,"*"&amp;Preprocessing!$T$9:$T$15&amp;"*")),"Female","Male")</f>
        <v>Male</v>
      </c>
      <c r="G623">
        <v>21</v>
      </c>
      <c r="H623">
        <v>0</v>
      </c>
      <c r="I623">
        <v>0</v>
      </c>
      <c r="J623">
        <v>3</v>
      </c>
      <c r="K623">
        <v>16.100000000000001</v>
      </c>
      <c r="L623">
        <f t="shared" si="46"/>
        <v>0</v>
      </c>
      <c r="M623">
        <f t="shared" si="47"/>
        <v>21</v>
      </c>
      <c r="N623" t="str">
        <f t="shared" si="48"/>
        <v>Adult</v>
      </c>
      <c r="O623">
        <f t="shared" si="49"/>
        <v>16.100000000000001</v>
      </c>
    </row>
    <row r="624" spans="1:15" x14ac:dyDescent="0.3">
      <c r="A624">
        <v>623</v>
      </c>
      <c r="B624">
        <v>0</v>
      </c>
      <c r="C624" t="str">
        <f t="shared" si="45"/>
        <v>No</v>
      </c>
      <c r="D624" t="s">
        <v>956</v>
      </c>
      <c r="E624" t="s">
        <v>1590</v>
      </c>
      <c r="F624" t="str" cm="1">
        <f t="array" ref="F624">IF(OR(COUNTIF(D624,"*"&amp;Preprocessing!$T$9:$T$15&amp;"*")),"Female","Male")</f>
        <v>Male</v>
      </c>
      <c r="G624">
        <v>61</v>
      </c>
      <c r="H624">
        <v>0</v>
      </c>
      <c r="I624">
        <v>0</v>
      </c>
      <c r="J624">
        <v>1</v>
      </c>
      <c r="K624">
        <v>32.320799999999998</v>
      </c>
      <c r="L624">
        <f t="shared" si="46"/>
        <v>0</v>
      </c>
      <c r="M624">
        <f t="shared" si="47"/>
        <v>61</v>
      </c>
      <c r="N624" t="str">
        <f t="shared" si="48"/>
        <v>Adult</v>
      </c>
      <c r="O624">
        <f t="shared" si="49"/>
        <v>32.32</v>
      </c>
    </row>
    <row r="625" spans="1:15" x14ac:dyDescent="0.3">
      <c r="A625">
        <v>624</v>
      </c>
      <c r="B625">
        <v>0</v>
      </c>
      <c r="C625" t="str">
        <f t="shared" si="45"/>
        <v>No</v>
      </c>
      <c r="D625" t="s">
        <v>1109</v>
      </c>
      <c r="E625" t="s">
        <v>1591</v>
      </c>
      <c r="F625" t="str" cm="1">
        <f t="array" ref="F625">IF(OR(COUNTIF(D625,"*"&amp;Preprocessing!$T$9:$T$15&amp;"*")),"Female","Male")</f>
        <v>Male</v>
      </c>
      <c r="G625">
        <v>57</v>
      </c>
      <c r="H625">
        <v>0</v>
      </c>
      <c r="I625">
        <v>0</v>
      </c>
      <c r="J625">
        <v>2</v>
      </c>
      <c r="K625">
        <v>12.35</v>
      </c>
      <c r="L625">
        <f t="shared" si="46"/>
        <v>0</v>
      </c>
      <c r="M625">
        <f t="shared" si="47"/>
        <v>57</v>
      </c>
      <c r="N625" t="str">
        <f t="shared" si="48"/>
        <v>Adult</v>
      </c>
      <c r="O625">
        <f t="shared" si="49"/>
        <v>12.35</v>
      </c>
    </row>
    <row r="626" spans="1:15" x14ac:dyDescent="0.3">
      <c r="A626">
        <v>625</v>
      </c>
      <c r="B626">
        <v>1</v>
      </c>
      <c r="C626" t="str">
        <f t="shared" si="45"/>
        <v>Yes</v>
      </c>
      <c r="D626" t="s">
        <v>960</v>
      </c>
      <c r="E626" t="s">
        <v>1592</v>
      </c>
      <c r="F626" t="str" cm="1">
        <f t="array" ref="F626">IF(OR(COUNTIF(D626,"*"&amp;Preprocessing!$T$9:$T$15&amp;"*")),"Female","Male")</f>
        <v>Female</v>
      </c>
      <c r="G626">
        <v>21</v>
      </c>
      <c r="H626">
        <v>0</v>
      </c>
      <c r="I626">
        <v>0</v>
      </c>
      <c r="J626">
        <v>1</v>
      </c>
      <c r="K626">
        <v>77.958299999999994</v>
      </c>
      <c r="L626">
        <f t="shared" si="46"/>
        <v>1</v>
      </c>
      <c r="M626">
        <f t="shared" si="47"/>
        <v>21</v>
      </c>
      <c r="N626" t="str">
        <f t="shared" si="48"/>
        <v>Adult</v>
      </c>
      <c r="O626">
        <f t="shared" si="49"/>
        <v>77.959999999999994</v>
      </c>
    </row>
    <row r="627" spans="1:15" x14ac:dyDescent="0.3">
      <c r="A627">
        <v>626</v>
      </c>
      <c r="B627">
        <v>0</v>
      </c>
      <c r="C627" t="str">
        <f t="shared" si="45"/>
        <v>No</v>
      </c>
      <c r="D627" t="s">
        <v>956</v>
      </c>
      <c r="E627" t="s">
        <v>1593</v>
      </c>
      <c r="F627" t="str" cm="1">
        <f t="array" ref="F627">IF(OR(COUNTIF(D627,"*"&amp;Preprocessing!$T$9:$T$15&amp;"*")),"Female","Male")</f>
        <v>Male</v>
      </c>
      <c r="G627">
        <v>26</v>
      </c>
      <c r="H627">
        <v>0</v>
      </c>
      <c r="I627">
        <v>0</v>
      </c>
      <c r="J627">
        <v>3</v>
      </c>
      <c r="K627">
        <v>7.8958000000000004</v>
      </c>
      <c r="L627">
        <f t="shared" si="46"/>
        <v>0</v>
      </c>
      <c r="M627">
        <f t="shared" si="47"/>
        <v>26</v>
      </c>
      <c r="N627" t="str">
        <f t="shared" si="48"/>
        <v>Adult</v>
      </c>
      <c r="O627">
        <f t="shared" si="49"/>
        <v>7.9</v>
      </c>
    </row>
    <row r="628" spans="1:15" x14ac:dyDescent="0.3">
      <c r="A628">
        <v>627</v>
      </c>
      <c r="B628">
        <v>0</v>
      </c>
      <c r="C628" t="str">
        <f t="shared" si="45"/>
        <v>No</v>
      </c>
      <c r="D628" t="s">
        <v>956</v>
      </c>
      <c r="E628" t="s">
        <v>1594</v>
      </c>
      <c r="F628" t="str" cm="1">
        <f t="array" ref="F628">IF(OR(COUNTIF(D628,"*"&amp;Preprocessing!$T$9:$T$15&amp;"*")),"Female","Male")</f>
        <v>Male</v>
      </c>
      <c r="G628">
        <v>18</v>
      </c>
      <c r="H628">
        <v>0</v>
      </c>
      <c r="I628">
        <v>0</v>
      </c>
      <c r="J628">
        <v>3</v>
      </c>
      <c r="K628">
        <v>7.7332999999999998</v>
      </c>
      <c r="L628">
        <f t="shared" si="46"/>
        <v>0</v>
      </c>
      <c r="M628">
        <f t="shared" si="47"/>
        <v>18</v>
      </c>
      <c r="N628" t="str">
        <f t="shared" si="48"/>
        <v>Adult</v>
      </c>
      <c r="O628">
        <f t="shared" si="49"/>
        <v>7.73</v>
      </c>
    </row>
    <row r="629" spans="1:15" x14ac:dyDescent="0.3">
      <c r="A629">
        <v>628</v>
      </c>
      <c r="B629">
        <v>1</v>
      </c>
      <c r="C629" t="str">
        <f t="shared" si="45"/>
        <v>Yes</v>
      </c>
      <c r="D629" t="s">
        <v>956</v>
      </c>
      <c r="E629" t="s">
        <v>1595</v>
      </c>
      <c r="F629" t="str" cm="1">
        <f t="array" ref="F629">IF(OR(COUNTIF(D629,"*"&amp;Preprocessing!$T$9:$T$15&amp;"*")),"Female","Male")</f>
        <v>Male</v>
      </c>
      <c r="G629">
        <v>80</v>
      </c>
      <c r="H629">
        <v>0</v>
      </c>
      <c r="I629">
        <v>0</v>
      </c>
      <c r="J629">
        <v>1</v>
      </c>
      <c r="K629">
        <v>30</v>
      </c>
      <c r="L629">
        <f t="shared" si="46"/>
        <v>0</v>
      </c>
      <c r="M629">
        <f t="shared" si="47"/>
        <v>80</v>
      </c>
      <c r="N629" t="str">
        <f t="shared" si="48"/>
        <v>Adult</v>
      </c>
      <c r="O629">
        <f t="shared" si="49"/>
        <v>30</v>
      </c>
    </row>
    <row r="630" spans="1:15" x14ac:dyDescent="0.3">
      <c r="A630">
        <v>629</v>
      </c>
      <c r="B630">
        <v>0</v>
      </c>
      <c r="C630" t="str">
        <f t="shared" si="45"/>
        <v>No</v>
      </c>
      <c r="D630" t="s">
        <v>956</v>
      </c>
      <c r="E630" t="s">
        <v>1596</v>
      </c>
      <c r="F630" t="str" cm="1">
        <f t="array" ref="F630">IF(OR(COUNTIF(D630,"*"&amp;Preprocessing!$T$9:$T$15&amp;"*")),"Female","Male")</f>
        <v>Male</v>
      </c>
      <c r="G630">
        <v>51</v>
      </c>
      <c r="H630">
        <v>0</v>
      </c>
      <c r="I630">
        <v>0</v>
      </c>
      <c r="J630">
        <v>3</v>
      </c>
      <c r="K630">
        <v>7.0541999999999998</v>
      </c>
      <c r="L630">
        <f t="shared" si="46"/>
        <v>0</v>
      </c>
      <c r="M630">
        <f t="shared" si="47"/>
        <v>51</v>
      </c>
      <c r="N630" t="str">
        <f t="shared" si="48"/>
        <v>Adult</v>
      </c>
      <c r="O630">
        <f t="shared" si="49"/>
        <v>7.05</v>
      </c>
    </row>
    <row r="631" spans="1:15" x14ac:dyDescent="0.3">
      <c r="A631">
        <v>630</v>
      </c>
      <c r="B631">
        <v>1</v>
      </c>
      <c r="C631" t="str">
        <f t="shared" si="45"/>
        <v>Yes</v>
      </c>
      <c r="D631" t="s">
        <v>1206</v>
      </c>
      <c r="E631" t="s">
        <v>1597</v>
      </c>
      <c r="F631" t="str" cm="1">
        <f t="array" ref="F631">IF(OR(COUNTIF(D631,"*"&amp;Preprocessing!$T$9:$T$15&amp;"*")),"Female","Male")</f>
        <v>Male</v>
      </c>
      <c r="G631">
        <v>32</v>
      </c>
      <c r="H631">
        <v>0</v>
      </c>
      <c r="I631">
        <v>0</v>
      </c>
      <c r="J631">
        <v>1</v>
      </c>
      <c r="K631">
        <v>30.5</v>
      </c>
      <c r="L631">
        <f t="shared" si="46"/>
        <v>0</v>
      </c>
      <c r="M631">
        <f t="shared" si="47"/>
        <v>32</v>
      </c>
      <c r="N631" t="str">
        <f t="shared" si="48"/>
        <v>Adult</v>
      </c>
      <c r="O631">
        <f t="shared" si="49"/>
        <v>30.5</v>
      </c>
    </row>
    <row r="632" spans="1:15" x14ac:dyDescent="0.3">
      <c r="A632">
        <v>631</v>
      </c>
      <c r="B632">
        <v>0</v>
      </c>
      <c r="C632" t="str">
        <f t="shared" si="45"/>
        <v>No</v>
      </c>
      <c r="D632" t="s">
        <v>956</v>
      </c>
      <c r="E632" t="s">
        <v>1598</v>
      </c>
      <c r="F632" t="str" cm="1">
        <f t="array" ref="F632">IF(OR(COUNTIF(D632,"*"&amp;Preprocessing!$T$9:$T$15&amp;"*")),"Female","Male")</f>
        <v>Male</v>
      </c>
      <c r="G632">
        <v>30</v>
      </c>
      <c r="H632">
        <v>0</v>
      </c>
      <c r="I632">
        <v>0</v>
      </c>
      <c r="J632">
        <v>1</v>
      </c>
      <c r="K632">
        <v>0</v>
      </c>
      <c r="L632">
        <f t="shared" si="46"/>
        <v>0</v>
      </c>
      <c r="M632">
        <f t="shared" si="47"/>
        <v>30</v>
      </c>
      <c r="N632" t="str">
        <f t="shared" si="48"/>
        <v>Adult</v>
      </c>
      <c r="O632">
        <f t="shared" si="49"/>
        <v>0</v>
      </c>
    </row>
    <row r="633" spans="1:15" x14ac:dyDescent="0.3">
      <c r="A633">
        <v>632</v>
      </c>
      <c r="B633">
        <v>0</v>
      </c>
      <c r="C633" t="str">
        <f t="shared" si="45"/>
        <v>No</v>
      </c>
      <c r="D633" t="s">
        <v>960</v>
      </c>
      <c r="E633" t="s">
        <v>1599</v>
      </c>
      <c r="F633" t="str" cm="1">
        <f t="array" ref="F633">IF(OR(COUNTIF(D633,"*"&amp;Preprocessing!$T$9:$T$15&amp;"*")),"Female","Male")</f>
        <v>Female</v>
      </c>
      <c r="G633">
        <v>9</v>
      </c>
      <c r="H633">
        <v>3</v>
      </c>
      <c r="I633">
        <v>2</v>
      </c>
      <c r="J633">
        <v>3</v>
      </c>
      <c r="K633">
        <v>27.9</v>
      </c>
      <c r="L633">
        <f t="shared" si="46"/>
        <v>1</v>
      </c>
      <c r="M633">
        <f t="shared" si="47"/>
        <v>9</v>
      </c>
      <c r="N633" t="str">
        <f t="shared" si="48"/>
        <v>Child</v>
      </c>
      <c r="O633">
        <f t="shared" si="49"/>
        <v>27.9</v>
      </c>
    </row>
    <row r="634" spans="1:15" x14ac:dyDescent="0.3">
      <c r="A634">
        <v>633</v>
      </c>
      <c r="B634">
        <v>1</v>
      </c>
      <c r="C634" t="str">
        <f t="shared" si="45"/>
        <v>Yes</v>
      </c>
      <c r="D634" t="s">
        <v>960</v>
      </c>
      <c r="E634" t="s">
        <v>1600</v>
      </c>
      <c r="F634" t="str" cm="1">
        <f t="array" ref="F634">IF(OR(COUNTIF(D634,"*"&amp;Preprocessing!$T$9:$T$15&amp;"*")),"Female","Male")</f>
        <v>Female</v>
      </c>
      <c r="G634">
        <v>28</v>
      </c>
      <c r="H634">
        <v>0</v>
      </c>
      <c r="I634">
        <v>0</v>
      </c>
      <c r="J634">
        <v>2</v>
      </c>
      <c r="K634">
        <v>13</v>
      </c>
      <c r="L634">
        <f t="shared" si="46"/>
        <v>1</v>
      </c>
      <c r="M634">
        <f t="shared" si="47"/>
        <v>28</v>
      </c>
      <c r="N634" t="str">
        <f t="shared" si="48"/>
        <v>Adult</v>
      </c>
      <c r="O634">
        <f t="shared" si="49"/>
        <v>13</v>
      </c>
    </row>
    <row r="635" spans="1:15" x14ac:dyDescent="0.3">
      <c r="A635">
        <v>634</v>
      </c>
      <c r="B635">
        <v>0</v>
      </c>
      <c r="C635" t="str">
        <f t="shared" si="45"/>
        <v>No</v>
      </c>
      <c r="D635" t="s">
        <v>956</v>
      </c>
      <c r="E635" t="s">
        <v>1601</v>
      </c>
      <c r="F635" t="str" cm="1">
        <f t="array" ref="F635">IF(OR(COUNTIF(D635,"*"&amp;Preprocessing!$T$9:$T$15&amp;"*")),"Female","Male")</f>
        <v>Male</v>
      </c>
      <c r="G635">
        <v>32</v>
      </c>
      <c r="H635">
        <v>0</v>
      </c>
      <c r="I635">
        <v>0</v>
      </c>
      <c r="J635">
        <v>3</v>
      </c>
      <c r="K635">
        <v>7.9249999999999998</v>
      </c>
      <c r="L635">
        <f t="shared" si="46"/>
        <v>0</v>
      </c>
      <c r="M635">
        <f t="shared" si="47"/>
        <v>32</v>
      </c>
      <c r="N635" t="str">
        <f t="shared" si="48"/>
        <v>Adult</v>
      </c>
      <c r="O635">
        <f t="shared" si="49"/>
        <v>7.93</v>
      </c>
    </row>
    <row r="636" spans="1:15" x14ac:dyDescent="0.3">
      <c r="A636">
        <v>635</v>
      </c>
      <c r="B636">
        <v>0</v>
      </c>
      <c r="C636" t="str">
        <f t="shared" si="45"/>
        <v>No</v>
      </c>
      <c r="D636" t="s">
        <v>956</v>
      </c>
      <c r="E636" t="s">
        <v>1602</v>
      </c>
      <c r="F636" t="str" cm="1">
        <f t="array" ref="F636">IF(OR(COUNTIF(D636,"*"&amp;Preprocessing!$T$9:$T$15&amp;"*")),"Female","Male")</f>
        <v>Male</v>
      </c>
      <c r="G636">
        <v>31</v>
      </c>
      <c r="H636">
        <v>1</v>
      </c>
      <c r="I636">
        <v>1</v>
      </c>
      <c r="J636">
        <v>2</v>
      </c>
      <c r="K636">
        <v>26.25</v>
      </c>
      <c r="L636">
        <f t="shared" si="46"/>
        <v>0</v>
      </c>
      <c r="M636">
        <f t="shared" si="47"/>
        <v>31</v>
      </c>
      <c r="N636" t="str">
        <f t="shared" si="48"/>
        <v>Adult</v>
      </c>
      <c r="O636">
        <f t="shared" si="49"/>
        <v>26.25</v>
      </c>
    </row>
    <row r="637" spans="1:15" x14ac:dyDescent="0.3">
      <c r="A637">
        <v>636</v>
      </c>
      <c r="B637">
        <v>0</v>
      </c>
      <c r="C637" t="str">
        <f t="shared" si="45"/>
        <v>No</v>
      </c>
      <c r="D637" t="s">
        <v>958</v>
      </c>
      <c r="E637" t="s">
        <v>1603</v>
      </c>
      <c r="F637" t="str" cm="1">
        <f t="array" ref="F637">IF(OR(COUNTIF(D637,"*"&amp;Preprocessing!$T$9:$T$15&amp;"*")),"Female","Male")</f>
        <v>Female</v>
      </c>
      <c r="G637">
        <v>41</v>
      </c>
      <c r="H637">
        <v>0</v>
      </c>
      <c r="I637">
        <v>5</v>
      </c>
      <c r="J637">
        <v>3</v>
      </c>
      <c r="K637">
        <v>39.6875</v>
      </c>
      <c r="L637">
        <f t="shared" si="46"/>
        <v>1</v>
      </c>
      <c r="M637">
        <f t="shared" si="47"/>
        <v>41</v>
      </c>
      <c r="N637" t="str">
        <f t="shared" si="48"/>
        <v>Adult</v>
      </c>
      <c r="O637">
        <f t="shared" si="49"/>
        <v>39.69</v>
      </c>
    </row>
    <row r="638" spans="1:15" x14ac:dyDescent="0.3">
      <c r="A638">
        <v>637</v>
      </c>
      <c r="B638">
        <v>0</v>
      </c>
      <c r="C638" t="str">
        <f t="shared" si="45"/>
        <v>No</v>
      </c>
      <c r="D638" t="s">
        <v>956</v>
      </c>
      <c r="E638" t="s">
        <v>1604</v>
      </c>
      <c r="F638" t="str" cm="1">
        <f t="array" ref="F638">IF(OR(COUNTIF(D638,"*"&amp;Preprocessing!$T$9:$T$15&amp;"*")),"Female","Male")</f>
        <v>Male</v>
      </c>
      <c r="G638">
        <v>37</v>
      </c>
      <c r="H638">
        <v>1</v>
      </c>
      <c r="I638">
        <v>0</v>
      </c>
      <c r="J638">
        <v>3</v>
      </c>
      <c r="K638">
        <v>16.100000000000001</v>
      </c>
      <c r="L638">
        <f t="shared" si="46"/>
        <v>0</v>
      </c>
      <c r="M638">
        <f t="shared" si="47"/>
        <v>37</v>
      </c>
      <c r="N638" t="str">
        <f t="shared" si="48"/>
        <v>Adult</v>
      </c>
      <c r="O638">
        <f t="shared" si="49"/>
        <v>16.100000000000001</v>
      </c>
    </row>
    <row r="639" spans="1:15" x14ac:dyDescent="0.3">
      <c r="A639">
        <v>638</v>
      </c>
      <c r="B639">
        <v>0</v>
      </c>
      <c r="C639" t="str">
        <f t="shared" si="45"/>
        <v>No</v>
      </c>
      <c r="D639" t="s">
        <v>956</v>
      </c>
      <c r="E639" t="s">
        <v>1605</v>
      </c>
      <c r="F639" t="str" cm="1">
        <f t="array" ref="F639">IF(OR(COUNTIF(D639,"*"&amp;Preprocessing!$T$9:$T$15&amp;"*")),"Female","Male")</f>
        <v>Male</v>
      </c>
      <c r="G639">
        <v>20</v>
      </c>
      <c r="H639">
        <v>0</v>
      </c>
      <c r="I639">
        <v>0</v>
      </c>
      <c r="J639">
        <v>3</v>
      </c>
      <c r="K639">
        <v>7.8541999999999996</v>
      </c>
      <c r="L639">
        <f t="shared" si="46"/>
        <v>0</v>
      </c>
      <c r="M639">
        <f t="shared" si="47"/>
        <v>20</v>
      </c>
      <c r="N639" t="str">
        <f t="shared" si="48"/>
        <v>Adult</v>
      </c>
      <c r="O639">
        <f t="shared" si="49"/>
        <v>7.85</v>
      </c>
    </row>
    <row r="640" spans="1:15" x14ac:dyDescent="0.3">
      <c r="A640">
        <v>639</v>
      </c>
      <c r="B640">
        <v>1</v>
      </c>
      <c r="C640" t="str">
        <f t="shared" si="45"/>
        <v>Yes</v>
      </c>
      <c r="D640" t="s">
        <v>1606</v>
      </c>
      <c r="E640" t="s">
        <v>1607</v>
      </c>
      <c r="F640" t="str" cm="1">
        <f t="array" ref="F640">IF(OR(COUNTIF(D640,"*"&amp;Preprocessing!$T$9:$T$15&amp;"*")),"Female","Male")</f>
        <v>Female</v>
      </c>
      <c r="G640">
        <v>24</v>
      </c>
      <c r="H640">
        <v>0</v>
      </c>
      <c r="I640">
        <v>0</v>
      </c>
      <c r="J640">
        <v>1</v>
      </c>
      <c r="K640">
        <v>69.3</v>
      </c>
      <c r="L640">
        <f t="shared" si="46"/>
        <v>1</v>
      </c>
      <c r="M640">
        <f t="shared" si="47"/>
        <v>24</v>
      </c>
      <c r="N640" t="str">
        <f t="shared" si="48"/>
        <v>Adult</v>
      </c>
      <c r="O640">
        <f t="shared" si="49"/>
        <v>69.3</v>
      </c>
    </row>
    <row r="641" spans="1:15" x14ac:dyDescent="0.3">
      <c r="A641">
        <v>640</v>
      </c>
      <c r="B641">
        <v>0</v>
      </c>
      <c r="C641" t="str">
        <f t="shared" si="45"/>
        <v>No</v>
      </c>
      <c r="D641" t="s">
        <v>960</v>
      </c>
      <c r="E641" t="s">
        <v>1608</v>
      </c>
      <c r="F641" t="str" cm="1">
        <f t="array" ref="F641">IF(OR(COUNTIF(D641,"*"&amp;Preprocessing!$T$9:$T$15&amp;"*")),"Female","Male")</f>
        <v>Female</v>
      </c>
      <c r="G641">
        <v>2</v>
      </c>
      <c r="H641">
        <v>3</v>
      </c>
      <c r="I641">
        <v>2</v>
      </c>
      <c r="J641">
        <v>3</v>
      </c>
      <c r="K641">
        <v>27.9</v>
      </c>
      <c r="L641">
        <f t="shared" si="46"/>
        <v>1</v>
      </c>
      <c r="M641">
        <f t="shared" si="47"/>
        <v>2</v>
      </c>
      <c r="N641" t="str">
        <f t="shared" si="48"/>
        <v>Child</v>
      </c>
      <c r="O641">
        <f t="shared" si="49"/>
        <v>27.9</v>
      </c>
    </row>
    <row r="642" spans="1:15" x14ac:dyDescent="0.3">
      <c r="A642">
        <v>641</v>
      </c>
      <c r="B642">
        <v>1</v>
      </c>
      <c r="C642" t="str">
        <f t="shared" si="45"/>
        <v>Yes</v>
      </c>
      <c r="D642" t="s">
        <v>956</v>
      </c>
      <c r="E642" t="s">
        <v>1609</v>
      </c>
      <c r="F642" t="str" cm="1">
        <f t="array" ref="F642">IF(OR(COUNTIF(D642,"*"&amp;Preprocessing!$T$9:$T$15&amp;"*")),"Female","Male")</f>
        <v>Male</v>
      </c>
      <c r="G642">
        <v>32</v>
      </c>
      <c r="H642">
        <v>0</v>
      </c>
      <c r="I642">
        <v>0</v>
      </c>
      <c r="J642">
        <v>3</v>
      </c>
      <c r="K642">
        <v>56.495800000000003</v>
      </c>
      <c r="L642">
        <f t="shared" si="46"/>
        <v>0</v>
      </c>
      <c r="M642">
        <f t="shared" si="47"/>
        <v>32</v>
      </c>
      <c r="N642" t="str">
        <f t="shared" si="48"/>
        <v>Adult</v>
      </c>
      <c r="O642">
        <f t="shared" si="49"/>
        <v>56.5</v>
      </c>
    </row>
    <row r="643" spans="1:15" x14ac:dyDescent="0.3">
      <c r="A643">
        <v>642</v>
      </c>
      <c r="B643">
        <v>1</v>
      </c>
      <c r="C643" t="str">
        <f t="shared" ref="C643:C706" si="50">IF(B643=0,"No","Yes")</f>
        <v>Yes</v>
      </c>
      <c r="D643" t="s">
        <v>960</v>
      </c>
      <c r="E643" t="s">
        <v>1610</v>
      </c>
      <c r="F643" t="str" cm="1">
        <f t="array" ref="F643">IF(OR(COUNTIF(D643,"*"&amp;Preprocessing!$T$9:$T$15&amp;"*")),"Female","Male")</f>
        <v>Female</v>
      </c>
      <c r="G643">
        <v>0.75</v>
      </c>
      <c r="H643">
        <v>2</v>
      </c>
      <c r="I643">
        <v>1</v>
      </c>
      <c r="J643">
        <v>3</v>
      </c>
      <c r="K643">
        <v>19.258299999999998</v>
      </c>
      <c r="L643">
        <f t="shared" ref="L643:L706" si="51">IF(F643 = "Male", 0, 1)</f>
        <v>1</v>
      </c>
      <c r="M643">
        <f t="shared" ref="M643:M706" si="52">ROUND(G643, 0)</f>
        <v>1</v>
      </c>
      <c r="N643" t="str">
        <f t="shared" ref="N643:N706" si="53">IF(G643&lt;=16,"Child","Adult")</f>
        <v>Child</v>
      </c>
      <c r="O643">
        <f t="shared" ref="O643:O706" si="54">ROUND(K643, 2)</f>
        <v>19.260000000000002</v>
      </c>
    </row>
    <row r="644" spans="1:15" x14ac:dyDescent="0.3">
      <c r="A644">
        <v>643</v>
      </c>
      <c r="B644">
        <v>1</v>
      </c>
      <c r="C644" t="str">
        <f t="shared" si="50"/>
        <v>Yes</v>
      </c>
      <c r="D644" t="s">
        <v>956</v>
      </c>
      <c r="E644" t="s">
        <v>1611</v>
      </c>
      <c r="F644" t="str" cm="1">
        <f t="array" ref="F644">IF(OR(COUNTIF(D644,"*"&amp;Preprocessing!$T$9:$T$15&amp;"*")),"Female","Male")</f>
        <v>Male</v>
      </c>
      <c r="G644">
        <v>48</v>
      </c>
      <c r="H644">
        <v>1</v>
      </c>
      <c r="I644">
        <v>0</v>
      </c>
      <c r="J644">
        <v>1</v>
      </c>
      <c r="K644">
        <v>76.729200000000006</v>
      </c>
      <c r="L644">
        <f t="shared" si="51"/>
        <v>0</v>
      </c>
      <c r="M644">
        <f t="shared" si="52"/>
        <v>48</v>
      </c>
      <c r="N644" t="str">
        <f t="shared" si="53"/>
        <v>Adult</v>
      </c>
      <c r="O644">
        <f t="shared" si="54"/>
        <v>76.73</v>
      </c>
    </row>
    <row r="645" spans="1:15" x14ac:dyDescent="0.3">
      <c r="A645">
        <v>644</v>
      </c>
      <c r="B645">
        <v>0</v>
      </c>
      <c r="C645" t="str">
        <f t="shared" si="50"/>
        <v>No</v>
      </c>
      <c r="D645" t="s">
        <v>956</v>
      </c>
      <c r="E645" t="s">
        <v>1612</v>
      </c>
      <c r="F645" t="str" cm="1">
        <f t="array" ref="F645">IF(OR(COUNTIF(D645,"*"&amp;Preprocessing!$T$9:$T$15&amp;"*")),"Female","Male")</f>
        <v>Male</v>
      </c>
      <c r="G645">
        <v>19</v>
      </c>
      <c r="H645">
        <v>0</v>
      </c>
      <c r="I645">
        <v>0</v>
      </c>
      <c r="J645">
        <v>3</v>
      </c>
      <c r="K645">
        <v>7.8958000000000004</v>
      </c>
      <c r="L645">
        <f t="shared" si="51"/>
        <v>0</v>
      </c>
      <c r="M645">
        <f t="shared" si="52"/>
        <v>19</v>
      </c>
      <c r="N645" t="str">
        <f t="shared" si="53"/>
        <v>Adult</v>
      </c>
      <c r="O645">
        <f t="shared" si="54"/>
        <v>7.9</v>
      </c>
    </row>
    <row r="646" spans="1:15" x14ac:dyDescent="0.3">
      <c r="A646">
        <v>645</v>
      </c>
      <c r="B646">
        <v>1</v>
      </c>
      <c r="C646" t="str">
        <f t="shared" si="50"/>
        <v>Yes</v>
      </c>
      <c r="D646" t="s">
        <v>1613</v>
      </c>
      <c r="E646" t="s">
        <v>1614</v>
      </c>
      <c r="F646" t="str" cm="1">
        <f t="array" ref="F646">IF(OR(COUNTIF(D646,"*"&amp;Preprocessing!$T$9:$T$15&amp;"*")),"Female","Male")</f>
        <v>Male</v>
      </c>
      <c r="G646">
        <v>56</v>
      </c>
      <c r="H646">
        <v>0</v>
      </c>
      <c r="I646">
        <v>0</v>
      </c>
      <c r="J646">
        <v>1</v>
      </c>
      <c r="K646">
        <v>35.5</v>
      </c>
      <c r="L646">
        <f t="shared" si="51"/>
        <v>0</v>
      </c>
      <c r="M646">
        <f t="shared" si="52"/>
        <v>56</v>
      </c>
      <c r="N646" t="str">
        <f t="shared" si="53"/>
        <v>Adult</v>
      </c>
      <c r="O646">
        <f t="shared" si="54"/>
        <v>35.5</v>
      </c>
    </row>
    <row r="647" spans="1:15" x14ac:dyDescent="0.3">
      <c r="A647">
        <v>646</v>
      </c>
      <c r="B647">
        <v>0</v>
      </c>
      <c r="C647" t="str">
        <f t="shared" si="50"/>
        <v>No</v>
      </c>
      <c r="D647" t="s">
        <v>956</v>
      </c>
      <c r="E647" t="s">
        <v>1615</v>
      </c>
      <c r="F647" t="str" cm="1">
        <f t="array" ref="F647">IF(OR(COUNTIF(D647,"*"&amp;Preprocessing!$T$9:$T$15&amp;"*")),"Female","Male")</f>
        <v>Male</v>
      </c>
      <c r="G647">
        <v>21</v>
      </c>
      <c r="H647">
        <v>0</v>
      </c>
      <c r="I647">
        <v>0</v>
      </c>
      <c r="J647">
        <v>3</v>
      </c>
      <c r="K647">
        <v>7.55</v>
      </c>
      <c r="L647">
        <f t="shared" si="51"/>
        <v>0</v>
      </c>
      <c r="M647">
        <f t="shared" si="52"/>
        <v>21</v>
      </c>
      <c r="N647" t="str">
        <f t="shared" si="53"/>
        <v>Adult</v>
      </c>
      <c r="O647">
        <f t="shared" si="54"/>
        <v>7.55</v>
      </c>
    </row>
    <row r="648" spans="1:15" x14ac:dyDescent="0.3">
      <c r="A648">
        <v>647</v>
      </c>
      <c r="B648">
        <v>1</v>
      </c>
      <c r="C648" t="str">
        <f t="shared" si="50"/>
        <v>Yes</v>
      </c>
      <c r="D648" t="s">
        <v>960</v>
      </c>
      <c r="E648" t="s">
        <v>1616</v>
      </c>
      <c r="F648" t="str" cm="1">
        <f t="array" ref="F648">IF(OR(COUNTIF(D648,"*"&amp;Preprocessing!$T$9:$T$15&amp;"*")),"Female","Male")</f>
        <v>Female</v>
      </c>
      <c r="G648">
        <v>23</v>
      </c>
      <c r="H648">
        <v>0</v>
      </c>
      <c r="I648">
        <v>0</v>
      </c>
      <c r="J648">
        <v>3</v>
      </c>
      <c r="K648">
        <v>7.55</v>
      </c>
      <c r="L648">
        <f t="shared" si="51"/>
        <v>1</v>
      </c>
      <c r="M648">
        <f t="shared" si="52"/>
        <v>23</v>
      </c>
      <c r="N648" t="str">
        <f t="shared" si="53"/>
        <v>Adult</v>
      </c>
      <c r="O648">
        <f t="shared" si="54"/>
        <v>7.55</v>
      </c>
    </row>
    <row r="649" spans="1:15" x14ac:dyDescent="0.3">
      <c r="A649">
        <v>648</v>
      </c>
      <c r="B649">
        <v>0</v>
      </c>
      <c r="C649" t="str">
        <f t="shared" si="50"/>
        <v>No</v>
      </c>
      <c r="D649" t="s">
        <v>956</v>
      </c>
      <c r="E649" t="s">
        <v>1617</v>
      </c>
      <c r="F649" t="str" cm="1">
        <f t="array" ref="F649">IF(OR(COUNTIF(D649,"*"&amp;Preprocessing!$T$9:$T$15&amp;"*")),"Female","Male")</f>
        <v>Male</v>
      </c>
      <c r="G649">
        <v>23</v>
      </c>
      <c r="H649">
        <v>0</v>
      </c>
      <c r="I649">
        <v>0</v>
      </c>
      <c r="J649">
        <v>3</v>
      </c>
      <c r="K649">
        <v>7.8958000000000004</v>
      </c>
      <c r="L649">
        <f t="shared" si="51"/>
        <v>0</v>
      </c>
      <c r="M649">
        <f t="shared" si="52"/>
        <v>23</v>
      </c>
      <c r="N649" t="str">
        <f t="shared" si="53"/>
        <v>Adult</v>
      </c>
      <c r="O649">
        <f t="shared" si="54"/>
        <v>7.9</v>
      </c>
    </row>
    <row r="650" spans="1:15" x14ac:dyDescent="0.3">
      <c r="A650">
        <v>649</v>
      </c>
      <c r="B650">
        <v>1</v>
      </c>
      <c r="C650" t="str">
        <f t="shared" si="50"/>
        <v>Yes</v>
      </c>
      <c r="D650" t="s">
        <v>960</v>
      </c>
      <c r="E650" t="s">
        <v>1618</v>
      </c>
      <c r="F650" t="str" cm="1">
        <f t="array" ref="F650">IF(OR(COUNTIF(D650,"*"&amp;Preprocessing!$T$9:$T$15&amp;"*")),"Female","Male")</f>
        <v>Female</v>
      </c>
      <c r="G650">
        <v>18</v>
      </c>
      <c r="H650">
        <v>0</v>
      </c>
      <c r="I650">
        <v>1</v>
      </c>
      <c r="J650">
        <v>2</v>
      </c>
      <c r="K650">
        <v>23</v>
      </c>
      <c r="L650">
        <f t="shared" si="51"/>
        <v>1</v>
      </c>
      <c r="M650">
        <f t="shared" si="52"/>
        <v>18</v>
      </c>
      <c r="N650" t="str">
        <f t="shared" si="53"/>
        <v>Adult</v>
      </c>
      <c r="O650">
        <f t="shared" si="54"/>
        <v>23</v>
      </c>
    </row>
    <row r="651" spans="1:15" x14ac:dyDescent="0.3">
      <c r="A651">
        <v>650</v>
      </c>
      <c r="B651">
        <v>0</v>
      </c>
      <c r="C651" t="str">
        <f t="shared" si="50"/>
        <v>No</v>
      </c>
      <c r="D651" t="s">
        <v>956</v>
      </c>
      <c r="E651" t="s">
        <v>1619</v>
      </c>
      <c r="F651" t="str" cm="1">
        <f t="array" ref="F651">IF(OR(COUNTIF(D651,"*"&amp;Preprocessing!$T$9:$T$15&amp;"*")),"Female","Male")</f>
        <v>Male</v>
      </c>
      <c r="G651">
        <v>21</v>
      </c>
      <c r="H651">
        <v>0</v>
      </c>
      <c r="I651">
        <v>0</v>
      </c>
      <c r="J651">
        <v>3</v>
      </c>
      <c r="K651">
        <v>8.4332999999999991</v>
      </c>
      <c r="L651">
        <f t="shared" si="51"/>
        <v>0</v>
      </c>
      <c r="M651">
        <f t="shared" si="52"/>
        <v>21</v>
      </c>
      <c r="N651" t="str">
        <f t="shared" si="53"/>
        <v>Adult</v>
      </c>
      <c r="O651">
        <f t="shared" si="54"/>
        <v>8.43</v>
      </c>
    </row>
    <row r="652" spans="1:15" x14ac:dyDescent="0.3">
      <c r="A652">
        <v>651</v>
      </c>
      <c r="B652">
        <v>1</v>
      </c>
      <c r="C652" t="str">
        <f t="shared" si="50"/>
        <v>Yes</v>
      </c>
      <c r="D652" t="s">
        <v>960</v>
      </c>
      <c r="E652" t="s">
        <v>1620</v>
      </c>
      <c r="F652" t="str" cm="1">
        <f t="array" ref="F652">IF(OR(COUNTIF(D652,"*"&amp;Preprocessing!$T$9:$T$15&amp;"*")),"Female","Male")</f>
        <v>Female</v>
      </c>
      <c r="G652">
        <v>16</v>
      </c>
      <c r="H652">
        <v>0</v>
      </c>
      <c r="I652">
        <v>0</v>
      </c>
      <c r="J652">
        <v>3</v>
      </c>
      <c r="K652">
        <v>7.8292000000000002</v>
      </c>
      <c r="L652">
        <f t="shared" si="51"/>
        <v>1</v>
      </c>
      <c r="M652">
        <f t="shared" si="52"/>
        <v>16</v>
      </c>
      <c r="N652" t="str">
        <f t="shared" si="53"/>
        <v>Child</v>
      </c>
      <c r="O652">
        <f t="shared" si="54"/>
        <v>7.83</v>
      </c>
    </row>
    <row r="653" spans="1:15" x14ac:dyDescent="0.3">
      <c r="A653">
        <v>652</v>
      </c>
      <c r="B653">
        <v>0</v>
      </c>
      <c r="C653" t="str">
        <f t="shared" si="50"/>
        <v>No</v>
      </c>
      <c r="D653" t="s">
        <v>960</v>
      </c>
      <c r="E653" t="s">
        <v>1621</v>
      </c>
      <c r="F653" t="str" cm="1">
        <f t="array" ref="F653">IF(OR(COUNTIF(D653,"*"&amp;Preprocessing!$T$9:$T$15&amp;"*")),"Female","Male")</f>
        <v>Female</v>
      </c>
      <c r="G653">
        <v>18</v>
      </c>
      <c r="H653">
        <v>0</v>
      </c>
      <c r="I653">
        <v>0</v>
      </c>
      <c r="J653">
        <v>3</v>
      </c>
      <c r="K653">
        <v>6.75</v>
      </c>
      <c r="L653">
        <f t="shared" si="51"/>
        <v>1</v>
      </c>
      <c r="M653">
        <f t="shared" si="52"/>
        <v>18</v>
      </c>
      <c r="N653" t="str">
        <f t="shared" si="53"/>
        <v>Adult</v>
      </c>
      <c r="O653">
        <f t="shared" si="54"/>
        <v>6.75</v>
      </c>
    </row>
    <row r="654" spans="1:15" x14ac:dyDescent="0.3">
      <c r="A654">
        <v>653</v>
      </c>
      <c r="B654">
        <v>0</v>
      </c>
      <c r="C654" t="str">
        <f t="shared" si="50"/>
        <v>No</v>
      </c>
      <c r="D654" t="s">
        <v>956</v>
      </c>
      <c r="E654" t="s">
        <v>1622</v>
      </c>
      <c r="F654" t="str" cm="1">
        <f t="array" ref="F654">IF(OR(COUNTIF(D654,"*"&amp;Preprocessing!$T$9:$T$15&amp;"*")),"Female","Male")</f>
        <v>Male</v>
      </c>
      <c r="G654">
        <v>24</v>
      </c>
      <c r="H654">
        <v>2</v>
      </c>
      <c r="I654">
        <v>0</v>
      </c>
      <c r="J654">
        <v>2</v>
      </c>
      <c r="K654">
        <v>73.5</v>
      </c>
      <c r="L654">
        <f t="shared" si="51"/>
        <v>0</v>
      </c>
      <c r="M654">
        <f t="shared" si="52"/>
        <v>24</v>
      </c>
      <c r="N654" t="str">
        <f t="shared" si="53"/>
        <v>Adult</v>
      </c>
      <c r="O654">
        <f t="shared" si="54"/>
        <v>73.5</v>
      </c>
    </row>
    <row r="655" spans="1:15" x14ac:dyDescent="0.3">
      <c r="A655">
        <v>654</v>
      </c>
      <c r="B655">
        <v>0</v>
      </c>
      <c r="C655" t="str">
        <f t="shared" si="50"/>
        <v>No</v>
      </c>
      <c r="D655" t="s">
        <v>956</v>
      </c>
      <c r="E655" t="s">
        <v>1623</v>
      </c>
      <c r="F655" t="str" cm="1">
        <f t="array" ref="F655">IF(OR(COUNTIF(D655,"*"&amp;Preprocessing!$T$9:$T$15&amp;"*")),"Female","Male")</f>
        <v>Male</v>
      </c>
      <c r="G655">
        <v>27</v>
      </c>
      <c r="H655">
        <v>0</v>
      </c>
      <c r="I655">
        <v>0</v>
      </c>
      <c r="J655">
        <v>3</v>
      </c>
      <c r="K655">
        <v>7.8958000000000004</v>
      </c>
      <c r="L655">
        <f t="shared" si="51"/>
        <v>0</v>
      </c>
      <c r="M655">
        <f t="shared" si="52"/>
        <v>27</v>
      </c>
      <c r="N655" t="str">
        <f t="shared" si="53"/>
        <v>Adult</v>
      </c>
      <c r="O655">
        <f t="shared" si="54"/>
        <v>7.9</v>
      </c>
    </row>
    <row r="656" spans="1:15" x14ac:dyDescent="0.3">
      <c r="A656">
        <v>655</v>
      </c>
      <c r="B656">
        <v>0</v>
      </c>
      <c r="C656" t="str">
        <f t="shared" si="50"/>
        <v>No</v>
      </c>
      <c r="D656" t="s">
        <v>958</v>
      </c>
      <c r="E656" t="s">
        <v>1624</v>
      </c>
      <c r="F656" t="str" cm="1">
        <f t="array" ref="F656">IF(OR(COUNTIF(D656,"*"&amp;Preprocessing!$T$9:$T$15&amp;"*")),"Female","Male")</f>
        <v>Female</v>
      </c>
      <c r="G656">
        <v>32</v>
      </c>
      <c r="H656">
        <v>1</v>
      </c>
      <c r="I656">
        <v>1</v>
      </c>
      <c r="J656">
        <v>3</v>
      </c>
      <c r="K656">
        <v>15.5</v>
      </c>
      <c r="L656">
        <f t="shared" si="51"/>
        <v>1</v>
      </c>
      <c r="M656">
        <f t="shared" si="52"/>
        <v>32</v>
      </c>
      <c r="N656" t="str">
        <f t="shared" si="53"/>
        <v>Adult</v>
      </c>
      <c r="O656">
        <f t="shared" si="54"/>
        <v>15.5</v>
      </c>
    </row>
    <row r="657" spans="1:15" x14ac:dyDescent="0.3">
      <c r="A657">
        <v>656</v>
      </c>
      <c r="B657">
        <v>0</v>
      </c>
      <c r="C657" t="str">
        <f t="shared" si="50"/>
        <v>No</v>
      </c>
      <c r="D657" t="s">
        <v>956</v>
      </c>
      <c r="E657" t="s">
        <v>1625</v>
      </c>
      <c r="F657" t="str" cm="1">
        <f t="array" ref="F657">IF(OR(COUNTIF(D657,"*"&amp;Preprocessing!$T$9:$T$15&amp;"*")),"Female","Male")</f>
        <v>Male</v>
      </c>
      <c r="G657">
        <v>23</v>
      </c>
      <c r="H657">
        <v>0</v>
      </c>
      <c r="I657">
        <v>0</v>
      </c>
      <c r="J657">
        <v>2</v>
      </c>
      <c r="K657">
        <v>13</v>
      </c>
      <c r="L657">
        <f t="shared" si="51"/>
        <v>0</v>
      </c>
      <c r="M657">
        <f t="shared" si="52"/>
        <v>23</v>
      </c>
      <c r="N657" t="str">
        <f t="shared" si="53"/>
        <v>Adult</v>
      </c>
      <c r="O657">
        <f t="shared" si="54"/>
        <v>13</v>
      </c>
    </row>
    <row r="658" spans="1:15" x14ac:dyDescent="0.3">
      <c r="A658">
        <v>657</v>
      </c>
      <c r="B658">
        <v>0</v>
      </c>
      <c r="C658" t="str">
        <f t="shared" si="50"/>
        <v>No</v>
      </c>
      <c r="D658" t="s">
        <v>956</v>
      </c>
      <c r="E658" t="s">
        <v>1626</v>
      </c>
      <c r="F658" t="str" cm="1">
        <f t="array" ref="F658">IF(OR(COUNTIF(D658,"*"&amp;Preprocessing!$T$9:$T$15&amp;"*")),"Female","Male")</f>
        <v>Male</v>
      </c>
      <c r="G658">
        <v>58</v>
      </c>
      <c r="H658">
        <v>0</v>
      </c>
      <c r="I658">
        <v>2</v>
      </c>
      <c r="J658">
        <v>1</v>
      </c>
      <c r="K658">
        <v>113.27500000000001</v>
      </c>
      <c r="L658">
        <f t="shared" si="51"/>
        <v>0</v>
      </c>
      <c r="M658">
        <f t="shared" si="52"/>
        <v>58</v>
      </c>
      <c r="N658" t="str">
        <f t="shared" si="53"/>
        <v>Adult</v>
      </c>
      <c r="O658">
        <f t="shared" si="54"/>
        <v>113.28</v>
      </c>
    </row>
    <row r="659" spans="1:15" x14ac:dyDescent="0.3">
      <c r="A659">
        <v>658</v>
      </c>
      <c r="B659">
        <v>1</v>
      </c>
      <c r="C659" t="str">
        <f t="shared" si="50"/>
        <v>Yes</v>
      </c>
      <c r="D659" t="s">
        <v>1206</v>
      </c>
      <c r="E659" t="s">
        <v>1627</v>
      </c>
      <c r="F659" t="str" cm="1">
        <f t="array" ref="F659">IF(OR(COUNTIF(D659,"*"&amp;Preprocessing!$T$9:$T$15&amp;"*")),"Female","Male")</f>
        <v>Male</v>
      </c>
      <c r="G659">
        <v>50</v>
      </c>
      <c r="H659">
        <v>2</v>
      </c>
      <c r="I659">
        <v>0</v>
      </c>
      <c r="J659">
        <v>1</v>
      </c>
      <c r="K659">
        <v>133.65</v>
      </c>
      <c r="L659">
        <f t="shared" si="51"/>
        <v>0</v>
      </c>
      <c r="M659">
        <f t="shared" si="52"/>
        <v>50</v>
      </c>
      <c r="N659" t="str">
        <f t="shared" si="53"/>
        <v>Adult</v>
      </c>
      <c r="O659">
        <f t="shared" si="54"/>
        <v>133.65</v>
      </c>
    </row>
    <row r="660" spans="1:15" x14ac:dyDescent="0.3">
      <c r="A660">
        <v>659</v>
      </c>
      <c r="B660">
        <v>0</v>
      </c>
      <c r="C660" t="str">
        <f t="shared" si="50"/>
        <v>No</v>
      </c>
      <c r="D660" t="s">
        <v>956</v>
      </c>
      <c r="E660" t="s">
        <v>1628</v>
      </c>
      <c r="F660" t="str" cm="1">
        <f t="array" ref="F660">IF(OR(COUNTIF(D660,"*"&amp;Preprocessing!$T$9:$T$15&amp;"*")),"Female","Male")</f>
        <v>Male</v>
      </c>
      <c r="G660">
        <v>40</v>
      </c>
      <c r="H660">
        <v>0</v>
      </c>
      <c r="I660">
        <v>0</v>
      </c>
      <c r="J660">
        <v>3</v>
      </c>
      <c r="K660">
        <v>7.2249999999999996</v>
      </c>
      <c r="L660">
        <f t="shared" si="51"/>
        <v>0</v>
      </c>
      <c r="M660">
        <f t="shared" si="52"/>
        <v>40</v>
      </c>
      <c r="N660" t="str">
        <f t="shared" si="53"/>
        <v>Adult</v>
      </c>
      <c r="O660">
        <f t="shared" si="54"/>
        <v>7.23</v>
      </c>
    </row>
    <row r="661" spans="1:15" x14ac:dyDescent="0.3">
      <c r="A661">
        <v>660</v>
      </c>
      <c r="B661">
        <v>0</v>
      </c>
      <c r="C661" t="str">
        <f t="shared" si="50"/>
        <v>No</v>
      </c>
      <c r="D661" t="s">
        <v>956</v>
      </c>
      <c r="E661" t="s">
        <v>1629</v>
      </c>
      <c r="F661" t="str" cm="1">
        <f t="array" ref="F661">IF(OR(COUNTIF(D661,"*"&amp;Preprocessing!$T$9:$T$15&amp;"*")),"Female","Male")</f>
        <v>Male</v>
      </c>
      <c r="G661">
        <v>47</v>
      </c>
      <c r="H661">
        <v>0</v>
      </c>
      <c r="I661">
        <v>0</v>
      </c>
      <c r="J661">
        <v>1</v>
      </c>
      <c r="K661">
        <v>25.587499999999999</v>
      </c>
      <c r="L661">
        <f t="shared" si="51"/>
        <v>0</v>
      </c>
      <c r="M661">
        <f t="shared" si="52"/>
        <v>47</v>
      </c>
      <c r="N661" t="str">
        <f t="shared" si="53"/>
        <v>Adult</v>
      </c>
      <c r="O661">
        <f t="shared" si="54"/>
        <v>25.59</v>
      </c>
    </row>
    <row r="662" spans="1:15" x14ac:dyDescent="0.3">
      <c r="A662">
        <v>661</v>
      </c>
      <c r="B662">
        <v>0</v>
      </c>
      <c r="C662" t="str">
        <f t="shared" si="50"/>
        <v>No</v>
      </c>
      <c r="D662" t="s">
        <v>956</v>
      </c>
      <c r="E662" t="s">
        <v>1630</v>
      </c>
      <c r="F662" t="str" cm="1">
        <f t="array" ref="F662">IF(OR(COUNTIF(D662,"*"&amp;Preprocessing!$T$9:$T$15&amp;"*")),"Female","Male")</f>
        <v>Male</v>
      </c>
      <c r="G662">
        <v>36</v>
      </c>
      <c r="H662">
        <v>0</v>
      </c>
      <c r="I662">
        <v>0</v>
      </c>
      <c r="J662">
        <v>3</v>
      </c>
      <c r="K662">
        <v>7.4958</v>
      </c>
      <c r="L662">
        <f t="shared" si="51"/>
        <v>0</v>
      </c>
      <c r="M662">
        <f t="shared" si="52"/>
        <v>36</v>
      </c>
      <c r="N662" t="str">
        <f t="shared" si="53"/>
        <v>Adult</v>
      </c>
      <c r="O662">
        <f t="shared" si="54"/>
        <v>7.5</v>
      </c>
    </row>
    <row r="663" spans="1:15" x14ac:dyDescent="0.3">
      <c r="A663">
        <v>662</v>
      </c>
      <c r="B663">
        <v>1</v>
      </c>
      <c r="C663" t="str">
        <f t="shared" si="50"/>
        <v>Yes</v>
      </c>
      <c r="D663" t="s">
        <v>956</v>
      </c>
      <c r="E663" t="s">
        <v>1631</v>
      </c>
      <c r="F663" t="str" cm="1">
        <f t="array" ref="F663">IF(OR(COUNTIF(D663,"*"&amp;Preprocessing!$T$9:$T$15&amp;"*")),"Female","Male")</f>
        <v>Male</v>
      </c>
      <c r="G663">
        <v>20</v>
      </c>
      <c r="H663">
        <v>1</v>
      </c>
      <c r="I663">
        <v>0</v>
      </c>
      <c r="J663">
        <v>3</v>
      </c>
      <c r="K663">
        <v>7.9249999999999998</v>
      </c>
      <c r="L663">
        <f t="shared" si="51"/>
        <v>0</v>
      </c>
      <c r="M663">
        <f t="shared" si="52"/>
        <v>20</v>
      </c>
      <c r="N663" t="str">
        <f t="shared" si="53"/>
        <v>Adult</v>
      </c>
      <c r="O663">
        <f t="shared" si="54"/>
        <v>7.93</v>
      </c>
    </row>
    <row r="664" spans="1:15" x14ac:dyDescent="0.3">
      <c r="A664">
        <v>663</v>
      </c>
      <c r="B664">
        <v>0</v>
      </c>
      <c r="C664" t="str">
        <f t="shared" si="50"/>
        <v>No</v>
      </c>
      <c r="D664" t="s">
        <v>956</v>
      </c>
      <c r="E664" t="s">
        <v>1632</v>
      </c>
      <c r="F664" t="str" cm="1">
        <f t="array" ref="F664">IF(OR(COUNTIF(D664,"*"&amp;Preprocessing!$T$9:$T$15&amp;"*")),"Female","Male")</f>
        <v>Male</v>
      </c>
      <c r="G664">
        <v>32</v>
      </c>
      <c r="H664">
        <v>2</v>
      </c>
      <c r="I664">
        <v>0</v>
      </c>
      <c r="J664">
        <v>2</v>
      </c>
      <c r="K664">
        <v>73.5</v>
      </c>
      <c r="L664">
        <f t="shared" si="51"/>
        <v>0</v>
      </c>
      <c r="M664">
        <f t="shared" si="52"/>
        <v>32</v>
      </c>
      <c r="N664" t="str">
        <f t="shared" si="53"/>
        <v>Adult</v>
      </c>
      <c r="O664">
        <f t="shared" si="54"/>
        <v>73.5</v>
      </c>
    </row>
    <row r="665" spans="1:15" x14ac:dyDescent="0.3">
      <c r="A665">
        <v>664</v>
      </c>
      <c r="B665">
        <v>0</v>
      </c>
      <c r="C665" t="str">
        <f t="shared" si="50"/>
        <v>No</v>
      </c>
      <c r="D665" t="s">
        <v>956</v>
      </c>
      <c r="E665" t="s">
        <v>1633</v>
      </c>
      <c r="F665" t="str" cm="1">
        <f t="array" ref="F665">IF(OR(COUNTIF(D665,"*"&amp;Preprocessing!$T$9:$T$15&amp;"*")),"Female","Male")</f>
        <v>Male</v>
      </c>
      <c r="G665">
        <v>25</v>
      </c>
      <c r="H665">
        <v>0</v>
      </c>
      <c r="I665">
        <v>0</v>
      </c>
      <c r="J665">
        <v>2</v>
      </c>
      <c r="K665">
        <v>13</v>
      </c>
      <c r="L665">
        <f t="shared" si="51"/>
        <v>0</v>
      </c>
      <c r="M665">
        <f t="shared" si="52"/>
        <v>25</v>
      </c>
      <c r="N665" t="str">
        <f t="shared" si="53"/>
        <v>Adult</v>
      </c>
      <c r="O665">
        <f t="shared" si="54"/>
        <v>13</v>
      </c>
    </row>
    <row r="666" spans="1:15" x14ac:dyDescent="0.3">
      <c r="A666">
        <v>665</v>
      </c>
      <c r="B666">
        <v>0</v>
      </c>
      <c r="C666" t="str">
        <f t="shared" si="50"/>
        <v>No</v>
      </c>
      <c r="D666" t="s">
        <v>956</v>
      </c>
      <c r="E666" t="s">
        <v>1634</v>
      </c>
      <c r="F666" t="str" cm="1">
        <f t="array" ref="F666">IF(OR(COUNTIF(D666,"*"&amp;Preprocessing!$T$9:$T$15&amp;"*")),"Female","Male")</f>
        <v>Male</v>
      </c>
      <c r="G666">
        <v>49</v>
      </c>
      <c r="H666">
        <v>0</v>
      </c>
      <c r="I666">
        <v>0</v>
      </c>
      <c r="J666">
        <v>3</v>
      </c>
      <c r="K666">
        <v>7.7750000000000004</v>
      </c>
      <c r="L666">
        <f t="shared" si="51"/>
        <v>0</v>
      </c>
      <c r="M666">
        <f t="shared" si="52"/>
        <v>49</v>
      </c>
      <c r="N666" t="str">
        <f t="shared" si="53"/>
        <v>Adult</v>
      </c>
      <c r="O666">
        <f t="shared" si="54"/>
        <v>7.78</v>
      </c>
    </row>
    <row r="667" spans="1:15" x14ac:dyDescent="0.3">
      <c r="A667">
        <v>666</v>
      </c>
      <c r="B667">
        <v>0</v>
      </c>
      <c r="C667" t="str">
        <f t="shared" si="50"/>
        <v>No</v>
      </c>
      <c r="D667" t="s">
        <v>956</v>
      </c>
      <c r="E667" t="s">
        <v>1635</v>
      </c>
      <c r="F667" t="str" cm="1">
        <f t="array" ref="F667">IF(OR(COUNTIF(D667,"*"&amp;Preprocessing!$T$9:$T$15&amp;"*")),"Female","Male")</f>
        <v>Male</v>
      </c>
      <c r="G667">
        <v>43</v>
      </c>
      <c r="H667">
        <v>0</v>
      </c>
      <c r="I667">
        <v>0</v>
      </c>
      <c r="J667">
        <v>3</v>
      </c>
      <c r="K667">
        <v>8.0500000000000007</v>
      </c>
      <c r="L667">
        <f t="shared" si="51"/>
        <v>0</v>
      </c>
      <c r="M667">
        <f t="shared" si="52"/>
        <v>43</v>
      </c>
      <c r="N667" t="str">
        <f t="shared" si="53"/>
        <v>Adult</v>
      </c>
      <c r="O667">
        <f t="shared" si="54"/>
        <v>8.0500000000000007</v>
      </c>
    </row>
    <row r="668" spans="1:15" x14ac:dyDescent="0.3">
      <c r="A668">
        <v>667</v>
      </c>
      <c r="B668">
        <v>1</v>
      </c>
      <c r="C668" t="str">
        <f t="shared" si="50"/>
        <v>Yes</v>
      </c>
      <c r="D668" t="s">
        <v>958</v>
      </c>
      <c r="E668" t="s">
        <v>1636</v>
      </c>
      <c r="F668" t="str" cm="1">
        <f t="array" ref="F668">IF(OR(COUNTIF(D668,"*"&amp;Preprocessing!$T$9:$T$15&amp;"*")),"Female","Male")</f>
        <v>Female</v>
      </c>
      <c r="G668">
        <v>48</v>
      </c>
      <c r="H668">
        <v>1</v>
      </c>
      <c r="I668">
        <v>0</v>
      </c>
      <c r="J668">
        <v>1</v>
      </c>
      <c r="K668">
        <v>52</v>
      </c>
      <c r="L668">
        <f t="shared" si="51"/>
        <v>1</v>
      </c>
      <c r="M668">
        <f t="shared" si="52"/>
        <v>48</v>
      </c>
      <c r="N668" t="str">
        <f t="shared" si="53"/>
        <v>Adult</v>
      </c>
      <c r="O668">
        <f t="shared" si="54"/>
        <v>52</v>
      </c>
    </row>
    <row r="669" spans="1:15" x14ac:dyDescent="0.3">
      <c r="A669">
        <v>668</v>
      </c>
      <c r="B669">
        <v>1</v>
      </c>
      <c r="C669" t="str">
        <f t="shared" si="50"/>
        <v>Yes</v>
      </c>
      <c r="D669" t="s">
        <v>958</v>
      </c>
      <c r="E669" t="s">
        <v>1637</v>
      </c>
      <c r="F669" t="str" cm="1">
        <f t="array" ref="F669">IF(OR(COUNTIF(D669,"*"&amp;Preprocessing!$T$9:$T$15&amp;"*")),"Female","Male")</f>
        <v>Female</v>
      </c>
      <c r="G669">
        <v>40</v>
      </c>
      <c r="H669">
        <v>1</v>
      </c>
      <c r="I669">
        <v>1</v>
      </c>
      <c r="J669">
        <v>2</v>
      </c>
      <c r="K669">
        <v>39</v>
      </c>
      <c r="L669">
        <f t="shared" si="51"/>
        <v>1</v>
      </c>
      <c r="M669">
        <f t="shared" si="52"/>
        <v>40</v>
      </c>
      <c r="N669" t="str">
        <f t="shared" si="53"/>
        <v>Adult</v>
      </c>
      <c r="O669">
        <f t="shared" si="54"/>
        <v>39</v>
      </c>
    </row>
    <row r="670" spans="1:15" x14ac:dyDescent="0.3">
      <c r="A670">
        <v>669</v>
      </c>
      <c r="B670">
        <v>0</v>
      </c>
      <c r="C670" t="str">
        <f t="shared" si="50"/>
        <v>No</v>
      </c>
      <c r="D670" t="s">
        <v>956</v>
      </c>
      <c r="E670" t="s">
        <v>1638</v>
      </c>
      <c r="F670" t="str" cm="1">
        <f t="array" ref="F670">IF(OR(COUNTIF(D670,"*"&amp;Preprocessing!$T$9:$T$15&amp;"*")),"Female","Male")</f>
        <v>Male</v>
      </c>
      <c r="G670">
        <v>31</v>
      </c>
      <c r="H670">
        <v>1</v>
      </c>
      <c r="I670">
        <v>0</v>
      </c>
      <c r="J670">
        <v>1</v>
      </c>
      <c r="K670">
        <v>52</v>
      </c>
      <c r="L670">
        <f t="shared" si="51"/>
        <v>0</v>
      </c>
      <c r="M670">
        <f t="shared" si="52"/>
        <v>31</v>
      </c>
      <c r="N670" t="str">
        <f t="shared" si="53"/>
        <v>Adult</v>
      </c>
      <c r="O670">
        <f t="shared" si="54"/>
        <v>52</v>
      </c>
    </row>
    <row r="671" spans="1:15" x14ac:dyDescent="0.3">
      <c r="A671">
        <v>670</v>
      </c>
      <c r="B671">
        <v>0</v>
      </c>
      <c r="C671" t="str">
        <f t="shared" si="50"/>
        <v>No</v>
      </c>
      <c r="D671" t="s">
        <v>956</v>
      </c>
      <c r="E671" t="s">
        <v>1639</v>
      </c>
      <c r="F671" t="str" cm="1">
        <f t="array" ref="F671">IF(OR(COUNTIF(D671,"*"&amp;Preprocessing!$T$9:$T$15&amp;"*")),"Female","Male")</f>
        <v>Male</v>
      </c>
      <c r="G671">
        <v>70</v>
      </c>
      <c r="H671">
        <v>0</v>
      </c>
      <c r="I671">
        <v>0</v>
      </c>
      <c r="J671">
        <v>2</v>
      </c>
      <c r="K671">
        <v>10.5</v>
      </c>
      <c r="L671">
        <f t="shared" si="51"/>
        <v>0</v>
      </c>
      <c r="M671">
        <f t="shared" si="52"/>
        <v>70</v>
      </c>
      <c r="N671" t="str">
        <f t="shared" si="53"/>
        <v>Adult</v>
      </c>
      <c r="O671">
        <f t="shared" si="54"/>
        <v>10.5</v>
      </c>
    </row>
    <row r="672" spans="1:15" x14ac:dyDescent="0.3">
      <c r="A672">
        <v>671</v>
      </c>
      <c r="B672">
        <v>1</v>
      </c>
      <c r="C672" t="str">
        <f t="shared" si="50"/>
        <v>Yes</v>
      </c>
      <c r="D672" t="s">
        <v>956</v>
      </c>
      <c r="E672" t="s">
        <v>1640</v>
      </c>
      <c r="F672" t="str" cm="1">
        <f t="array" ref="F672">IF(OR(COUNTIF(D672,"*"&amp;Preprocessing!$T$9:$T$15&amp;"*")),"Female","Male")</f>
        <v>Male</v>
      </c>
      <c r="G672">
        <v>31</v>
      </c>
      <c r="H672">
        <v>0</v>
      </c>
      <c r="I672">
        <v>0</v>
      </c>
      <c r="J672">
        <v>2</v>
      </c>
      <c r="K672">
        <v>13</v>
      </c>
      <c r="L672">
        <f t="shared" si="51"/>
        <v>0</v>
      </c>
      <c r="M672">
        <f t="shared" si="52"/>
        <v>31</v>
      </c>
      <c r="N672" t="str">
        <f t="shared" si="53"/>
        <v>Adult</v>
      </c>
      <c r="O672">
        <f t="shared" si="54"/>
        <v>13</v>
      </c>
    </row>
    <row r="673" spans="1:15" x14ac:dyDescent="0.3">
      <c r="A673">
        <v>672</v>
      </c>
      <c r="B673">
        <v>0</v>
      </c>
      <c r="C673" t="str">
        <f t="shared" si="50"/>
        <v>No</v>
      </c>
      <c r="D673" t="s">
        <v>956</v>
      </c>
      <c r="E673" t="s">
        <v>1641</v>
      </c>
      <c r="F673" t="str" cm="1">
        <f t="array" ref="F673">IF(OR(COUNTIF(D673,"*"&amp;Preprocessing!$T$9:$T$15&amp;"*")),"Female","Male")</f>
        <v>Male</v>
      </c>
      <c r="G673">
        <v>19</v>
      </c>
      <c r="H673">
        <v>0</v>
      </c>
      <c r="I673">
        <v>0</v>
      </c>
      <c r="J673">
        <v>2</v>
      </c>
      <c r="K673">
        <v>0</v>
      </c>
      <c r="L673">
        <f t="shared" si="51"/>
        <v>0</v>
      </c>
      <c r="M673">
        <f t="shared" si="52"/>
        <v>19</v>
      </c>
      <c r="N673" t="str">
        <f t="shared" si="53"/>
        <v>Adult</v>
      </c>
      <c r="O673">
        <f t="shared" si="54"/>
        <v>0</v>
      </c>
    </row>
    <row r="674" spans="1:15" x14ac:dyDescent="0.3">
      <c r="A674">
        <v>673</v>
      </c>
      <c r="B674">
        <v>0</v>
      </c>
      <c r="C674" t="str">
        <f t="shared" si="50"/>
        <v>No</v>
      </c>
      <c r="D674" t="s">
        <v>956</v>
      </c>
      <c r="E674" t="s">
        <v>1642</v>
      </c>
      <c r="F674" t="str" cm="1">
        <f t="array" ref="F674">IF(OR(COUNTIF(D674,"*"&amp;Preprocessing!$T$9:$T$15&amp;"*")),"Female","Male")</f>
        <v>Male</v>
      </c>
      <c r="G674">
        <v>18</v>
      </c>
      <c r="H674">
        <v>0</v>
      </c>
      <c r="I674">
        <v>0</v>
      </c>
      <c r="J674">
        <v>3</v>
      </c>
      <c r="K674">
        <v>7.7750000000000004</v>
      </c>
      <c r="L674">
        <f t="shared" si="51"/>
        <v>0</v>
      </c>
      <c r="M674">
        <f t="shared" si="52"/>
        <v>18</v>
      </c>
      <c r="N674" t="str">
        <f t="shared" si="53"/>
        <v>Adult</v>
      </c>
      <c r="O674">
        <f t="shared" si="54"/>
        <v>7.78</v>
      </c>
    </row>
    <row r="675" spans="1:15" x14ac:dyDescent="0.3">
      <c r="A675">
        <v>674</v>
      </c>
      <c r="B675">
        <v>0</v>
      </c>
      <c r="C675" t="str">
        <f t="shared" si="50"/>
        <v>No</v>
      </c>
      <c r="D675" t="s">
        <v>956</v>
      </c>
      <c r="E675" t="s">
        <v>1643</v>
      </c>
      <c r="F675" t="str" cm="1">
        <f t="array" ref="F675">IF(OR(COUNTIF(D675,"*"&amp;Preprocessing!$T$9:$T$15&amp;"*")),"Female","Male")</f>
        <v>Male</v>
      </c>
      <c r="G675">
        <v>24.5</v>
      </c>
      <c r="H675">
        <v>0</v>
      </c>
      <c r="I675">
        <v>0</v>
      </c>
      <c r="J675">
        <v>3</v>
      </c>
      <c r="K675">
        <v>8.0500000000000007</v>
      </c>
      <c r="L675">
        <f t="shared" si="51"/>
        <v>0</v>
      </c>
      <c r="M675">
        <f t="shared" si="52"/>
        <v>25</v>
      </c>
      <c r="N675" t="str">
        <f t="shared" si="53"/>
        <v>Adult</v>
      </c>
      <c r="O675">
        <f t="shared" si="54"/>
        <v>8.0500000000000007</v>
      </c>
    </row>
    <row r="676" spans="1:15" x14ac:dyDescent="0.3">
      <c r="A676">
        <v>675</v>
      </c>
      <c r="B676">
        <v>1</v>
      </c>
      <c r="C676" t="str">
        <f t="shared" si="50"/>
        <v>Yes</v>
      </c>
      <c r="D676" t="s">
        <v>960</v>
      </c>
      <c r="E676" t="s">
        <v>1644</v>
      </c>
      <c r="F676" t="str" cm="1">
        <f t="array" ref="F676">IF(OR(COUNTIF(D676,"*"&amp;Preprocessing!$T$9:$T$15&amp;"*")),"Female","Male")</f>
        <v>Female</v>
      </c>
      <c r="G676">
        <v>18</v>
      </c>
      <c r="H676">
        <v>0</v>
      </c>
      <c r="I676">
        <v>0</v>
      </c>
      <c r="J676">
        <v>3</v>
      </c>
      <c r="K676">
        <v>9.8416999999999994</v>
      </c>
      <c r="L676">
        <f t="shared" si="51"/>
        <v>1</v>
      </c>
      <c r="M676">
        <f t="shared" si="52"/>
        <v>18</v>
      </c>
      <c r="N676" t="str">
        <f t="shared" si="53"/>
        <v>Adult</v>
      </c>
      <c r="O676">
        <f t="shared" si="54"/>
        <v>9.84</v>
      </c>
    </row>
    <row r="677" spans="1:15" x14ac:dyDescent="0.3">
      <c r="A677">
        <v>676</v>
      </c>
      <c r="B677">
        <v>0</v>
      </c>
      <c r="C677" t="str">
        <f t="shared" si="50"/>
        <v>No</v>
      </c>
      <c r="D677" t="s">
        <v>958</v>
      </c>
      <c r="E677" t="s">
        <v>1645</v>
      </c>
      <c r="F677" t="str" cm="1">
        <f t="array" ref="F677">IF(OR(COUNTIF(D677,"*"&amp;Preprocessing!$T$9:$T$15&amp;"*")),"Female","Male")</f>
        <v>Female</v>
      </c>
      <c r="G677">
        <v>43</v>
      </c>
      <c r="H677">
        <v>1</v>
      </c>
      <c r="I677">
        <v>6</v>
      </c>
      <c r="J677">
        <v>3</v>
      </c>
      <c r="K677">
        <v>46.9</v>
      </c>
      <c r="L677">
        <f t="shared" si="51"/>
        <v>1</v>
      </c>
      <c r="M677">
        <f t="shared" si="52"/>
        <v>43</v>
      </c>
      <c r="N677" t="str">
        <f t="shared" si="53"/>
        <v>Adult</v>
      </c>
      <c r="O677">
        <f t="shared" si="54"/>
        <v>46.9</v>
      </c>
    </row>
    <row r="678" spans="1:15" x14ac:dyDescent="0.3">
      <c r="A678">
        <v>677</v>
      </c>
      <c r="B678">
        <v>1</v>
      </c>
      <c r="C678" t="str">
        <f t="shared" si="50"/>
        <v>Yes</v>
      </c>
      <c r="D678" t="s">
        <v>956</v>
      </c>
      <c r="E678" t="s">
        <v>1646</v>
      </c>
      <c r="F678" t="str" cm="1">
        <f t="array" ref="F678">IF(OR(COUNTIF(D678,"*"&amp;Preprocessing!$T$9:$T$15&amp;"*")),"Female","Male")</f>
        <v>Male</v>
      </c>
      <c r="G678">
        <v>36</v>
      </c>
      <c r="H678">
        <v>0</v>
      </c>
      <c r="I678">
        <v>1</v>
      </c>
      <c r="J678">
        <v>1</v>
      </c>
      <c r="K678">
        <v>512.32920000000001</v>
      </c>
      <c r="L678">
        <f t="shared" si="51"/>
        <v>0</v>
      </c>
      <c r="M678">
        <f t="shared" si="52"/>
        <v>36</v>
      </c>
      <c r="N678" t="str">
        <f t="shared" si="53"/>
        <v>Adult</v>
      </c>
      <c r="O678">
        <f t="shared" si="54"/>
        <v>512.33000000000004</v>
      </c>
    </row>
    <row r="679" spans="1:15" x14ac:dyDescent="0.3">
      <c r="A679">
        <v>678</v>
      </c>
      <c r="B679">
        <v>0</v>
      </c>
      <c r="C679" t="str">
        <f t="shared" si="50"/>
        <v>No</v>
      </c>
      <c r="D679" t="s">
        <v>960</v>
      </c>
      <c r="E679" t="s">
        <v>1647</v>
      </c>
      <c r="F679" t="str" cm="1">
        <f t="array" ref="F679">IF(OR(COUNTIF(D679,"*"&amp;Preprocessing!$T$9:$T$15&amp;"*")),"Female","Male")</f>
        <v>Female</v>
      </c>
      <c r="G679">
        <v>28</v>
      </c>
      <c r="H679">
        <v>0</v>
      </c>
      <c r="I679">
        <v>0</v>
      </c>
      <c r="J679">
        <v>3</v>
      </c>
      <c r="K679">
        <v>8.1374999999999993</v>
      </c>
      <c r="L679">
        <f t="shared" si="51"/>
        <v>1</v>
      </c>
      <c r="M679">
        <f t="shared" si="52"/>
        <v>28</v>
      </c>
      <c r="N679" t="str">
        <f t="shared" si="53"/>
        <v>Adult</v>
      </c>
      <c r="O679">
        <f t="shared" si="54"/>
        <v>8.14</v>
      </c>
    </row>
    <row r="680" spans="1:15" x14ac:dyDescent="0.3">
      <c r="A680">
        <v>679</v>
      </c>
      <c r="B680">
        <v>1</v>
      </c>
      <c r="C680" t="str">
        <f t="shared" si="50"/>
        <v>Yes</v>
      </c>
      <c r="D680" t="s">
        <v>956</v>
      </c>
      <c r="E680" t="s">
        <v>1648</v>
      </c>
      <c r="F680" t="str" cm="1">
        <f t="array" ref="F680">IF(OR(COUNTIF(D680,"*"&amp;Preprocessing!$T$9:$T$15&amp;"*")),"Female","Male")</f>
        <v>Male</v>
      </c>
      <c r="G680">
        <v>27</v>
      </c>
      <c r="H680">
        <v>0</v>
      </c>
      <c r="I680">
        <v>0</v>
      </c>
      <c r="J680">
        <v>1</v>
      </c>
      <c r="K680">
        <v>76.729200000000006</v>
      </c>
      <c r="L680">
        <f t="shared" si="51"/>
        <v>0</v>
      </c>
      <c r="M680">
        <f t="shared" si="52"/>
        <v>27</v>
      </c>
      <c r="N680" t="str">
        <f t="shared" si="53"/>
        <v>Adult</v>
      </c>
      <c r="O680">
        <f t="shared" si="54"/>
        <v>76.73</v>
      </c>
    </row>
    <row r="681" spans="1:15" x14ac:dyDescent="0.3">
      <c r="A681">
        <v>680</v>
      </c>
      <c r="B681">
        <v>0</v>
      </c>
      <c r="C681" t="str">
        <f t="shared" si="50"/>
        <v>No</v>
      </c>
      <c r="D681" t="s">
        <v>956</v>
      </c>
      <c r="E681" t="s">
        <v>1649</v>
      </c>
      <c r="F681" t="str" cm="1">
        <f t="array" ref="F681">IF(OR(COUNTIF(D681,"*"&amp;Preprocessing!$T$9:$T$15&amp;"*")),"Female","Male")</f>
        <v>Male</v>
      </c>
      <c r="G681">
        <v>20</v>
      </c>
      <c r="H681">
        <v>0</v>
      </c>
      <c r="I681">
        <v>0</v>
      </c>
      <c r="J681">
        <v>3</v>
      </c>
      <c r="K681">
        <v>9.2249999999999996</v>
      </c>
      <c r="L681">
        <f t="shared" si="51"/>
        <v>0</v>
      </c>
      <c r="M681">
        <f t="shared" si="52"/>
        <v>20</v>
      </c>
      <c r="N681" t="str">
        <f t="shared" si="53"/>
        <v>Adult</v>
      </c>
      <c r="O681">
        <f t="shared" si="54"/>
        <v>9.23</v>
      </c>
    </row>
    <row r="682" spans="1:15" x14ac:dyDescent="0.3">
      <c r="A682">
        <v>681</v>
      </c>
      <c r="B682">
        <v>0</v>
      </c>
      <c r="C682" t="str">
        <f t="shared" si="50"/>
        <v>No</v>
      </c>
      <c r="D682" t="s">
        <v>956</v>
      </c>
      <c r="E682" t="s">
        <v>1650</v>
      </c>
      <c r="F682" t="str" cm="1">
        <f t="array" ref="F682">IF(OR(COUNTIF(D682,"*"&amp;Preprocessing!$T$9:$T$15&amp;"*")),"Female","Male")</f>
        <v>Male</v>
      </c>
      <c r="G682">
        <v>14</v>
      </c>
      <c r="H682">
        <v>5</v>
      </c>
      <c r="I682">
        <v>2</v>
      </c>
      <c r="J682">
        <v>3</v>
      </c>
      <c r="K682">
        <v>46.9</v>
      </c>
      <c r="L682">
        <f t="shared" si="51"/>
        <v>0</v>
      </c>
      <c r="M682">
        <f t="shared" si="52"/>
        <v>14</v>
      </c>
      <c r="N682" t="str">
        <f t="shared" si="53"/>
        <v>Child</v>
      </c>
      <c r="O682">
        <f t="shared" si="54"/>
        <v>46.9</v>
      </c>
    </row>
    <row r="683" spans="1:15" x14ac:dyDescent="0.3">
      <c r="A683">
        <v>682</v>
      </c>
      <c r="B683">
        <v>0</v>
      </c>
      <c r="C683" t="str">
        <f t="shared" si="50"/>
        <v>No</v>
      </c>
      <c r="D683" t="s">
        <v>956</v>
      </c>
      <c r="E683" t="s">
        <v>1651</v>
      </c>
      <c r="F683" t="str" cm="1">
        <f t="array" ref="F683">IF(OR(COUNTIF(D683,"*"&amp;Preprocessing!$T$9:$T$15&amp;"*")),"Female","Male")</f>
        <v>Male</v>
      </c>
      <c r="G683">
        <v>60</v>
      </c>
      <c r="H683">
        <v>1</v>
      </c>
      <c r="I683">
        <v>1</v>
      </c>
      <c r="J683">
        <v>2</v>
      </c>
      <c r="K683">
        <v>39</v>
      </c>
      <c r="L683">
        <f t="shared" si="51"/>
        <v>0</v>
      </c>
      <c r="M683">
        <f t="shared" si="52"/>
        <v>60</v>
      </c>
      <c r="N683" t="str">
        <f t="shared" si="53"/>
        <v>Adult</v>
      </c>
      <c r="O683">
        <f t="shared" si="54"/>
        <v>39</v>
      </c>
    </row>
    <row r="684" spans="1:15" x14ac:dyDescent="0.3">
      <c r="A684">
        <v>683</v>
      </c>
      <c r="B684">
        <v>0</v>
      </c>
      <c r="C684" t="str">
        <f t="shared" si="50"/>
        <v>No</v>
      </c>
      <c r="D684" t="s">
        <v>956</v>
      </c>
      <c r="E684" t="s">
        <v>1652</v>
      </c>
      <c r="F684" t="str" cm="1">
        <f t="array" ref="F684">IF(OR(COUNTIF(D684,"*"&amp;Preprocessing!$T$9:$T$15&amp;"*")),"Female","Male")</f>
        <v>Male</v>
      </c>
      <c r="G684">
        <v>25</v>
      </c>
      <c r="H684">
        <v>1</v>
      </c>
      <c r="I684">
        <v>2</v>
      </c>
      <c r="J684">
        <v>2</v>
      </c>
      <c r="K684">
        <v>41.5792</v>
      </c>
      <c r="L684">
        <f t="shared" si="51"/>
        <v>0</v>
      </c>
      <c r="M684">
        <f t="shared" si="52"/>
        <v>25</v>
      </c>
      <c r="N684" t="str">
        <f t="shared" si="53"/>
        <v>Adult</v>
      </c>
      <c r="O684">
        <f t="shared" si="54"/>
        <v>41.58</v>
      </c>
    </row>
    <row r="685" spans="1:15" x14ac:dyDescent="0.3">
      <c r="A685">
        <v>684</v>
      </c>
      <c r="B685">
        <v>0</v>
      </c>
      <c r="C685" t="str">
        <f t="shared" si="50"/>
        <v>No</v>
      </c>
      <c r="D685" t="s">
        <v>956</v>
      </c>
      <c r="E685" t="s">
        <v>1653</v>
      </c>
      <c r="F685" t="str" cm="1">
        <f t="array" ref="F685">IF(OR(COUNTIF(D685,"*"&amp;Preprocessing!$T$9:$T$15&amp;"*")),"Female","Male")</f>
        <v>Male</v>
      </c>
      <c r="G685">
        <v>14</v>
      </c>
      <c r="H685">
        <v>4</v>
      </c>
      <c r="I685">
        <v>1</v>
      </c>
      <c r="J685">
        <v>3</v>
      </c>
      <c r="K685">
        <v>39.6875</v>
      </c>
      <c r="L685">
        <f t="shared" si="51"/>
        <v>0</v>
      </c>
      <c r="M685">
        <f t="shared" si="52"/>
        <v>14</v>
      </c>
      <c r="N685" t="str">
        <f t="shared" si="53"/>
        <v>Child</v>
      </c>
      <c r="O685">
        <f t="shared" si="54"/>
        <v>39.69</v>
      </c>
    </row>
    <row r="686" spans="1:15" x14ac:dyDescent="0.3">
      <c r="A686">
        <v>685</v>
      </c>
      <c r="B686">
        <v>0</v>
      </c>
      <c r="C686" t="str">
        <f t="shared" si="50"/>
        <v>No</v>
      </c>
      <c r="D686" t="s">
        <v>956</v>
      </c>
      <c r="E686" t="s">
        <v>1654</v>
      </c>
      <c r="F686" t="str" cm="1">
        <f t="array" ref="F686">IF(OR(COUNTIF(D686,"*"&amp;Preprocessing!$T$9:$T$15&amp;"*")),"Female","Male")</f>
        <v>Male</v>
      </c>
      <c r="G686">
        <v>19</v>
      </c>
      <c r="H686">
        <v>0</v>
      </c>
      <c r="I686">
        <v>0</v>
      </c>
      <c r="J686">
        <v>3</v>
      </c>
      <c r="K686">
        <v>10.1708</v>
      </c>
      <c r="L686">
        <f t="shared" si="51"/>
        <v>0</v>
      </c>
      <c r="M686">
        <f t="shared" si="52"/>
        <v>19</v>
      </c>
      <c r="N686" t="str">
        <f t="shared" si="53"/>
        <v>Adult</v>
      </c>
      <c r="O686">
        <f t="shared" si="54"/>
        <v>10.17</v>
      </c>
    </row>
    <row r="687" spans="1:15" x14ac:dyDescent="0.3">
      <c r="A687">
        <v>686</v>
      </c>
      <c r="B687">
        <v>0</v>
      </c>
      <c r="C687" t="str">
        <f t="shared" si="50"/>
        <v>No</v>
      </c>
      <c r="D687" t="s">
        <v>956</v>
      </c>
      <c r="E687" t="s">
        <v>1655</v>
      </c>
      <c r="F687" t="str" cm="1">
        <f t="array" ref="F687">IF(OR(COUNTIF(D687,"*"&amp;Preprocessing!$T$9:$T$15&amp;"*")),"Female","Male")</f>
        <v>Male</v>
      </c>
      <c r="G687">
        <v>18</v>
      </c>
      <c r="H687">
        <v>0</v>
      </c>
      <c r="I687">
        <v>0</v>
      </c>
      <c r="J687">
        <v>3</v>
      </c>
      <c r="K687">
        <v>7.7957999999999998</v>
      </c>
      <c r="L687">
        <f t="shared" si="51"/>
        <v>0</v>
      </c>
      <c r="M687">
        <f t="shared" si="52"/>
        <v>18</v>
      </c>
      <c r="N687" t="str">
        <f t="shared" si="53"/>
        <v>Adult</v>
      </c>
      <c r="O687">
        <f t="shared" si="54"/>
        <v>7.8</v>
      </c>
    </row>
    <row r="688" spans="1:15" x14ac:dyDescent="0.3">
      <c r="A688">
        <v>687</v>
      </c>
      <c r="B688">
        <v>1</v>
      </c>
      <c r="C688" t="str">
        <f t="shared" si="50"/>
        <v>Yes</v>
      </c>
      <c r="D688" t="s">
        <v>960</v>
      </c>
      <c r="E688" t="s">
        <v>1656</v>
      </c>
      <c r="F688" t="str" cm="1">
        <f t="array" ref="F688">IF(OR(COUNTIF(D688,"*"&amp;Preprocessing!$T$9:$T$15&amp;"*")),"Female","Male")</f>
        <v>Female</v>
      </c>
      <c r="G688">
        <v>15</v>
      </c>
      <c r="H688">
        <v>0</v>
      </c>
      <c r="I688">
        <v>1</v>
      </c>
      <c r="J688">
        <v>1</v>
      </c>
      <c r="K688">
        <v>211.33750000000001</v>
      </c>
      <c r="L688">
        <f t="shared" si="51"/>
        <v>1</v>
      </c>
      <c r="M688">
        <f t="shared" si="52"/>
        <v>15</v>
      </c>
      <c r="N688" t="str">
        <f t="shared" si="53"/>
        <v>Child</v>
      </c>
      <c r="O688">
        <f t="shared" si="54"/>
        <v>211.34</v>
      </c>
    </row>
    <row r="689" spans="1:15" x14ac:dyDescent="0.3">
      <c r="A689">
        <v>688</v>
      </c>
      <c r="B689">
        <v>1</v>
      </c>
      <c r="C689" t="str">
        <f t="shared" si="50"/>
        <v>Yes</v>
      </c>
      <c r="D689" t="s">
        <v>956</v>
      </c>
      <c r="E689" t="s">
        <v>1657</v>
      </c>
      <c r="F689" t="str" cm="1">
        <f t="array" ref="F689">IF(OR(COUNTIF(D689,"*"&amp;Preprocessing!$T$9:$T$15&amp;"*")),"Female","Male")</f>
        <v>Male</v>
      </c>
      <c r="G689">
        <v>31</v>
      </c>
      <c r="H689">
        <v>1</v>
      </c>
      <c r="I689">
        <v>0</v>
      </c>
      <c r="J689">
        <v>1</v>
      </c>
      <c r="K689">
        <v>57</v>
      </c>
      <c r="L689">
        <f t="shared" si="51"/>
        <v>0</v>
      </c>
      <c r="M689">
        <f t="shared" si="52"/>
        <v>31</v>
      </c>
      <c r="N689" t="str">
        <f t="shared" si="53"/>
        <v>Adult</v>
      </c>
      <c r="O689">
        <f t="shared" si="54"/>
        <v>57</v>
      </c>
    </row>
    <row r="690" spans="1:15" x14ac:dyDescent="0.3">
      <c r="A690">
        <v>689</v>
      </c>
      <c r="B690">
        <v>1</v>
      </c>
      <c r="C690" t="str">
        <f t="shared" si="50"/>
        <v>Yes</v>
      </c>
      <c r="D690" t="s">
        <v>960</v>
      </c>
      <c r="E690" t="s">
        <v>1658</v>
      </c>
      <c r="F690" t="str" cm="1">
        <f t="array" ref="F690">IF(OR(COUNTIF(D690,"*"&amp;Preprocessing!$T$9:$T$15&amp;"*")),"Female","Male")</f>
        <v>Female</v>
      </c>
      <c r="G690">
        <v>4</v>
      </c>
      <c r="H690">
        <v>0</v>
      </c>
      <c r="I690">
        <v>1</v>
      </c>
      <c r="J690">
        <v>3</v>
      </c>
      <c r="K690">
        <v>13.416700000000001</v>
      </c>
      <c r="L690">
        <f t="shared" si="51"/>
        <v>1</v>
      </c>
      <c r="M690">
        <f t="shared" si="52"/>
        <v>4</v>
      </c>
      <c r="N690" t="str">
        <f t="shared" si="53"/>
        <v>Child</v>
      </c>
      <c r="O690">
        <f t="shared" si="54"/>
        <v>13.42</v>
      </c>
    </row>
    <row r="691" spans="1:15" x14ac:dyDescent="0.3">
      <c r="A691">
        <v>690</v>
      </c>
      <c r="B691">
        <v>1</v>
      </c>
      <c r="C691" t="str">
        <f t="shared" si="50"/>
        <v>Yes</v>
      </c>
      <c r="D691" t="s">
        <v>956</v>
      </c>
      <c r="E691" t="s">
        <v>1659</v>
      </c>
      <c r="F691" t="str" cm="1">
        <f t="array" ref="F691">IF(OR(COUNTIF(D691,"*"&amp;Preprocessing!$T$9:$T$15&amp;"*")),"Female","Male")</f>
        <v>Male</v>
      </c>
      <c r="G691">
        <v>37</v>
      </c>
      <c r="H691">
        <v>0</v>
      </c>
      <c r="I691">
        <v>0</v>
      </c>
      <c r="J691">
        <v>3</v>
      </c>
      <c r="K691">
        <v>56.495800000000003</v>
      </c>
      <c r="L691">
        <f t="shared" si="51"/>
        <v>0</v>
      </c>
      <c r="M691">
        <f t="shared" si="52"/>
        <v>37</v>
      </c>
      <c r="N691" t="str">
        <f t="shared" si="53"/>
        <v>Adult</v>
      </c>
      <c r="O691">
        <f t="shared" si="54"/>
        <v>56.5</v>
      </c>
    </row>
    <row r="692" spans="1:15" x14ac:dyDescent="0.3">
      <c r="A692">
        <v>691</v>
      </c>
      <c r="B692">
        <v>0</v>
      </c>
      <c r="C692" t="str">
        <f t="shared" si="50"/>
        <v>No</v>
      </c>
      <c r="D692" t="s">
        <v>956</v>
      </c>
      <c r="E692" t="s">
        <v>1660</v>
      </c>
      <c r="F692" t="str" cm="1">
        <f t="array" ref="F692">IF(OR(COUNTIF(D692,"*"&amp;Preprocessing!$T$9:$T$15&amp;"*")),"Female","Male")</f>
        <v>Male</v>
      </c>
      <c r="G692">
        <v>25</v>
      </c>
      <c r="H692">
        <v>0</v>
      </c>
      <c r="I692">
        <v>0</v>
      </c>
      <c r="J692">
        <v>3</v>
      </c>
      <c r="K692">
        <v>7.2249999999999996</v>
      </c>
      <c r="L692">
        <f t="shared" si="51"/>
        <v>0</v>
      </c>
      <c r="M692">
        <f t="shared" si="52"/>
        <v>25</v>
      </c>
      <c r="N692" t="str">
        <f t="shared" si="53"/>
        <v>Adult</v>
      </c>
      <c r="O692">
        <f t="shared" si="54"/>
        <v>7.23</v>
      </c>
    </row>
    <row r="693" spans="1:15" x14ac:dyDescent="0.3">
      <c r="A693">
        <v>692</v>
      </c>
      <c r="B693">
        <v>0</v>
      </c>
      <c r="C693" t="str">
        <f t="shared" si="50"/>
        <v>No</v>
      </c>
      <c r="D693" t="s">
        <v>1613</v>
      </c>
      <c r="E693" t="s">
        <v>1661</v>
      </c>
      <c r="F693" t="str" cm="1">
        <f t="array" ref="F693">IF(OR(COUNTIF(D693,"*"&amp;Preprocessing!$T$9:$T$15&amp;"*")),"Female","Male")</f>
        <v>Male</v>
      </c>
      <c r="G693">
        <v>60</v>
      </c>
      <c r="H693">
        <v>0</v>
      </c>
      <c r="I693">
        <v>0</v>
      </c>
      <c r="J693">
        <v>1</v>
      </c>
      <c r="K693">
        <v>26.55</v>
      </c>
      <c r="L693">
        <f t="shared" si="51"/>
        <v>0</v>
      </c>
      <c r="M693">
        <f t="shared" si="52"/>
        <v>60</v>
      </c>
      <c r="N693" t="str">
        <f t="shared" si="53"/>
        <v>Adult</v>
      </c>
      <c r="O693">
        <f t="shared" si="54"/>
        <v>26.55</v>
      </c>
    </row>
    <row r="694" spans="1:15" x14ac:dyDescent="0.3">
      <c r="A694">
        <v>693</v>
      </c>
      <c r="B694">
        <v>0</v>
      </c>
      <c r="C694" t="str">
        <f t="shared" si="50"/>
        <v>No</v>
      </c>
      <c r="D694" t="s">
        <v>956</v>
      </c>
      <c r="E694" t="s">
        <v>1662</v>
      </c>
      <c r="F694" t="str" cm="1">
        <f t="array" ref="F694">IF(OR(COUNTIF(D694,"*"&amp;Preprocessing!$T$9:$T$15&amp;"*")),"Female","Male")</f>
        <v>Male</v>
      </c>
      <c r="G694">
        <v>52</v>
      </c>
      <c r="H694">
        <v>0</v>
      </c>
      <c r="I694">
        <v>0</v>
      </c>
      <c r="J694">
        <v>2</v>
      </c>
      <c r="K694">
        <v>13.5</v>
      </c>
      <c r="L694">
        <f t="shared" si="51"/>
        <v>0</v>
      </c>
      <c r="M694">
        <f t="shared" si="52"/>
        <v>52</v>
      </c>
      <c r="N694" t="str">
        <f t="shared" si="53"/>
        <v>Adult</v>
      </c>
      <c r="O694">
        <f t="shared" si="54"/>
        <v>13.5</v>
      </c>
    </row>
    <row r="695" spans="1:15" x14ac:dyDescent="0.3">
      <c r="A695">
        <v>694</v>
      </c>
      <c r="B695">
        <v>0</v>
      </c>
      <c r="C695" t="str">
        <f t="shared" si="50"/>
        <v>No</v>
      </c>
      <c r="D695" t="s">
        <v>956</v>
      </c>
      <c r="E695" t="s">
        <v>1663</v>
      </c>
      <c r="F695" t="str" cm="1">
        <f t="array" ref="F695">IF(OR(COUNTIF(D695,"*"&amp;Preprocessing!$T$9:$T$15&amp;"*")),"Female","Male")</f>
        <v>Male</v>
      </c>
      <c r="G695">
        <v>44</v>
      </c>
      <c r="H695">
        <v>0</v>
      </c>
      <c r="I695">
        <v>0</v>
      </c>
      <c r="J695">
        <v>3</v>
      </c>
      <c r="K695">
        <v>8.0500000000000007</v>
      </c>
      <c r="L695">
        <f t="shared" si="51"/>
        <v>0</v>
      </c>
      <c r="M695">
        <f t="shared" si="52"/>
        <v>44</v>
      </c>
      <c r="N695" t="str">
        <f t="shared" si="53"/>
        <v>Adult</v>
      </c>
      <c r="O695">
        <f t="shared" si="54"/>
        <v>8.0500000000000007</v>
      </c>
    </row>
    <row r="696" spans="1:15" x14ac:dyDescent="0.3">
      <c r="A696">
        <v>695</v>
      </c>
      <c r="B696">
        <v>1</v>
      </c>
      <c r="C696" t="str">
        <f t="shared" si="50"/>
        <v>Yes</v>
      </c>
      <c r="D696" t="s">
        <v>960</v>
      </c>
      <c r="E696" t="s">
        <v>1664</v>
      </c>
      <c r="F696" t="str" cm="1">
        <f t="array" ref="F696">IF(OR(COUNTIF(D696,"*"&amp;Preprocessing!$T$9:$T$15&amp;"*")),"Female","Male")</f>
        <v>Female</v>
      </c>
      <c r="G696">
        <v>19</v>
      </c>
      <c r="H696">
        <v>0</v>
      </c>
      <c r="I696">
        <v>0</v>
      </c>
      <c r="J696">
        <v>3</v>
      </c>
      <c r="K696">
        <v>7.7332999999999998</v>
      </c>
      <c r="L696">
        <f t="shared" si="51"/>
        <v>1</v>
      </c>
      <c r="M696">
        <f t="shared" si="52"/>
        <v>19</v>
      </c>
      <c r="N696" t="str">
        <f t="shared" si="53"/>
        <v>Adult</v>
      </c>
      <c r="O696">
        <f t="shared" si="54"/>
        <v>7.73</v>
      </c>
    </row>
    <row r="697" spans="1:15" x14ac:dyDescent="0.3">
      <c r="A697">
        <v>696</v>
      </c>
      <c r="B697">
        <v>0</v>
      </c>
      <c r="C697" t="str">
        <f t="shared" si="50"/>
        <v>No</v>
      </c>
      <c r="D697" t="s">
        <v>956</v>
      </c>
      <c r="E697" t="s">
        <v>1665</v>
      </c>
      <c r="F697" t="str" cm="1">
        <f t="array" ref="F697">IF(OR(COUNTIF(D697,"*"&amp;Preprocessing!$T$9:$T$15&amp;"*")),"Female","Male")</f>
        <v>Male</v>
      </c>
      <c r="G697">
        <v>49</v>
      </c>
      <c r="H697">
        <v>1</v>
      </c>
      <c r="I697">
        <v>1</v>
      </c>
      <c r="J697">
        <v>1</v>
      </c>
      <c r="K697">
        <v>110.88330000000001</v>
      </c>
      <c r="L697">
        <f t="shared" si="51"/>
        <v>0</v>
      </c>
      <c r="M697">
        <f t="shared" si="52"/>
        <v>49</v>
      </c>
      <c r="N697" t="str">
        <f t="shared" si="53"/>
        <v>Adult</v>
      </c>
      <c r="O697">
        <f t="shared" si="54"/>
        <v>110.88</v>
      </c>
    </row>
    <row r="698" spans="1:15" x14ac:dyDescent="0.3">
      <c r="A698">
        <v>697</v>
      </c>
      <c r="B698">
        <v>0</v>
      </c>
      <c r="C698" t="str">
        <f t="shared" si="50"/>
        <v>No</v>
      </c>
      <c r="D698" t="s">
        <v>956</v>
      </c>
      <c r="E698" t="s">
        <v>1666</v>
      </c>
      <c r="F698" t="str" cm="1">
        <f t="array" ref="F698">IF(OR(COUNTIF(D698,"*"&amp;Preprocessing!$T$9:$T$15&amp;"*")),"Female","Male")</f>
        <v>Male</v>
      </c>
      <c r="G698">
        <v>42</v>
      </c>
      <c r="H698">
        <v>0</v>
      </c>
      <c r="I698">
        <v>0</v>
      </c>
      <c r="J698">
        <v>3</v>
      </c>
      <c r="K698">
        <v>7.65</v>
      </c>
      <c r="L698">
        <f t="shared" si="51"/>
        <v>0</v>
      </c>
      <c r="M698">
        <f t="shared" si="52"/>
        <v>42</v>
      </c>
      <c r="N698" t="str">
        <f t="shared" si="53"/>
        <v>Adult</v>
      </c>
      <c r="O698">
        <f t="shared" si="54"/>
        <v>7.65</v>
      </c>
    </row>
    <row r="699" spans="1:15" x14ac:dyDescent="0.3">
      <c r="A699">
        <v>698</v>
      </c>
      <c r="B699">
        <v>1</v>
      </c>
      <c r="C699" t="str">
        <f t="shared" si="50"/>
        <v>Yes</v>
      </c>
      <c r="D699" t="s">
        <v>958</v>
      </c>
      <c r="E699" t="s">
        <v>1667</v>
      </c>
      <c r="F699" t="str" cm="1">
        <f t="array" ref="F699">IF(OR(COUNTIF(D699,"*"&amp;Preprocessing!$T$9:$T$15&amp;"*")),"Female","Male")</f>
        <v>Female</v>
      </c>
      <c r="G699">
        <v>18</v>
      </c>
      <c r="H699">
        <v>1</v>
      </c>
      <c r="I699">
        <v>0</v>
      </c>
      <c r="J699">
        <v>1</v>
      </c>
      <c r="K699">
        <v>227.52500000000001</v>
      </c>
      <c r="L699">
        <f t="shared" si="51"/>
        <v>1</v>
      </c>
      <c r="M699">
        <f t="shared" si="52"/>
        <v>18</v>
      </c>
      <c r="N699" t="str">
        <f t="shared" si="53"/>
        <v>Adult</v>
      </c>
      <c r="O699">
        <f t="shared" si="54"/>
        <v>227.53</v>
      </c>
    </row>
    <row r="700" spans="1:15" x14ac:dyDescent="0.3">
      <c r="A700">
        <v>699</v>
      </c>
      <c r="B700">
        <v>1</v>
      </c>
      <c r="C700" t="str">
        <f t="shared" si="50"/>
        <v>Yes</v>
      </c>
      <c r="D700" t="s">
        <v>956</v>
      </c>
      <c r="E700" t="s">
        <v>1668</v>
      </c>
      <c r="F700" t="str" cm="1">
        <f t="array" ref="F700">IF(OR(COUNTIF(D700,"*"&amp;Preprocessing!$T$9:$T$15&amp;"*")),"Female","Male")</f>
        <v>Male</v>
      </c>
      <c r="G700">
        <v>35</v>
      </c>
      <c r="H700">
        <v>0</v>
      </c>
      <c r="I700">
        <v>0</v>
      </c>
      <c r="J700">
        <v>1</v>
      </c>
      <c r="K700">
        <v>26.287500000000001</v>
      </c>
      <c r="L700">
        <f t="shared" si="51"/>
        <v>0</v>
      </c>
      <c r="M700">
        <f t="shared" si="52"/>
        <v>35</v>
      </c>
      <c r="N700" t="str">
        <f t="shared" si="53"/>
        <v>Adult</v>
      </c>
      <c r="O700">
        <f t="shared" si="54"/>
        <v>26.29</v>
      </c>
    </row>
    <row r="701" spans="1:15" x14ac:dyDescent="0.3">
      <c r="A701">
        <v>700</v>
      </c>
      <c r="B701">
        <v>0</v>
      </c>
      <c r="C701" t="str">
        <f t="shared" si="50"/>
        <v>No</v>
      </c>
      <c r="D701" t="s">
        <v>960</v>
      </c>
      <c r="E701" t="s">
        <v>1669</v>
      </c>
      <c r="F701" t="str" cm="1">
        <f t="array" ref="F701">IF(OR(COUNTIF(D701,"*"&amp;Preprocessing!$T$9:$T$15&amp;"*")),"Female","Male")</f>
        <v>Female</v>
      </c>
      <c r="G701">
        <v>18</v>
      </c>
      <c r="H701">
        <v>0</v>
      </c>
      <c r="I701">
        <v>1</v>
      </c>
      <c r="J701">
        <v>3</v>
      </c>
      <c r="K701">
        <v>14.4542</v>
      </c>
      <c r="L701">
        <f t="shared" si="51"/>
        <v>1</v>
      </c>
      <c r="M701">
        <f t="shared" si="52"/>
        <v>18</v>
      </c>
      <c r="N701" t="str">
        <f t="shared" si="53"/>
        <v>Adult</v>
      </c>
      <c r="O701">
        <f t="shared" si="54"/>
        <v>14.45</v>
      </c>
    </row>
    <row r="702" spans="1:15" x14ac:dyDescent="0.3">
      <c r="A702">
        <v>701</v>
      </c>
      <c r="B702">
        <v>0</v>
      </c>
      <c r="C702" t="str">
        <f t="shared" si="50"/>
        <v>No</v>
      </c>
      <c r="D702" t="s">
        <v>956</v>
      </c>
      <c r="E702" t="s">
        <v>1670</v>
      </c>
      <c r="F702" t="str" cm="1">
        <f t="array" ref="F702">IF(OR(COUNTIF(D702,"*"&amp;Preprocessing!$T$9:$T$15&amp;"*")),"Female","Male")</f>
        <v>Male</v>
      </c>
      <c r="G702">
        <v>25</v>
      </c>
      <c r="H702">
        <v>0</v>
      </c>
      <c r="I702">
        <v>0</v>
      </c>
      <c r="J702">
        <v>3</v>
      </c>
      <c r="K702">
        <v>7.7416999999999998</v>
      </c>
      <c r="L702">
        <f t="shared" si="51"/>
        <v>0</v>
      </c>
      <c r="M702">
        <f t="shared" si="52"/>
        <v>25</v>
      </c>
      <c r="N702" t="str">
        <f t="shared" si="53"/>
        <v>Adult</v>
      </c>
      <c r="O702">
        <f t="shared" si="54"/>
        <v>7.74</v>
      </c>
    </row>
    <row r="703" spans="1:15" x14ac:dyDescent="0.3">
      <c r="A703">
        <v>702</v>
      </c>
      <c r="B703">
        <v>0</v>
      </c>
      <c r="C703" t="str">
        <f t="shared" si="50"/>
        <v>No</v>
      </c>
      <c r="D703" t="s">
        <v>956</v>
      </c>
      <c r="E703" t="s">
        <v>1671</v>
      </c>
      <c r="F703" t="str" cm="1">
        <f t="array" ref="F703">IF(OR(COUNTIF(D703,"*"&amp;Preprocessing!$T$9:$T$15&amp;"*")),"Female","Male")</f>
        <v>Male</v>
      </c>
      <c r="G703">
        <v>26</v>
      </c>
      <c r="H703">
        <v>1</v>
      </c>
      <c r="I703">
        <v>0</v>
      </c>
      <c r="J703">
        <v>3</v>
      </c>
      <c r="K703">
        <v>7.8541999999999996</v>
      </c>
      <c r="L703">
        <f t="shared" si="51"/>
        <v>0</v>
      </c>
      <c r="M703">
        <f t="shared" si="52"/>
        <v>26</v>
      </c>
      <c r="N703" t="str">
        <f t="shared" si="53"/>
        <v>Adult</v>
      </c>
      <c r="O703">
        <f t="shared" si="54"/>
        <v>7.85</v>
      </c>
    </row>
    <row r="704" spans="1:15" x14ac:dyDescent="0.3">
      <c r="A704">
        <v>703</v>
      </c>
      <c r="B704">
        <v>0</v>
      </c>
      <c r="C704" t="str">
        <f t="shared" si="50"/>
        <v>No</v>
      </c>
      <c r="D704" t="s">
        <v>956</v>
      </c>
      <c r="E704" t="s">
        <v>1672</v>
      </c>
      <c r="F704" t="str" cm="1">
        <f t="array" ref="F704">IF(OR(COUNTIF(D704,"*"&amp;Preprocessing!$T$9:$T$15&amp;"*")),"Female","Male")</f>
        <v>Male</v>
      </c>
      <c r="G704">
        <v>39</v>
      </c>
      <c r="H704">
        <v>0</v>
      </c>
      <c r="I704">
        <v>0</v>
      </c>
      <c r="J704">
        <v>2</v>
      </c>
      <c r="K704">
        <v>26</v>
      </c>
      <c r="L704">
        <f t="shared" si="51"/>
        <v>0</v>
      </c>
      <c r="M704">
        <f t="shared" si="52"/>
        <v>39</v>
      </c>
      <c r="N704" t="str">
        <f t="shared" si="53"/>
        <v>Adult</v>
      </c>
      <c r="O704">
        <f t="shared" si="54"/>
        <v>26</v>
      </c>
    </row>
    <row r="705" spans="1:15" x14ac:dyDescent="0.3">
      <c r="A705">
        <v>704</v>
      </c>
      <c r="B705">
        <v>1</v>
      </c>
      <c r="C705" t="str">
        <f t="shared" si="50"/>
        <v>Yes</v>
      </c>
      <c r="D705" t="s">
        <v>958</v>
      </c>
      <c r="E705" t="s">
        <v>1673</v>
      </c>
      <c r="F705" t="str" cm="1">
        <f t="array" ref="F705">IF(OR(COUNTIF(D705,"*"&amp;Preprocessing!$T$9:$T$15&amp;"*")),"Female","Male")</f>
        <v>Female</v>
      </c>
      <c r="G705">
        <v>45</v>
      </c>
      <c r="H705">
        <v>0</v>
      </c>
      <c r="I705">
        <v>0</v>
      </c>
      <c r="J705">
        <v>2</v>
      </c>
      <c r="K705">
        <v>13.5</v>
      </c>
      <c r="L705">
        <f t="shared" si="51"/>
        <v>1</v>
      </c>
      <c r="M705">
        <f t="shared" si="52"/>
        <v>45</v>
      </c>
      <c r="N705" t="str">
        <f t="shared" si="53"/>
        <v>Adult</v>
      </c>
      <c r="O705">
        <f t="shared" si="54"/>
        <v>13.5</v>
      </c>
    </row>
    <row r="706" spans="1:15" x14ac:dyDescent="0.3">
      <c r="A706">
        <v>705</v>
      </c>
      <c r="B706">
        <v>1</v>
      </c>
      <c r="C706" t="str">
        <f t="shared" si="50"/>
        <v>Yes</v>
      </c>
      <c r="D706" t="s">
        <v>956</v>
      </c>
      <c r="E706" t="s">
        <v>1674</v>
      </c>
      <c r="F706" t="str" cm="1">
        <f t="array" ref="F706">IF(OR(COUNTIF(D706,"*"&amp;Preprocessing!$T$9:$T$15&amp;"*")),"Female","Male")</f>
        <v>Male</v>
      </c>
      <c r="G706">
        <v>42</v>
      </c>
      <c r="H706">
        <v>0</v>
      </c>
      <c r="I706">
        <v>0</v>
      </c>
      <c r="J706">
        <v>1</v>
      </c>
      <c r="K706">
        <v>26.287500000000001</v>
      </c>
      <c r="L706">
        <f t="shared" si="51"/>
        <v>0</v>
      </c>
      <c r="M706">
        <f t="shared" si="52"/>
        <v>42</v>
      </c>
      <c r="N706" t="str">
        <f t="shared" si="53"/>
        <v>Adult</v>
      </c>
      <c r="O706">
        <f t="shared" si="54"/>
        <v>26.29</v>
      </c>
    </row>
    <row r="707" spans="1:15" x14ac:dyDescent="0.3">
      <c r="A707">
        <v>706</v>
      </c>
      <c r="B707">
        <v>1</v>
      </c>
      <c r="C707" t="str">
        <f t="shared" ref="C707:C770" si="55">IF(B707=0,"No","Yes")</f>
        <v>Yes</v>
      </c>
      <c r="D707" t="s">
        <v>960</v>
      </c>
      <c r="E707" t="s">
        <v>1675</v>
      </c>
      <c r="F707" t="str" cm="1">
        <f t="array" ref="F707">IF(OR(COUNTIF(D707,"*"&amp;Preprocessing!$T$9:$T$15&amp;"*")),"Female","Male")</f>
        <v>Female</v>
      </c>
      <c r="G707">
        <v>22</v>
      </c>
      <c r="H707">
        <v>0</v>
      </c>
      <c r="I707">
        <v>0</v>
      </c>
      <c r="J707">
        <v>1</v>
      </c>
      <c r="K707">
        <v>151.55000000000001</v>
      </c>
      <c r="L707">
        <f t="shared" ref="L707:L770" si="56">IF(F707 = "Male", 0, 1)</f>
        <v>1</v>
      </c>
      <c r="M707">
        <f t="shared" ref="M707:M770" si="57">ROUND(G707, 0)</f>
        <v>22</v>
      </c>
      <c r="N707" t="str">
        <f t="shared" ref="N707:N770" si="58">IF(G707&lt;=16,"Child","Adult")</f>
        <v>Adult</v>
      </c>
      <c r="O707">
        <f t="shared" ref="O707:O770" si="59">ROUND(K707, 2)</f>
        <v>151.55000000000001</v>
      </c>
    </row>
    <row r="708" spans="1:15" x14ac:dyDescent="0.3">
      <c r="A708">
        <v>707</v>
      </c>
      <c r="B708">
        <v>1</v>
      </c>
      <c r="C708" t="str">
        <f t="shared" si="55"/>
        <v>Yes</v>
      </c>
      <c r="D708" t="s">
        <v>966</v>
      </c>
      <c r="E708" t="s">
        <v>1676</v>
      </c>
      <c r="F708" t="str" cm="1">
        <f t="array" ref="F708">IF(OR(COUNTIF(D708,"*"&amp;Preprocessing!$T$9:$T$15&amp;"*")),"Female","Male")</f>
        <v>Male</v>
      </c>
      <c r="G708">
        <v>4</v>
      </c>
      <c r="H708">
        <v>1</v>
      </c>
      <c r="I708">
        <v>1</v>
      </c>
      <c r="J708">
        <v>3</v>
      </c>
      <c r="K708">
        <v>15.245799999999999</v>
      </c>
      <c r="L708">
        <f t="shared" si="56"/>
        <v>0</v>
      </c>
      <c r="M708">
        <f t="shared" si="57"/>
        <v>4</v>
      </c>
      <c r="N708" t="str">
        <f t="shared" si="58"/>
        <v>Child</v>
      </c>
      <c r="O708">
        <f t="shared" si="59"/>
        <v>15.25</v>
      </c>
    </row>
    <row r="709" spans="1:15" x14ac:dyDescent="0.3">
      <c r="A709">
        <v>708</v>
      </c>
      <c r="B709">
        <v>1</v>
      </c>
      <c r="C709" t="str">
        <f t="shared" si="55"/>
        <v>Yes</v>
      </c>
      <c r="D709" t="s">
        <v>1606</v>
      </c>
      <c r="E709" t="s">
        <v>1677</v>
      </c>
      <c r="F709" t="str" cm="1">
        <f t="array" ref="F709">IF(OR(COUNTIF(D709,"*"&amp;Preprocessing!$T$9:$T$15&amp;"*")),"Female","Male")</f>
        <v>Female</v>
      </c>
      <c r="G709">
        <v>24</v>
      </c>
      <c r="H709">
        <v>0</v>
      </c>
      <c r="I709">
        <v>0</v>
      </c>
      <c r="J709">
        <v>1</v>
      </c>
      <c r="K709">
        <v>49.504199999999997</v>
      </c>
      <c r="L709">
        <f t="shared" si="56"/>
        <v>1</v>
      </c>
      <c r="M709">
        <f t="shared" si="57"/>
        <v>24</v>
      </c>
      <c r="N709" t="str">
        <f t="shared" si="58"/>
        <v>Adult</v>
      </c>
      <c r="O709">
        <f t="shared" si="59"/>
        <v>49.5</v>
      </c>
    </row>
    <row r="710" spans="1:15" x14ac:dyDescent="0.3">
      <c r="A710">
        <v>709</v>
      </c>
      <c r="B710">
        <v>0</v>
      </c>
      <c r="C710" t="str">
        <f t="shared" si="55"/>
        <v>No</v>
      </c>
      <c r="D710" t="s">
        <v>956</v>
      </c>
      <c r="E710" t="s">
        <v>1678</v>
      </c>
      <c r="F710" t="str" cm="1">
        <f t="array" ref="F710">IF(OR(COUNTIF(D710,"*"&amp;Preprocessing!$T$9:$T$15&amp;"*")),"Female","Male")</f>
        <v>Male</v>
      </c>
      <c r="G710">
        <v>41</v>
      </c>
      <c r="H710">
        <v>0</v>
      </c>
      <c r="I710">
        <v>0</v>
      </c>
      <c r="J710">
        <v>1</v>
      </c>
      <c r="K710">
        <v>26.55</v>
      </c>
      <c r="L710">
        <f t="shared" si="56"/>
        <v>0</v>
      </c>
      <c r="M710">
        <f t="shared" si="57"/>
        <v>41</v>
      </c>
      <c r="N710" t="str">
        <f t="shared" si="58"/>
        <v>Adult</v>
      </c>
      <c r="O710">
        <f t="shared" si="59"/>
        <v>26.55</v>
      </c>
    </row>
    <row r="711" spans="1:15" x14ac:dyDescent="0.3">
      <c r="A711">
        <v>710</v>
      </c>
      <c r="B711">
        <v>1</v>
      </c>
      <c r="C711" t="str">
        <f t="shared" si="55"/>
        <v>Yes</v>
      </c>
      <c r="D711" t="s">
        <v>956</v>
      </c>
      <c r="E711" t="s">
        <v>1679</v>
      </c>
      <c r="F711" t="str" cm="1">
        <f t="array" ref="F711">IF(OR(COUNTIF(D711,"*"&amp;Preprocessing!$T$9:$T$15&amp;"*")),"Female","Male")</f>
        <v>Male</v>
      </c>
      <c r="G711">
        <v>48</v>
      </c>
      <c r="H711">
        <v>1</v>
      </c>
      <c r="I711">
        <v>0</v>
      </c>
      <c r="J711">
        <v>1</v>
      </c>
      <c r="K711">
        <v>52</v>
      </c>
      <c r="L711">
        <f t="shared" si="56"/>
        <v>0</v>
      </c>
      <c r="M711">
        <f t="shared" si="57"/>
        <v>48</v>
      </c>
      <c r="N711" t="str">
        <f t="shared" si="58"/>
        <v>Adult</v>
      </c>
      <c r="O711">
        <f t="shared" si="59"/>
        <v>52</v>
      </c>
    </row>
    <row r="712" spans="1:15" x14ac:dyDescent="0.3">
      <c r="A712">
        <v>711</v>
      </c>
      <c r="B712">
        <v>0</v>
      </c>
      <c r="C712" t="str">
        <f t="shared" si="55"/>
        <v>No</v>
      </c>
      <c r="D712" t="s">
        <v>956</v>
      </c>
      <c r="E712" t="s">
        <v>1680</v>
      </c>
      <c r="F712" t="str" cm="1">
        <f t="array" ref="F712">IF(OR(COUNTIF(D712,"*"&amp;Preprocessing!$T$9:$T$15&amp;"*")),"Female","Male")</f>
        <v>Male</v>
      </c>
      <c r="G712">
        <v>29</v>
      </c>
      <c r="H712">
        <v>0</v>
      </c>
      <c r="I712">
        <v>0</v>
      </c>
      <c r="J712">
        <v>3</v>
      </c>
      <c r="K712">
        <v>9.4832999999999998</v>
      </c>
      <c r="L712">
        <f t="shared" si="56"/>
        <v>0</v>
      </c>
      <c r="M712">
        <f t="shared" si="57"/>
        <v>29</v>
      </c>
      <c r="N712" t="str">
        <f t="shared" si="58"/>
        <v>Adult</v>
      </c>
      <c r="O712">
        <f t="shared" si="59"/>
        <v>9.48</v>
      </c>
    </row>
    <row r="713" spans="1:15" x14ac:dyDescent="0.3">
      <c r="A713">
        <v>712</v>
      </c>
      <c r="B713">
        <v>0</v>
      </c>
      <c r="C713" t="str">
        <f t="shared" si="55"/>
        <v>No</v>
      </c>
      <c r="D713" t="s">
        <v>956</v>
      </c>
      <c r="E713" t="s">
        <v>1681</v>
      </c>
      <c r="F713" t="str" cm="1">
        <f t="array" ref="F713">IF(OR(COUNTIF(D713,"*"&amp;Preprocessing!$T$9:$T$15&amp;"*")),"Female","Male")</f>
        <v>Male</v>
      </c>
      <c r="G713">
        <v>52</v>
      </c>
      <c r="H713">
        <v>0</v>
      </c>
      <c r="I713">
        <v>0</v>
      </c>
      <c r="J713">
        <v>2</v>
      </c>
      <c r="K713">
        <v>13</v>
      </c>
      <c r="L713">
        <f t="shared" si="56"/>
        <v>0</v>
      </c>
      <c r="M713">
        <f t="shared" si="57"/>
        <v>52</v>
      </c>
      <c r="N713" t="str">
        <f t="shared" si="58"/>
        <v>Adult</v>
      </c>
      <c r="O713">
        <f t="shared" si="59"/>
        <v>13</v>
      </c>
    </row>
    <row r="714" spans="1:15" x14ac:dyDescent="0.3">
      <c r="A714">
        <v>713</v>
      </c>
      <c r="B714">
        <v>0</v>
      </c>
      <c r="C714" t="str">
        <f t="shared" si="55"/>
        <v>No</v>
      </c>
      <c r="D714" t="s">
        <v>956</v>
      </c>
      <c r="E714" t="s">
        <v>1682</v>
      </c>
      <c r="F714" t="str" cm="1">
        <f t="array" ref="F714">IF(OR(COUNTIF(D714,"*"&amp;Preprocessing!$T$9:$T$15&amp;"*")),"Female","Male")</f>
        <v>Male</v>
      </c>
      <c r="G714">
        <v>19</v>
      </c>
      <c r="H714">
        <v>0</v>
      </c>
      <c r="I714">
        <v>0</v>
      </c>
      <c r="J714">
        <v>3</v>
      </c>
      <c r="K714">
        <v>7.65</v>
      </c>
      <c r="L714">
        <f t="shared" si="56"/>
        <v>0</v>
      </c>
      <c r="M714">
        <f t="shared" si="57"/>
        <v>19</v>
      </c>
      <c r="N714" t="str">
        <f t="shared" si="58"/>
        <v>Adult</v>
      </c>
      <c r="O714">
        <f t="shared" si="59"/>
        <v>7.65</v>
      </c>
    </row>
    <row r="715" spans="1:15" x14ac:dyDescent="0.3">
      <c r="A715">
        <v>714</v>
      </c>
      <c r="B715">
        <v>1</v>
      </c>
      <c r="C715" t="str">
        <f t="shared" si="55"/>
        <v>Yes</v>
      </c>
      <c r="D715" t="s">
        <v>960</v>
      </c>
      <c r="E715" t="s">
        <v>1683</v>
      </c>
      <c r="F715" t="str" cm="1">
        <f t="array" ref="F715">IF(OR(COUNTIF(D715,"*"&amp;Preprocessing!$T$9:$T$15&amp;"*")),"Female","Male")</f>
        <v>Female</v>
      </c>
      <c r="G715">
        <v>38</v>
      </c>
      <c r="H715">
        <v>0</v>
      </c>
      <c r="I715">
        <v>0</v>
      </c>
      <c r="J715">
        <v>1</v>
      </c>
      <c r="K715">
        <v>227.52500000000001</v>
      </c>
      <c r="L715">
        <f t="shared" si="56"/>
        <v>1</v>
      </c>
      <c r="M715">
        <f t="shared" si="57"/>
        <v>38</v>
      </c>
      <c r="N715" t="str">
        <f t="shared" si="58"/>
        <v>Adult</v>
      </c>
      <c r="O715">
        <f t="shared" si="59"/>
        <v>227.53</v>
      </c>
    </row>
    <row r="716" spans="1:15" x14ac:dyDescent="0.3">
      <c r="A716">
        <v>715</v>
      </c>
      <c r="B716">
        <v>1</v>
      </c>
      <c r="C716" t="str">
        <f t="shared" si="55"/>
        <v>Yes</v>
      </c>
      <c r="D716" t="s">
        <v>960</v>
      </c>
      <c r="E716" t="s">
        <v>1684</v>
      </c>
      <c r="F716" t="str" cm="1">
        <f t="array" ref="F716">IF(OR(COUNTIF(D716,"*"&amp;Preprocessing!$T$9:$T$15&amp;"*")),"Female","Male")</f>
        <v>Female</v>
      </c>
      <c r="G716">
        <v>27</v>
      </c>
      <c r="H716">
        <v>0</v>
      </c>
      <c r="I716">
        <v>0</v>
      </c>
      <c r="J716">
        <v>2</v>
      </c>
      <c r="K716">
        <v>10.5</v>
      </c>
      <c r="L716">
        <f t="shared" si="56"/>
        <v>1</v>
      </c>
      <c r="M716">
        <f t="shared" si="57"/>
        <v>27</v>
      </c>
      <c r="N716" t="str">
        <f t="shared" si="58"/>
        <v>Adult</v>
      </c>
      <c r="O716">
        <f t="shared" si="59"/>
        <v>10.5</v>
      </c>
    </row>
    <row r="717" spans="1:15" x14ac:dyDescent="0.3">
      <c r="A717">
        <v>716</v>
      </c>
      <c r="B717">
        <v>0</v>
      </c>
      <c r="C717" t="str">
        <f t="shared" si="55"/>
        <v>No</v>
      </c>
      <c r="D717" t="s">
        <v>956</v>
      </c>
      <c r="E717" t="s">
        <v>1685</v>
      </c>
      <c r="F717" t="str" cm="1">
        <f t="array" ref="F717">IF(OR(COUNTIF(D717,"*"&amp;Preprocessing!$T$9:$T$15&amp;"*")),"Female","Male")</f>
        <v>Male</v>
      </c>
      <c r="G717">
        <v>33</v>
      </c>
      <c r="H717">
        <v>0</v>
      </c>
      <c r="I717">
        <v>0</v>
      </c>
      <c r="J717">
        <v>3</v>
      </c>
      <c r="K717">
        <v>7.7750000000000004</v>
      </c>
      <c r="L717">
        <f t="shared" si="56"/>
        <v>0</v>
      </c>
      <c r="M717">
        <f t="shared" si="57"/>
        <v>33</v>
      </c>
      <c r="N717" t="str">
        <f t="shared" si="58"/>
        <v>Adult</v>
      </c>
      <c r="O717">
        <f t="shared" si="59"/>
        <v>7.78</v>
      </c>
    </row>
    <row r="718" spans="1:15" x14ac:dyDescent="0.3">
      <c r="A718">
        <v>717</v>
      </c>
      <c r="B718">
        <v>1</v>
      </c>
      <c r="C718" t="str">
        <f t="shared" si="55"/>
        <v>Yes</v>
      </c>
      <c r="D718" t="s">
        <v>960</v>
      </c>
      <c r="E718" t="s">
        <v>1686</v>
      </c>
      <c r="F718" t="str" cm="1">
        <f t="array" ref="F718">IF(OR(COUNTIF(D718,"*"&amp;Preprocessing!$T$9:$T$15&amp;"*")),"Female","Male")</f>
        <v>Female</v>
      </c>
      <c r="G718">
        <v>6</v>
      </c>
      <c r="H718">
        <v>0</v>
      </c>
      <c r="I718">
        <v>1</v>
      </c>
      <c r="J718">
        <v>2</v>
      </c>
      <c r="K718">
        <v>33</v>
      </c>
      <c r="L718">
        <f t="shared" si="56"/>
        <v>1</v>
      </c>
      <c r="M718">
        <f t="shared" si="57"/>
        <v>6</v>
      </c>
      <c r="N718" t="str">
        <f t="shared" si="58"/>
        <v>Child</v>
      </c>
      <c r="O718">
        <f t="shared" si="59"/>
        <v>33</v>
      </c>
    </row>
    <row r="719" spans="1:15" x14ac:dyDescent="0.3">
      <c r="A719">
        <v>718</v>
      </c>
      <c r="B719">
        <v>0</v>
      </c>
      <c r="C719" t="str">
        <f t="shared" si="55"/>
        <v>No</v>
      </c>
      <c r="D719" t="s">
        <v>956</v>
      </c>
      <c r="E719" t="s">
        <v>1687</v>
      </c>
      <c r="F719" t="str" cm="1">
        <f t="array" ref="F719">IF(OR(COUNTIF(D719,"*"&amp;Preprocessing!$T$9:$T$15&amp;"*")),"Female","Male")</f>
        <v>Male</v>
      </c>
      <c r="G719">
        <v>17</v>
      </c>
      <c r="H719">
        <v>1</v>
      </c>
      <c r="I719">
        <v>0</v>
      </c>
      <c r="J719">
        <v>3</v>
      </c>
      <c r="K719">
        <v>7.0541999999999998</v>
      </c>
      <c r="L719">
        <f t="shared" si="56"/>
        <v>0</v>
      </c>
      <c r="M719">
        <f t="shared" si="57"/>
        <v>17</v>
      </c>
      <c r="N719" t="str">
        <f t="shared" si="58"/>
        <v>Adult</v>
      </c>
      <c r="O719">
        <f t="shared" si="59"/>
        <v>7.05</v>
      </c>
    </row>
    <row r="720" spans="1:15" x14ac:dyDescent="0.3">
      <c r="A720">
        <v>719</v>
      </c>
      <c r="B720">
        <v>0</v>
      </c>
      <c r="C720" t="str">
        <f t="shared" si="55"/>
        <v>No</v>
      </c>
      <c r="D720" t="s">
        <v>956</v>
      </c>
      <c r="E720" t="s">
        <v>1688</v>
      </c>
      <c r="F720" t="str" cm="1">
        <f t="array" ref="F720">IF(OR(COUNTIF(D720,"*"&amp;Preprocessing!$T$9:$T$15&amp;"*")),"Female","Male")</f>
        <v>Male</v>
      </c>
      <c r="G720">
        <v>34</v>
      </c>
      <c r="H720">
        <v>0</v>
      </c>
      <c r="I720">
        <v>0</v>
      </c>
      <c r="J720">
        <v>2</v>
      </c>
      <c r="K720">
        <v>13</v>
      </c>
      <c r="L720">
        <f t="shared" si="56"/>
        <v>0</v>
      </c>
      <c r="M720">
        <f t="shared" si="57"/>
        <v>34</v>
      </c>
      <c r="N720" t="str">
        <f t="shared" si="58"/>
        <v>Adult</v>
      </c>
      <c r="O720">
        <f t="shared" si="59"/>
        <v>13</v>
      </c>
    </row>
    <row r="721" spans="1:15" x14ac:dyDescent="0.3">
      <c r="A721">
        <v>720</v>
      </c>
      <c r="B721">
        <v>0</v>
      </c>
      <c r="C721" t="str">
        <f t="shared" si="55"/>
        <v>No</v>
      </c>
      <c r="D721" t="s">
        <v>956</v>
      </c>
      <c r="E721" t="s">
        <v>1689</v>
      </c>
      <c r="F721" t="str" cm="1">
        <f t="array" ref="F721">IF(OR(COUNTIF(D721,"*"&amp;Preprocessing!$T$9:$T$15&amp;"*")),"Female","Male")</f>
        <v>Male</v>
      </c>
      <c r="G721">
        <v>50</v>
      </c>
      <c r="H721">
        <v>0</v>
      </c>
      <c r="I721">
        <v>0</v>
      </c>
      <c r="J721">
        <v>2</v>
      </c>
      <c r="K721">
        <v>13</v>
      </c>
      <c r="L721">
        <f t="shared" si="56"/>
        <v>0</v>
      </c>
      <c r="M721">
        <f t="shared" si="57"/>
        <v>50</v>
      </c>
      <c r="N721" t="str">
        <f t="shared" si="58"/>
        <v>Adult</v>
      </c>
      <c r="O721">
        <f t="shared" si="59"/>
        <v>13</v>
      </c>
    </row>
    <row r="722" spans="1:15" x14ac:dyDescent="0.3">
      <c r="A722">
        <v>721</v>
      </c>
      <c r="B722">
        <v>1</v>
      </c>
      <c r="C722" t="str">
        <f t="shared" si="55"/>
        <v>Yes</v>
      </c>
      <c r="D722" t="s">
        <v>956</v>
      </c>
      <c r="E722" t="s">
        <v>1690</v>
      </c>
      <c r="F722" t="str" cm="1">
        <f t="array" ref="F722">IF(OR(COUNTIF(D722,"*"&amp;Preprocessing!$T$9:$T$15&amp;"*")),"Female","Male")</f>
        <v>Male</v>
      </c>
      <c r="G722">
        <v>27</v>
      </c>
      <c r="H722">
        <v>1</v>
      </c>
      <c r="I722">
        <v>0</v>
      </c>
      <c r="J722">
        <v>1</v>
      </c>
      <c r="K722">
        <v>53.1</v>
      </c>
      <c r="L722">
        <f t="shared" si="56"/>
        <v>0</v>
      </c>
      <c r="M722">
        <f t="shared" si="57"/>
        <v>27</v>
      </c>
      <c r="N722" t="str">
        <f t="shared" si="58"/>
        <v>Adult</v>
      </c>
      <c r="O722">
        <f t="shared" si="59"/>
        <v>53.1</v>
      </c>
    </row>
    <row r="723" spans="1:15" x14ac:dyDescent="0.3">
      <c r="A723">
        <v>722</v>
      </c>
      <c r="B723">
        <v>0</v>
      </c>
      <c r="C723" t="str">
        <f t="shared" si="55"/>
        <v>No</v>
      </c>
      <c r="D723" t="s">
        <v>956</v>
      </c>
      <c r="E723" t="s">
        <v>1691</v>
      </c>
      <c r="F723" t="str" cm="1">
        <f t="array" ref="F723">IF(OR(COUNTIF(D723,"*"&amp;Preprocessing!$T$9:$T$15&amp;"*")),"Female","Male")</f>
        <v>Male</v>
      </c>
      <c r="G723">
        <v>20</v>
      </c>
      <c r="H723">
        <v>0</v>
      </c>
      <c r="I723">
        <v>0</v>
      </c>
      <c r="J723">
        <v>3</v>
      </c>
      <c r="K723">
        <v>8.6624999999999996</v>
      </c>
      <c r="L723">
        <f t="shared" si="56"/>
        <v>0</v>
      </c>
      <c r="M723">
        <f t="shared" si="57"/>
        <v>20</v>
      </c>
      <c r="N723" t="str">
        <f t="shared" si="58"/>
        <v>Adult</v>
      </c>
      <c r="O723">
        <f t="shared" si="59"/>
        <v>8.66</v>
      </c>
    </row>
    <row r="724" spans="1:15" x14ac:dyDescent="0.3">
      <c r="A724">
        <v>723</v>
      </c>
      <c r="B724">
        <v>1</v>
      </c>
      <c r="C724" t="str">
        <f t="shared" si="55"/>
        <v>Yes</v>
      </c>
      <c r="D724" t="s">
        <v>958</v>
      </c>
      <c r="E724" t="s">
        <v>1692</v>
      </c>
      <c r="F724" t="str" cm="1">
        <f t="array" ref="F724">IF(OR(COUNTIF(D724,"*"&amp;Preprocessing!$T$9:$T$15&amp;"*")),"Female","Male")</f>
        <v>Female</v>
      </c>
      <c r="G724">
        <v>30</v>
      </c>
      <c r="H724">
        <v>3</v>
      </c>
      <c r="I724">
        <v>0</v>
      </c>
      <c r="J724">
        <v>2</v>
      </c>
      <c r="K724">
        <v>21</v>
      </c>
      <c r="L724">
        <f t="shared" si="56"/>
        <v>1</v>
      </c>
      <c r="M724">
        <f t="shared" si="57"/>
        <v>30</v>
      </c>
      <c r="N724" t="str">
        <f t="shared" si="58"/>
        <v>Adult</v>
      </c>
      <c r="O724">
        <f t="shared" si="59"/>
        <v>21</v>
      </c>
    </row>
    <row r="725" spans="1:15" x14ac:dyDescent="0.3">
      <c r="A725">
        <v>724</v>
      </c>
      <c r="B725">
        <v>1</v>
      </c>
      <c r="C725" t="str">
        <f t="shared" si="55"/>
        <v>Yes</v>
      </c>
      <c r="D725" t="s">
        <v>960</v>
      </c>
      <c r="E725" t="s">
        <v>1693</v>
      </c>
      <c r="F725" t="str" cm="1">
        <f t="array" ref="F725">IF(OR(COUNTIF(D725,"*"&amp;Preprocessing!$T$9:$T$15&amp;"*")),"Female","Male")</f>
        <v>Female</v>
      </c>
      <c r="G725">
        <v>28</v>
      </c>
      <c r="H725">
        <v>0</v>
      </c>
      <c r="I725">
        <v>0</v>
      </c>
      <c r="J725">
        <v>3</v>
      </c>
      <c r="K725">
        <v>7.7374999999999998</v>
      </c>
      <c r="L725">
        <f t="shared" si="56"/>
        <v>1</v>
      </c>
      <c r="M725">
        <f t="shared" si="57"/>
        <v>28</v>
      </c>
      <c r="N725" t="str">
        <f t="shared" si="58"/>
        <v>Adult</v>
      </c>
      <c r="O725">
        <f t="shared" si="59"/>
        <v>7.74</v>
      </c>
    </row>
    <row r="726" spans="1:15" x14ac:dyDescent="0.3">
      <c r="A726">
        <v>725</v>
      </c>
      <c r="B726">
        <v>0</v>
      </c>
      <c r="C726" t="str">
        <f t="shared" si="55"/>
        <v>No</v>
      </c>
      <c r="D726" t="s">
        <v>956</v>
      </c>
      <c r="E726" t="s">
        <v>1694</v>
      </c>
      <c r="F726" t="str" cm="1">
        <f t="array" ref="F726">IF(OR(COUNTIF(D726,"*"&amp;Preprocessing!$T$9:$T$15&amp;"*")),"Female","Male")</f>
        <v>Male</v>
      </c>
      <c r="G726">
        <v>25</v>
      </c>
      <c r="H726">
        <v>1</v>
      </c>
      <c r="I726">
        <v>0</v>
      </c>
      <c r="J726">
        <v>2</v>
      </c>
      <c r="K726">
        <v>26</v>
      </c>
      <c r="L726">
        <f t="shared" si="56"/>
        <v>0</v>
      </c>
      <c r="M726">
        <f t="shared" si="57"/>
        <v>25</v>
      </c>
      <c r="N726" t="str">
        <f t="shared" si="58"/>
        <v>Adult</v>
      </c>
      <c r="O726">
        <f t="shared" si="59"/>
        <v>26</v>
      </c>
    </row>
    <row r="727" spans="1:15" x14ac:dyDescent="0.3">
      <c r="A727">
        <v>726</v>
      </c>
      <c r="B727">
        <v>0</v>
      </c>
      <c r="C727" t="str">
        <f t="shared" si="55"/>
        <v>No</v>
      </c>
      <c r="D727" t="s">
        <v>960</v>
      </c>
      <c r="E727" t="s">
        <v>1695</v>
      </c>
      <c r="F727" t="str" cm="1">
        <f t="array" ref="F727">IF(OR(COUNTIF(D727,"*"&amp;Preprocessing!$T$9:$T$15&amp;"*")),"Female","Male")</f>
        <v>Female</v>
      </c>
      <c r="G727">
        <v>25</v>
      </c>
      <c r="H727">
        <v>1</v>
      </c>
      <c r="I727">
        <v>0</v>
      </c>
      <c r="J727">
        <v>3</v>
      </c>
      <c r="K727">
        <v>7.9249999999999998</v>
      </c>
      <c r="L727">
        <f t="shared" si="56"/>
        <v>1</v>
      </c>
      <c r="M727">
        <f t="shared" si="57"/>
        <v>25</v>
      </c>
      <c r="N727" t="str">
        <f t="shared" si="58"/>
        <v>Adult</v>
      </c>
      <c r="O727">
        <f t="shared" si="59"/>
        <v>7.93</v>
      </c>
    </row>
    <row r="728" spans="1:15" x14ac:dyDescent="0.3">
      <c r="A728">
        <v>727</v>
      </c>
      <c r="B728">
        <v>1</v>
      </c>
      <c r="C728" t="str">
        <f t="shared" si="55"/>
        <v>Yes</v>
      </c>
      <c r="D728" t="s">
        <v>960</v>
      </c>
      <c r="E728" t="s">
        <v>1696</v>
      </c>
      <c r="F728" t="str" cm="1">
        <f t="array" ref="F728">IF(OR(COUNTIF(D728,"*"&amp;Preprocessing!$T$9:$T$15&amp;"*")),"Female","Male")</f>
        <v>Female</v>
      </c>
      <c r="G728">
        <v>29</v>
      </c>
      <c r="H728">
        <v>0</v>
      </c>
      <c r="I728">
        <v>0</v>
      </c>
      <c r="J728">
        <v>1</v>
      </c>
      <c r="K728">
        <v>211.33750000000001</v>
      </c>
      <c r="L728">
        <f t="shared" si="56"/>
        <v>1</v>
      </c>
      <c r="M728">
        <f t="shared" si="57"/>
        <v>29</v>
      </c>
      <c r="N728" t="str">
        <f t="shared" si="58"/>
        <v>Adult</v>
      </c>
      <c r="O728">
        <f t="shared" si="59"/>
        <v>211.34</v>
      </c>
    </row>
    <row r="729" spans="1:15" x14ac:dyDescent="0.3">
      <c r="A729">
        <v>728</v>
      </c>
      <c r="B729">
        <v>0</v>
      </c>
      <c r="C729" t="str">
        <f t="shared" si="55"/>
        <v>No</v>
      </c>
      <c r="D729" t="s">
        <v>956</v>
      </c>
      <c r="E729" t="s">
        <v>1697</v>
      </c>
      <c r="F729" t="str" cm="1">
        <f t="array" ref="F729">IF(OR(COUNTIF(D729,"*"&amp;Preprocessing!$T$9:$T$15&amp;"*")),"Female","Male")</f>
        <v>Male</v>
      </c>
      <c r="G729">
        <v>11</v>
      </c>
      <c r="H729">
        <v>0</v>
      </c>
      <c r="I729">
        <v>0</v>
      </c>
      <c r="J729">
        <v>3</v>
      </c>
      <c r="K729">
        <v>18.787500000000001</v>
      </c>
      <c r="L729">
        <f t="shared" si="56"/>
        <v>0</v>
      </c>
      <c r="M729">
        <f t="shared" si="57"/>
        <v>11</v>
      </c>
      <c r="N729" t="str">
        <f t="shared" si="58"/>
        <v>Child</v>
      </c>
      <c r="O729">
        <f t="shared" si="59"/>
        <v>18.79</v>
      </c>
    </row>
    <row r="730" spans="1:15" x14ac:dyDescent="0.3">
      <c r="A730">
        <v>729</v>
      </c>
      <c r="B730">
        <v>0</v>
      </c>
      <c r="C730" t="str">
        <f t="shared" si="55"/>
        <v>No</v>
      </c>
      <c r="D730" t="s">
        <v>956</v>
      </c>
      <c r="E730" t="s">
        <v>1698</v>
      </c>
      <c r="F730" t="str" cm="1">
        <f t="array" ref="F730">IF(OR(COUNTIF(D730,"*"&amp;Preprocessing!$T$9:$T$15&amp;"*")),"Female","Male")</f>
        <v>Male</v>
      </c>
      <c r="G730">
        <v>41</v>
      </c>
      <c r="H730">
        <v>0</v>
      </c>
      <c r="I730">
        <v>0</v>
      </c>
      <c r="J730">
        <v>2</v>
      </c>
      <c r="K730">
        <v>0</v>
      </c>
      <c r="L730">
        <f t="shared" si="56"/>
        <v>0</v>
      </c>
      <c r="M730">
        <f t="shared" si="57"/>
        <v>41</v>
      </c>
      <c r="N730" t="str">
        <f t="shared" si="58"/>
        <v>Adult</v>
      </c>
      <c r="O730">
        <f t="shared" si="59"/>
        <v>0</v>
      </c>
    </row>
    <row r="731" spans="1:15" x14ac:dyDescent="0.3">
      <c r="A731">
        <v>730</v>
      </c>
      <c r="B731">
        <v>0</v>
      </c>
      <c r="C731" t="str">
        <f t="shared" si="55"/>
        <v>No</v>
      </c>
      <c r="D731" t="s">
        <v>956</v>
      </c>
      <c r="E731" t="s">
        <v>1699</v>
      </c>
      <c r="F731" t="str" cm="1">
        <f t="array" ref="F731">IF(OR(COUNTIF(D731,"*"&amp;Preprocessing!$T$9:$T$15&amp;"*")),"Female","Male")</f>
        <v>Male</v>
      </c>
      <c r="G731">
        <v>23</v>
      </c>
      <c r="H731">
        <v>0</v>
      </c>
      <c r="I731">
        <v>0</v>
      </c>
      <c r="J731">
        <v>2</v>
      </c>
      <c r="K731">
        <v>13</v>
      </c>
      <c r="L731">
        <f t="shared" si="56"/>
        <v>0</v>
      </c>
      <c r="M731">
        <f t="shared" si="57"/>
        <v>23</v>
      </c>
      <c r="N731" t="str">
        <f t="shared" si="58"/>
        <v>Adult</v>
      </c>
      <c r="O731">
        <f t="shared" si="59"/>
        <v>13</v>
      </c>
    </row>
    <row r="732" spans="1:15" x14ac:dyDescent="0.3">
      <c r="A732">
        <v>731</v>
      </c>
      <c r="B732">
        <v>0</v>
      </c>
      <c r="C732" t="str">
        <f t="shared" si="55"/>
        <v>No</v>
      </c>
      <c r="D732" t="s">
        <v>956</v>
      </c>
      <c r="E732" t="s">
        <v>1700</v>
      </c>
      <c r="F732" t="str" cm="1">
        <f t="array" ref="F732">IF(OR(COUNTIF(D732,"*"&amp;Preprocessing!$T$9:$T$15&amp;"*")),"Female","Male")</f>
        <v>Male</v>
      </c>
      <c r="G732">
        <v>23</v>
      </c>
      <c r="H732">
        <v>0</v>
      </c>
      <c r="I732">
        <v>0</v>
      </c>
      <c r="J732">
        <v>2</v>
      </c>
      <c r="K732">
        <v>13</v>
      </c>
      <c r="L732">
        <f t="shared" si="56"/>
        <v>0</v>
      </c>
      <c r="M732">
        <f t="shared" si="57"/>
        <v>23</v>
      </c>
      <c r="N732" t="str">
        <f t="shared" si="58"/>
        <v>Adult</v>
      </c>
      <c r="O732">
        <f t="shared" si="59"/>
        <v>13</v>
      </c>
    </row>
    <row r="733" spans="1:15" x14ac:dyDescent="0.3">
      <c r="A733">
        <v>732</v>
      </c>
      <c r="B733">
        <v>0</v>
      </c>
      <c r="C733" t="str">
        <f t="shared" si="55"/>
        <v>No</v>
      </c>
      <c r="D733" t="s">
        <v>956</v>
      </c>
      <c r="E733" t="s">
        <v>1701</v>
      </c>
      <c r="F733" t="str" cm="1">
        <f t="array" ref="F733">IF(OR(COUNTIF(D733,"*"&amp;Preprocessing!$T$9:$T$15&amp;"*")),"Female","Male")</f>
        <v>Male</v>
      </c>
      <c r="G733">
        <v>28.5</v>
      </c>
      <c r="H733">
        <v>0</v>
      </c>
      <c r="I733">
        <v>0</v>
      </c>
      <c r="J733">
        <v>3</v>
      </c>
      <c r="K733">
        <v>16.100000000000001</v>
      </c>
      <c r="L733">
        <f t="shared" si="56"/>
        <v>0</v>
      </c>
      <c r="M733">
        <f t="shared" si="57"/>
        <v>29</v>
      </c>
      <c r="N733" t="str">
        <f t="shared" si="58"/>
        <v>Adult</v>
      </c>
      <c r="O733">
        <f t="shared" si="59"/>
        <v>16.100000000000001</v>
      </c>
    </row>
    <row r="734" spans="1:15" x14ac:dyDescent="0.3">
      <c r="A734">
        <v>733</v>
      </c>
      <c r="B734">
        <v>0</v>
      </c>
      <c r="C734" t="str">
        <f t="shared" si="55"/>
        <v>No</v>
      </c>
      <c r="D734" t="s">
        <v>958</v>
      </c>
      <c r="E734" t="s">
        <v>1702</v>
      </c>
      <c r="F734" t="str" cm="1">
        <f t="array" ref="F734">IF(OR(COUNTIF(D734,"*"&amp;Preprocessing!$T$9:$T$15&amp;"*")),"Female","Male")</f>
        <v>Female</v>
      </c>
      <c r="G734">
        <v>48</v>
      </c>
      <c r="H734">
        <v>1</v>
      </c>
      <c r="I734">
        <v>3</v>
      </c>
      <c r="J734">
        <v>3</v>
      </c>
      <c r="K734">
        <v>34.375</v>
      </c>
      <c r="L734">
        <f t="shared" si="56"/>
        <v>1</v>
      </c>
      <c r="M734">
        <f t="shared" si="57"/>
        <v>48</v>
      </c>
      <c r="N734" t="str">
        <f t="shared" si="58"/>
        <v>Adult</v>
      </c>
      <c r="O734">
        <f t="shared" si="59"/>
        <v>34.380000000000003</v>
      </c>
    </row>
    <row r="735" spans="1:15" x14ac:dyDescent="0.3">
      <c r="A735">
        <v>734</v>
      </c>
      <c r="B735">
        <v>1</v>
      </c>
      <c r="C735" t="str">
        <f t="shared" si="55"/>
        <v>Yes</v>
      </c>
      <c r="D735" t="s">
        <v>956</v>
      </c>
      <c r="E735" t="s">
        <v>1703</v>
      </c>
      <c r="F735" t="str" cm="1">
        <f t="array" ref="F735">IF(OR(COUNTIF(D735,"*"&amp;Preprocessing!$T$9:$T$15&amp;"*")),"Female","Male")</f>
        <v>Male</v>
      </c>
      <c r="G735">
        <v>35</v>
      </c>
      <c r="H735">
        <v>0</v>
      </c>
      <c r="I735">
        <v>0</v>
      </c>
      <c r="J735">
        <v>1</v>
      </c>
      <c r="K735">
        <v>512.32920000000001</v>
      </c>
      <c r="L735">
        <f t="shared" si="56"/>
        <v>0</v>
      </c>
      <c r="M735">
        <f t="shared" si="57"/>
        <v>35</v>
      </c>
      <c r="N735" t="str">
        <f t="shared" si="58"/>
        <v>Adult</v>
      </c>
      <c r="O735">
        <f t="shared" si="59"/>
        <v>512.33000000000004</v>
      </c>
    </row>
    <row r="736" spans="1:15" x14ac:dyDescent="0.3">
      <c r="A736">
        <v>735</v>
      </c>
      <c r="B736">
        <v>0</v>
      </c>
      <c r="C736" t="str">
        <f t="shared" si="55"/>
        <v>No</v>
      </c>
      <c r="D736" t="s">
        <v>956</v>
      </c>
      <c r="E736" t="s">
        <v>1704</v>
      </c>
      <c r="F736" t="str" cm="1">
        <f t="array" ref="F736">IF(OR(COUNTIF(D736,"*"&amp;Preprocessing!$T$9:$T$15&amp;"*")),"Female","Male")</f>
        <v>Male</v>
      </c>
      <c r="G736">
        <v>20</v>
      </c>
      <c r="H736">
        <v>0</v>
      </c>
      <c r="I736">
        <v>0</v>
      </c>
      <c r="J736">
        <v>3</v>
      </c>
      <c r="K736">
        <v>7.8958000000000004</v>
      </c>
      <c r="L736">
        <f t="shared" si="56"/>
        <v>0</v>
      </c>
      <c r="M736">
        <f t="shared" si="57"/>
        <v>20</v>
      </c>
      <c r="N736" t="str">
        <f t="shared" si="58"/>
        <v>Adult</v>
      </c>
      <c r="O736">
        <f t="shared" si="59"/>
        <v>7.9</v>
      </c>
    </row>
    <row r="737" spans="1:15" x14ac:dyDescent="0.3">
      <c r="A737">
        <v>736</v>
      </c>
      <c r="B737">
        <v>0</v>
      </c>
      <c r="C737" t="str">
        <f t="shared" si="55"/>
        <v>No</v>
      </c>
      <c r="D737" t="s">
        <v>956</v>
      </c>
      <c r="E737" t="s">
        <v>1705</v>
      </c>
      <c r="F737" t="str" cm="1">
        <f t="array" ref="F737">IF(OR(COUNTIF(D737,"*"&amp;Preprocessing!$T$9:$T$15&amp;"*")),"Female","Male")</f>
        <v>Male</v>
      </c>
      <c r="G737">
        <v>32</v>
      </c>
      <c r="H737">
        <v>0</v>
      </c>
      <c r="I737">
        <v>0</v>
      </c>
      <c r="J737">
        <v>3</v>
      </c>
      <c r="K737">
        <v>7.8958000000000004</v>
      </c>
      <c r="L737">
        <f t="shared" si="56"/>
        <v>0</v>
      </c>
      <c r="M737">
        <f t="shared" si="57"/>
        <v>32</v>
      </c>
      <c r="N737" t="str">
        <f t="shared" si="58"/>
        <v>Adult</v>
      </c>
      <c r="O737">
        <f t="shared" si="59"/>
        <v>7.9</v>
      </c>
    </row>
    <row r="738" spans="1:15" x14ac:dyDescent="0.3">
      <c r="A738">
        <v>737</v>
      </c>
      <c r="B738">
        <v>1</v>
      </c>
      <c r="C738" t="str">
        <f t="shared" si="55"/>
        <v>Yes</v>
      </c>
      <c r="D738" t="s">
        <v>956</v>
      </c>
      <c r="E738" t="s">
        <v>1706</v>
      </c>
      <c r="F738" t="str" cm="1">
        <f t="array" ref="F738">IF(OR(COUNTIF(D738,"*"&amp;Preprocessing!$T$9:$T$15&amp;"*")),"Female","Male")</f>
        <v>Male</v>
      </c>
      <c r="G738">
        <v>45</v>
      </c>
      <c r="H738">
        <v>0</v>
      </c>
      <c r="I738">
        <v>0</v>
      </c>
      <c r="J738">
        <v>1</v>
      </c>
      <c r="K738">
        <v>30</v>
      </c>
      <c r="L738">
        <f t="shared" si="56"/>
        <v>0</v>
      </c>
      <c r="M738">
        <f t="shared" si="57"/>
        <v>45</v>
      </c>
      <c r="N738" t="str">
        <f t="shared" si="58"/>
        <v>Adult</v>
      </c>
      <c r="O738">
        <f t="shared" si="59"/>
        <v>30</v>
      </c>
    </row>
    <row r="739" spans="1:15" x14ac:dyDescent="0.3">
      <c r="A739">
        <v>738</v>
      </c>
      <c r="B739">
        <v>0</v>
      </c>
      <c r="C739" t="str">
        <f t="shared" si="55"/>
        <v>No</v>
      </c>
      <c r="D739" t="s">
        <v>956</v>
      </c>
      <c r="E739" t="s">
        <v>1707</v>
      </c>
      <c r="F739" t="str" cm="1">
        <f t="array" ref="F739">IF(OR(COUNTIF(D739,"*"&amp;Preprocessing!$T$9:$T$15&amp;"*")),"Female","Male")</f>
        <v>Male</v>
      </c>
      <c r="G739">
        <v>36</v>
      </c>
      <c r="H739">
        <v>1</v>
      </c>
      <c r="I739">
        <v>0</v>
      </c>
      <c r="J739">
        <v>1</v>
      </c>
      <c r="K739">
        <v>78.849999999999994</v>
      </c>
      <c r="L739">
        <f t="shared" si="56"/>
        <v>0</v>
      </c>
      <c r="M739">
        <f t="shared" si="57"/>
        <v>36</v>
      </c>
      <c r="N739" t="str">
        <f t="shared" si="58"/>
        <v>Adult</v>
      </c>
      <c r="O739">
        <f t="shared" si="59"/>
        <v>78.849999999999994</v>
      </c>
    </row>
    <row r="740" spans="1:15" x14ac:dyDescent="0.3">
      <c r="A740">
        <v>739</v>
      </c>
      <c r="B740">
        <v>1</v>
      </c>
      <c r="C740" t="str">
        <f t="shared" si="55"/>
        <v>Yes</v>
      </c>
      <c r="D740" t="s">
        <v>960</v>
      </c>
      <c r="E740" t="s">
        <v>1708</v>
      </c>
      <c r="F740" t="str" cm="1">
        <f t="array" ref="F740">IF(OR(COUNTIF(D740,"*"&amp;Preprocessing!$T$9:$T$15&amp;"*")),"Female","Male")</f>
        <v>Female</v>
      </c>
      <c r="G740">
        <v>21</v>
      </c>
      <c r="H740">
        <v>2</v>
      </c>
      <c r="I740">
        <v>2</v>
      </c>
      <c r="J740">
        <v>1</v>
      </c>
      <c r="K740">
        <v>262.375</v>
      </c>
      <c r="L740">
        <f t="shared" si="56"/>
        <v>1</v>
      </c>
      <c r="M740">
        <f t="shared" si="57"/>
        <v>21</v>
      </c>
      <c r="N740" t="str">
        <f t="shared" si="58"/>
        <v>Adult</v>
      </c>
      <c r="O740">
        <f t="shared" si="59"/>
        <v>262.38</v>
      </c>
    </row>
    <row r="741" spans="1:15" x14ac:dyDescent="0.3">
      <c r="A741">
        <v>740</v>
      </c>
      <c r="B741">
        <v>0</v>
      </c>
      <c r="C741" t="str">
        <f t="shared" si="55"/>
        <v>No</v>
      </c>
      <c r="D741" t="s">
        <v>956</v>
      </c>
      <c r="E741" t="s">
        <v>1709</v>
      </c>
      <c r="F741" t="str" cm="1">
        <f t="array" ref="F741">IF(OR(COUNTIF(D741,"*"&amp;Preprocessing!$T$9:$T$15&amp;"*")),"Female","Male")</f>
        <v>Male</v>
      </c>
      <c r="G741">
        <v>24</v>
      </c>
      <c r="H741">
        <v>1</v>
      </c>
      <c r="I741">
        <v>0</v>
      </c>
      <c r="J741">
        <v>3</v>
      </c>
      <c r="K741">
        <v>16.100000000000001</v>
      </c>
      <c r="L741">
        <f t="shared" si="56"/>
        <v>0</v>
      </c>
      <c r="M741">
        <f t="shared" si="57"/>
        <v>24</v>
      </c>
      <c r="N741" t="str">
        <f t="shared" si="58"/>
        <v>Adult</v>
      </c>
      <c r="O741">
        <f t="shared" si="59"/>
        <v>16.100000000000001</v>
      </c>
    </row>
    <row r="742" spans="1:15" x14ac:dyDescent="0.3">
      <c r="A742">
        <v>741</v>
      </c>
      <c r="B742">
        <v>1</v>
      </c>
      <c r="C742" t="str">
        <f t="shared" si="55"/>
        <v>Yes</v>
      </c>
      <c r="D742" t="s">
        <v>956</v>
      </c>
      <c r="E742" t="s">
        <v>1710</v>
      </c>
      <c r="F742" t="str" cm="1">
        <f t="array" ref="F742">IF(OR(COUNTIF(D742,"*"&amp;Preprocessing!$T$9:$T$15&amp;"*")),"Female","Male")</f>
        <v>Male</v>
      </c>
      <c r="G742">
        <v>31</v>
      </c>
      <c r="H742">
        <v>0</v>
      </c>
      <c r="I742">
        <v>0</v>
      </c>
      <c r="J742">
        <v>3</v>
      </c>
      <c r="K742">
        <v>7.9249999999999998</v>
      </c>
      <c r="L742">
        <f t="shared" si="56"/>
        <v>0</v>
      </c>
      <c r="M742">
        <f t="shared" si="57"/>
        <v>31</v>
      </c>
      <c r="N742" t="str">
        <f t="shared" si="58"/>
        <v>Adult</v>
      </c>
      <c r="O742">
        <f t="shared" si="59"/>
        <v>7.93</v>
      </c>
    </row>
    <row r="743" spans="1:15" x14ac:dyDescent="0.3">
      <c r="A743">
        <v>742</v>
      </c>
      <c r="B743">
        <v>0</v>
      </c>
      <c r="C743" t="str">
        <f t="shared" si="55"/>
        <v>No</v>
      </c>
      <c r="D743" t="s">
        <v>1711</v>
      </c>
      <c r="E743" t="s">
        <v>1712</v>
      </c>
      <c r="F743" t="str" cm="1">
        <f t="array" ref="F743">IF(OR(COUNTIF(D743,"*"&amp;Preprocessing!$T$9:$T$15&amp;"*")),"Female","Male")</f>
        <v>Male</v>
      </c>
      <c r="G743">
        <v>70</v>
      </c>
      <c r="H743">
        <v>1</v>
      </c>
      <c r="I743">
        <v>1</v>
      </c>
      <c r="J743">
        <v>1</v>
      </c>
      <c r="K743">
        <v>71</v>
      </c>
      <c r="L743">
        <f t="shared" si="56"/>
        <v>0</v>
      </c>
      <c r="M743">
        <f t="shared" si="57"/>
        <v>70</v>
      </c>
      <c r="N743" t="str">
        <f t="shared" si="58"/>
        <v>Adult</v>
      </c>
      <c r="O743">
        <f t="shared" si="59"/>
        <v>71</v>
      </c>
    </row>
    <row r="744" spans="1:15" x14ac:dyDescent="0.3">
      <c r="A744">
        <v>743</v>
      </c>
      <c r="B744">
        <v>0</v>
      </c>
      <c r="C744" t="str">
        <f t="shared" si="55"/>
        <v>No</v>
      </c>
      <c r="D744" t="s">
        <v>956</v>
      </c>
      <c r="E744" t="s">
        <v>1713</v>
      </c>
      <c r="F744" t="str" cm="1">
        <f t="array" ref="F744">IF(OR(COUNTIF(D744,"*"&amp;Preprocessing!$T$9:$T$15&amp;"*")),"Female","Male")</f>
        <v>Male</v>
      </c>
      <c r="G744">
        <v>16</v>
      </c>
      <c r="H744">
        <v>1</v>
      </c>
      <c r="I744">
        <v>1</v>
      </c>
      <c r="J744">
        <v>3</v>
      </c>
      <c r="K744">
        <v>20.25</v>
      </c>
      <c r="L744">
        <f t="shared" si="56"/>
        <v>0</v>
      </c>
      <c r="M744">
        <f t="shared" si="57"/>
        <v>16</v>
      </c>
      <c r="N744" t="str">
        <f t="shared" si="58"/>
        <v>Child</v>
      </c>
      <c r="O744">
        <f t="shared" si="59"/>
        <v>20.25</v>
      </c>
    </row>
    <row r="745" spans="1:15" x14ac:dyDescent="0.3">
      <c r="A745">
        <v>744</v>
      </c>
      <c r="B745">
        <v>1</v>
      </c>
      <c r="C745" t="str">
        <f t="shared" si="55"/>
        <v>Yes</v>
      </c>
      <c r="D745" t="s">
        <v>960</v>
      </c>
      <c r="E745" t="s">
        <v>1714</v>
      </c>
      <c r="F745" t="str" cm="1">
        <f t="array" ref="F745">IF(OR(COUNTIF(D745,"*"&amp;Preprocessing!$T$9:$T$15&amp;"*")),"Female","Male")</f>
        <v>Female</v>
      </c>
      <c r="G745">
        <v>30</v>
      </c>
      <c r="H745">
        <v>0</v>
      </c>
      <c r="I745">
        <v>0</v>
      </c>
      <c r="J745">
        <v>2</v>
      </c>
      <c r="K745">
        <v>13</v>
      </c>
      <c r="L745">
        <f t="shared" si="56"/>
        <v>1</v>
      </c>
      <c r="M745">
        <f t="shared" si="57"/>
        <v>30</v>
      </c>
      <c r="N745" t="str">
        <f t="shared" si="58"/>
        <v>Adult</v>
      </c>
      <c r="O745">
        <f t="shared" si="59"/>
        <v>13</v>
      </c>
    </row>
    <row r="746" spans="1:15" x14ac:dyDescent="0.3">
      <c r="A746">
        <v>745</v>
      </c>
      <c r="B746">
        <v>0</v>
      </c>
      <c r="C746" t="str">
        <f t="shared" si="55"/>
        <v>No</v>
      </c>
      <c r="D746" t="s">
        <v>956</v>
      </c>
      <c r="E746" t="s">
        <v>1715</v>
      </c>
      <c r="F746" t="str" cm="1">
        <f t="array" ref="F746">IF(OR(COUNTIF(D746,"*"&amp;Preprocessing!$T$9:$T$15&amp;"*")),"Female","Male")</f>
        <v>Male</v>
      </c>
      <c r="G746">
        <v>19</v>
      </c>
      <c r="H746">
        <v>1</v>
      </c>
      <c r="I746">
        <v>0</v>
      </c>
      <c r="J746">
        <v>1</v>
      </c>
      <c r="K746">
        <v>53.1</v>
      </c>
      <c r="L746">
        <f t="shared" si="56"/>
        <v>0</v>
      </c>
      <c r="M746">
        <f t="shared" si="57"/>
        <v>19</v>
      </c>
      <c r="N746" t="str">
        <f t="shared" si="58"/>
        <v>Adult</v>
      </c>
      <c r="O746">
        <f t="shared" si="59"/>
        <v>53.1</v>
      </c>
    </row>
    <row r="747" spans="1:15" x14ac:dyDescent="0.3">
      <c r="A747">
        <v>746</v>
      </c>
      <c r="B747">
        <v>0</v>
      </c>
      <c r="C747" t="str">
        <f t="shared" si="55"/>
        <v>No</v>
      </c>
      <c r="D747" t="s">
        <v>956</v>
      </c>
      <c r="E747" t="s">
        <v>1716</v>
      </c>
      <c r="F747" t="str" cm="1">
        <f t="array" ref="F747">IF(OR(COUNTIF(D747,"*"&amp;Preprocessing!$T$9:$T$15&amp;"*")),"Female","Male")</f>
        <v>Male</v>
      </c>
      <c r="G747">
        <v>31</v>
      </c>
      <c r="H747">
        <v>0</v>
      </c>
      <c r="I747">
        <v>0</v>
      </c>
      <c r="J747">
        <v>3</v>
      </c>
      <c r="K747">
        <v>7.75</v>
      </c>
      <c r="L747">
        <f t="shared" si="56"/>
        <v>0</v>
      </c>
      <c r="M747">
        <f t="shared" si="57"/>
        <v>31</v>
      </c>
      <c r="N747" t="str">
        <f t="shared" si="58"/>
        <v>Adult</v>
      </c>
      <c r="O747">
        <f t="shared" si="59"/>
        <v>7.75</v>
      </c>
    </row>
    <row r="748" spans="1:15" x14ac:dyDescent="0.3">
      <c r="A748">
        <v>747</v>
      </c>
      <c r="B748">
        <v>1</v>
      </c>
      <c r="C748" t="str">
        <f t="shared" si="55"/>
        <v>Yes</v>
      </c>
      <c r="D748" t="s">
        <v>960</v>
      </c>
      <c r="E748" t="s">
        <v>1717</v>
      </c>
      <c r="F748" t="str" cm="1">
        <f t="array" ref="F748">IF(OR(COUNTIF(D748,"*"&amp;Preprocessing!$T$9:$T$15&amp;"*")),"Female","Male")</f>
        <v>Female</v>
      </c>
      <c r="G748">
        <v>4</v>
      </c>
      <c r="H748">
        <v>1</v>
      </c>
      <c r="I748">
        <v>1</v>
      </c>
      <c r="J748">
        <v>2</v>
      </c>
      <c r="K748">
        <v>23</v>
      </c>
      <c r="L748">
        <f t="shared" si="56"/>
        <v>1</v>
      </c>
      <c r="M748">
        <f t="shared" si="57"/>
        <v>4</v>
      </c>
      <c r="N748" t="str">
        <f t="shared" si="58"/>
        <v>Child</v>
      </c>
      <c r="O748">
        <f t="shared" si="59"/>
        <v>23</v>
      </c>
    </row>
    <row r="749" spans="1:15" x14ac:dyDescent="0.3">
      <c r="A749">
        <v>748</v>
      </c>
      <c r="B749">
        <v>1</v>
      </c>
      <c r="C749" t="str">
        <f t="shared" si="55"/>
        <v>Yes</v>
      </c>
      <c r="D749" t="s">
        <v>966</v>
      </c>
      <c r="E749" t="s">
        <v>1718</v>
      </c>
      <c r="F749" t="str" cm="1">
        <f t="array" ref="F749">IF(OR(COUNTIF(D749,"*"&amp;Preprocessing!$T$9:$T$15&amp;"*")),"Female","Male")</f>
        <v>Male</v>
      </c>
      <c r="G749">
        <v>6</v>
      </c>
      <c r="H749">
        <v>0</v>
      </c>
      <c r="I749">
        <v>1</v>
      </c>
      <c r="J749">
        <v>3</v>
      </c>
      <c r="K749">
        <v>12.475</v>
      </c>
      <c r="L749">
        <f t="shared" si="56"/>
        <v>0</v>
      </c>
      <c r="M749">
        <f t="shared" si="57"/>
        <v>6</v>
      </c>
      <c r="N749" t="str">
        <f t="shared" si="58"/>
        <v>Child</v>
      </c>
      <c r="O749">
        <f t="shared" si="59"/>
        <v>12.48</v>
      </c>
    </row>
    <row r="750" spans="1:15" x14ac:dyDescent="0.3">
      <c r="A750">
        <v>749</v>
      </c>
      <c r="B750">
        <v>0</v>
      </c>
      <c r="C750" t="str">
        <f t="shared" si="55"/>
        <v>No</v>
      </c>
      <c r="D750" t="s">
        <v>956</v>
      </c>
      <c r="E750" t="s">
        <v>1719</v>
      </c>
      <c r="F750" t="str" cm="1">
        <f t="array" ref="F750">IF(OR(COUNTIF(D750,"*"&amp;Preprocessing!$T$9:$T$15&amp;"*")),"Female","Male")</f>
        <v>Male</v>
      </c>
      <c r="G750">
        <v>33</v>
      </c>
      <c r="H750">
        <v>0</v>
      </c>
      <c r="I750">
        <v>0</v>
      </c>
      <c r="J750">
        <v>3</v>
      </c>
      <c r="K750">
        <v>9.5</v>
      </c>
      <c r="L750">
        <f t="shared" si="56"/>
        <v>0</v>
      </c>
      <c r="M750">
        <f t="shared" si="57"/>
        <v>33</v>
      </c>
      <c r="N750" t="str">
        <f t="shared" si="58"/>
        <v>Adult</v>
      </c>
      <c r="O750">
        <f t="shared" si="59"/>
        <v>9.5</v>
      </c>
    </row>
    <row r="751" spans="1:15" x14ac:dyDescent="0.3">
      <c r="A751">
        <v>750</v>
      </c>
      <c r="B751">
        <v>0</v>
      </c>
      <c r="C751" t="str">
        <f t="shared" si="55"/>
        <v>No</v>
      </c>
      <c r="D751" t="s">
        <v>956</v>
      </c>
      <c r="E751" t="s">
        <v>1720</v>
      </c>
      <c r="F751" t="str" cm="1">
        <f t="array" ref="F751">IF(OR(COUNTIF(D751,"*"&amp;Preprocessing!$T$9:$T$15&amp;"*")),"Female","Male")</f>
        <v>Male</v>
      </c>
      <c r="G751">
        <v>23</v>
      </c>
      <c r="H751">
        <v>0</v>
      </c>
      <c r="I751">
        <v>0</v>
      </c>
      <c r="J751">
        <v>3</v>
      </c>
      <c r="K751">
        <v>7.8958000000000004</v>
      </c>
      <c r="L751">
        <f t="shared" si="56"/>
        <v>0</v>
      </c>
      <c r="M751">
        <f t="shared" si="57"/>
        <v>23</v>
      </c>
      <c r="N751" t="str">
        <f t="shared" si="58"/>
        <v>Adult</v>
      </c>
      <c r="O751">
        <f t="shared" si="59"/>
        <v>7.9</v>
      </c>
    </row>
    <row r="752" spans="1:15" x14ac:dyDescent="0.3">
      <c r="A752">
        <v>751</v>
      </c>
      <c r="B752">
        <v>1</v>
      </c>
      <c r="C752" t="str">
        <f t="shared" si="55"/>
        <v>Yes</v>
      </c>
      <c r="D752" t="s">
        <v>958</v>
      </c>
      <c r="E752" t="s">
        <v>1721</v>
      </c>
      <c r="F752" t="str" cm="1">
        <f t="array" ref="F752">IF(OR(COUNTIF(D752,"*"&amp;Preprocessing!$T$9:$T$15&amp;"*")),"Female","Male")</f>
        <v>Female</v>
      </c>
      <c r="G752">
        <v>48</v>
      </c>
      <c r="H752">
        <v>1</v>
      </c>
      <c r="I752">
        <v>2</v>
      </c>
      <c r="J752">
        <v>2</v>
      </c>
      <c r="K752">
        <v>65</v>
      </c>
      <c r="L752">
        <f t="shared" si="56"/>
        <v>1</v>
      </c>
      <c r="M752">
        <f t="shared" si="57"/>
        <v>48</v>
      </c>
      <c r="N752" t="str">
        <f t="shared" si="58"/>
        <v>Adult</v>
      </c>
      <c r="O752">
        <f t="shared" si="59"/>
        <v>65</v>
      </c>
    </row>
    <row r="753" spans="1:15" x14ac:dyDescent="0.3">
      <c r="A753">
        <v>752</v>
      </c>
      <c r="B753">
        <v>1</v>
      </c>
      <c r="C753" t="str">
        <f t="shared" si="55"/>
        <v>Yes</v>
      </c>
      <c r="D753" t="s">
        <v>966</v>
      </c>
      <c r="E753" t="s">
        <v>1722</v>
      </c>
      <c r="F753" t="str" cm="1">
        <f t="array" ref="F753">IF(OR(COUNTIF(D753,"*"&amp;Preprocessing!$T$9:$T$15&amp;"*")),"Female","Male")</f>
        <v>Male</v>
      </c>
      <c r="G753">
        <v>0.67</v>
      </c>
      <c r="H753">
        <v>1</v>
      </c>
      <c r="I753">
        <v>1</v>
      </c>
      <c r="J753">
        <v>2</v>
      </c>
      <c r="K753">
        <v>14.5</v>
      </c>
      <c r="L753">
        <f t="shared" si="56"/>
        <v>0</v>
      </c>
      <c r="M753">
        <f t="shared" si="57"/>
        <v>1</v>
      </c>
      <c r="N753" t="str">
        <f t="shared" si="58"/>
        <v>Child</v>
      </c>
      <c r="O753">
        <f t="shared" si="59"/>
        <v>14.5</v>
      </c>
    </row>
    <row r="754" spans="1:15" x14ac:dyDescent="0.3">
      <c r="A754">
        <v>753</v>
      </c>
      <c r="B754">
        <v>0</v>
      </c>
      <c r="C754" t="str">
        <f t="shared" si="55"/>
        <v>No</v>
      </c>
      <c r="D754" t="s">
        <v>956</v>
      </c>
      <c r="E754" t="s">
        <v>1723</v>
      </c>
      <c r="F754" t="str" cm="1">
        <f t="array" ref="F754">IF(OR(COUNTIF(D754,"*"&amp;Preprocessing!$T$9:$T$15&amp;"*")),"Female","Male")</f>
        <v>Male</v>
      </c>
      <c r="G754">
        <v>28</v>
      </c>
      <c r="H754">
        <v>0</v>
      </c>
      <c r="I754">
        <v>0</v>
      </c>
      <c r="J754">
        <v>3</v>
      </c>
      <c r="K754">
        <v>7.7957999999999998</v>
      </c>
      <c r="L754">
        <f t="shared" si="56"/>
        <v>0</v>
      </c>
      <c r="M754">
        <f t="shared" si="57"/>
        <v>28</v>
      </c>
      <c r="N754" t="str">
        <f t="shared" si="58"/>
        <v>Adult</v>
      </c>
      <c r="O754">
        <f t="shared" si="59"/>
        <v>7.8</v>
      </c>
    </row>
    <row r="755" spans="1:15" x14ac:dyDescent="0.3">
      <c r="A755">
        <v>754</v>
      </c>
      <c r="B755">
        <v>0</v>
      </c>
      <c r="C755" t="str">
        <f t="shared" si="55"/>
        <v>No</v>
      </c>
      <c r="D755" t="s">
        <v>956</v>
      </c>
      <c r="E755" t="s">
        <v>1724</v>
      </c>
      <c r="F755" t="str" cm="1">
        <f t="array" ref="F755">IF(OR(COUNTIF(D755,"*"&amp;Preprocessing!$T$9:$T$15&amp;"*")),"Female","Male")</f>
        <v>Male</v>
      </c>
      <c r="G755">
        <v>18</v>
      </c>
      <c r="H755">
        <v>0</v>
      </c>
      <c r="I755">
        <v>0</v>
      </c>
      <c r="J755">
        <v>2</v>
      </c>
      <c r="K755">
        <v>11.5</v>
      </c>
      <c r="L755">
        <f t="shared" si="56"/>
        <v>0</v>
      </c>
      <c r="M755">
        <f t="shared" si="57"/>
        <v>18</v>
      </c>
      <c r="N755" t="str">
        <f t="shared" si="58"/>
        <v>Adult</v>
      </c>
      <c r="O755">
        <f t="shared" si="59"/>
        <v>11.5</v>
      </c>
    </row>
    <row r="756" spans="1:15" x14ac:dyDescent="0.3">
      <c r="A756">
        <v>755</v>
      </c>
      <c r="B756">
        <v>0</v>
      </c>
      <c r="C756" t="str">
        <f t="shared" si="55"/>
        <v>No</v>
      </c>
      <c r="D756" t="s">
        <v>956</v>
      </c>
      <c r="E756" t="s">
        <v>1725</v>
      </c>
      <c r="F756" t="str" cm="1">
        <f t="array" ref="F756">IF(OR(COUNTIF(D756,"*"&amp;Preprocessing!$T$9:$T$15&amp;"*")),"Female","Male")</f>
        <v>Male</v>
      </c>
      <c r="G756">
        <v>34</v>
      </c>
      <c r="H756">
        <v>0</v>
      </c>
      <c r="I756">
        <v>0</v>
      </c>
      <c r="J756">
        <v>3</v>
      </c>
      <c r="K756">
        <v>8.0500000000000007</v>
      </c>
      <c r="L756">
        <f t="shared" si="56"/>
        <v>0</v>
      </c>
      <c r="M756">
        <f t="shared" si="57"/>
        <v>34</v>
      </c>
      <c r="N756" t="str">
        <f t="shared" si="58"/>
        <v>Adult</v>
      </c>
      <c r="O756">
        <f t="shared" si="59"/>
        <v>8.0500000000000007</v>
      </c>
    </row>
    <row r="757" spans="1:15" x14ac:dyDescent="0.3">
      <c r="A757">
        <v>756</v>
      </c>
      <c r="B757">
        <v>1</v>
      </c>
      <c r="C757" t="str">
        <f t="shared" si="55"/>
        <v>Yes</v>
      </c>
      <c r="D757" t="s">
        <v>1726</v>
      </c>
      <c r="E757" t="s">
        <v>1727</v>
      </c>
      <c r="F757" t="str" cm="1">
        <f t="array" ref="F757">IF(OR(COUNTIF(D757,"*"&amp;Preprocessing!$T$9:$T$15&amp;"*")),"Female","Male")</f>
        <v>Female</v>
      </c>
      <c r="G757">
        <v>33</v>
      </c>
      <c r="H757">
        <v>0</v>
      </c>
      <c r="I757">
        <v>0</v>
      </c>
      <c r="J757">
        <v>1</v>
      </c>
      <c r="K757">
        <v>86.5</v>
      </c>
      <c r="L757">
        <f t="shared" si="56"/>
        <v>1</v>
      </c>
      <c r="M757">
        <f t="shared" si="57"/>
        <v>33</v>
      </c>
      <c r="N757" t="str">
        <f t="shared" si="58"/>
        <v>Adult</v>
      </c>
      <c r="O757">
        <f t="shared" si="59"/>
        <v>86.5</v>
      </c>
    </row>
    <row r="758" spans="1:15" x14ac:dyDescent="0.3">
      <c r="A758">
        <v>757</v>
      </c>
      <c r="B758">
        <v>0</v>
      </c>
      <c r="C758" t="str">
        <f t="shared" si="55"/>
        <v>No</v>
      </c>
      <c r="D758" t="s">
        <v>956</v>
      </c>
      <c r="E758" t="s">
        <v>1728</v>
      </c>
      <c r="F758" t="str" cm="1">
        <f t="array" ref="F758">IF(OR(COUNTIF(D758,"*"&amp;Preprocessing!$T$9:$T$15&amp;"*")),"Female","Male")</f>
        <v>Male</v>
      </c>
      <c r="G758">
        <v>23</v>
      </c>
      <c r="H758">
        <v>0</v>
      </c>
      <c r="I758">
        <v>0</v>
      </c>
      <c r="J758">
        <v>3</v>
      </c>
      <c r="K758">
        <v>14.5</v>
      </c>
      <c r="L758">
        <f t="shared" si="56"/>
        <v>0</v>
      </c>
      <c r="M758">
        <f t="shared" si="57"/>
        <v>23</v>
      </c>
      <c r="N758" t="str">
        <f t="shared" si="58"/>
        <v>Adult</v>
      </c>
      <c r="O758">
        <f t="shared" si="59"/>
        <v>14.5</v>
      </c>
    </row>
    <row r="759" spans="1:15" x14ac:dyDescent="0.3">
      <c r="A759">
        <v>758</v>
      </c>
      <c r="B759">
        <v>0</v>
      </c>
      <c r="C759" t="str">
        <f t="shared" si="55"/>
        <v>No</v>
      </c>
      <c r="D759" t="s">
        <v>956</v>
      </c>
      <c r="E759" t="s">
        <v>1729</v>
      </c>
      <c r="F759" t="str" cm="1">
        <f t="array" ref="F759">IF(OR(COUNTIF(D759,"*"&amp;Preprocessing!$T$9:$T$15&amp;"*")),"Female","Male")</f>
        <v>Male</v>
      </c>
      <c r="G759">
        <v>41</v>
      </c>
      <c r="H759">
        <v>0</v>
      </c>
      <c r="I759">
        <v>0</v>
      </c>
      <c r="J759">
        <v>3</v>
      </c>
      <c r="K759">
        <v>7.125</v>
      </c>
      <c r="L759">
        <f t="shared" si="56"/>
        <v>0</v>
      </c>
      <c r="M759">
        <f t="shared" si="57"/>
        <v>41</v>
      </c>
      <c r="N759" t="str">
        <f t="shared" si="58"/>
        <v>Adult</v>
      </c>
      <c r="O759">
        <f t="shared" si="59"/>
        <v>7.13</v>
      </c>
    </row>
    <row r="760" spans="1:15" x14ac:dyDescent="0.3">
      <c r="A760">
        <v>759</v>
      </c>
      <c r="B760">
        <v>1</v>
      </c>
      <c r="C760" t="str">
        <f t="shared" si="55"/>
        <v>Yes</v>
      </c>
      <c r="D760" t="s">
        <v>956</v>
      </c>
      <c r="E760" t="s">
        <v>1730</v>
      </c>
      <c r="F760" t="str" cm="1">
        <f t="array" ref="F760">IF(OR(COUNTIF(D760,"*"&amp;Preprocessing!$T$9:$T$15&amp;"*")),"Female","Male")</f>
        <v>Male</v>
      </c>
      <c r="G760">
        <v>20</v>
      </c>
      <c r="H760">
        <v>0</v>
      </c>
      <c r="I760">
        <v>0</v>
      </c>
      <c r="J760">
        <v>3</v>
      </c>
      <c r="K760">
        <v>7.2291999999999996</v>
      </c>
      <c r="L760">
        <f t="shared" si="56"/>
        <v>0</v>
      </c>
      <c r="M760">
        <f t="shared" si="57"/>
        <v>20</v>
      </c>
      <c r="N760" t="str">
        <f t="shared" si="58"/>
        <v>Adult</v>
      </c>
      <c r="O760">
        <f t="shared" si="59"/>
        <v>7.23</v>
      </c>
    </row>
    <row r="761" spans="1:15" x14ac:dyDescent="0.3">
      <c r="A761">
        <v>760</v>
      </c>
      <c r="B761">
        <v>1</v>
      </c>
      <c r="C761" t="str">
        <f t="shared" si="55"/>
        <v>Yes</v>
      </c>
      <c r="D761" t="s">
        <v>958</v>
      </c>
      <c r="E761" t="s">
        <v>1731</v>
      </c>
      <c r="F761" t="str" cm="1">
        <f t="array" ref="F761">IF(OR(COUNTIF(D761,"*"&amp;Preprocessing!$T$9:$T$15&amp;"*")),"Female","Male")</f>
        <v>Female</v>
      </c>
      <c r="G761">
        <v>36</v>
      </c>
      <c r="H761">
        <v>1</v>
      </c>
      <c r="I761">
        <v>2</v>
      </c>
      <c r="J761">
        <v>1</v>
      </c>
      <c r="K761">
        <v>120</v>
      </c>
      <c r="L761">
        <f t="shared" si="56"/>
        <v>1</v>
      </c>
      <c r="M761">
        <f t="shared" si="57"/>
        <v>36</v>
      </c>
      <c r="N761" t="str">
        <f t="shared" si="58"/>
        <v>Adult</v>
      </c>
      <c r="O761">
        <f t="shared" si="59"/>
        <v>120</v>
      </c>
    </row>
    <row r="762" spans="1:15" x14ac:dyDescent="0.3">
      <c r="A762">
        <v>761</v>
      </c>
      <c r="B762">
        <v>0</v>
      </c>
      <c r="C762" t="str">
        <f t="shared" si="55"/>
        <v>No</v>
      </c>
      <c r="D762" t="s">
        <v>956</v>
      </c>
      <c r="E762" t="s">
        <v>1732</v>
      </c>
      <c r="F762" t="str" cm="1">
        <f t="array" ref="F762">IF(OR(COUNTIF(D762,"*"&amp;Preprocessing!$T$9:$T$15&amp;"*")),"Female","Male")</f>
        <v>Male</v>
      </c>
      <c r="G762">
        <v>16</v>
      </c>
      <c r="H762">
        <v>0</v>
      </c>
      <c r="I762">
        <v>0</v>
      </c>
      <c r="J762">
        <v>3</v>
      </c>
      <c r="K762">
        <v>7.7750000000000004</v>
      </c>
      <c r="L762">
        <f t="shared" si="56"/>
        <v>0</v>
      </c>
      <c r="M762">
        <f t="shared" si="57"/>
        <v>16</v>
      </c>
      <c r="N762" t="str">
        <f t="shared" si="58"/>
        <v>Child</v>
      </c>
      <c r="O762">
        <f t="shared" si="59"/>
        <v>7.78</v>
      </c>
    </row>
    <row r="763" spans="1:15" x14ac:dyDescent="0.3">
      <c r="A763">
        <v>762</v>
      </c>
      <c r="B763">
        <v>1</v>
      </c>
      <c r="C763" t="str">
        <f t="shared" si="55"/>
        <v>Yes</v>
      </c>
      <c r="D763" t="s">
        <v>958</v>
      </c>
      <c r="E763" t="s">
        <v>1733</v>
      </c>
      <c r="F763" t="str" cm="1">
        <f t="array" ref="F763">IF(OR(COUNTIF(D763,"*"&amp;Preprocessing!$T$9:$T$15&amp;"*")),"Female","Male")</f>
        <v>Female</v>
      </c>
      <c r="G763">
        <v>51</v>
      </c>
      <c r="H763">
        <v>1</v>
      </c>
      <c r="I763">
        <v>0</v>
      </c>
      <c r="J763">
        <v>1</v>
      </c>
      <c r="K763">
        <v>77.958299999999994</v>
      </c>
      <c r="L763">
        <f t="shared" si="56"/>
        <v>1</v>
      </c>
      <c r="M763">
        <f t="shared" si="57"/>
        <v>51</v>
      </c>
      <c r="N763" t="str">
        <f t="shared" si="58"/>
        <v>Adult</v>
      </c>
      <c r="O763">
        <f t="shared" si="59"/>
        <v>77.959999999999994</v>
      </c>
    </row>
    <row r="764" spans="1:15" x14ac:dyDescent="0.3">
      <c r="A764">
        <v>763</v>
      </c>
      <c r="B764">
        <v>0</v>
      </c>
      <c r="C764" t="str">
        <f t="shared" si="55"/>
        <v>No</v>
      </c>
      <c r="D764" t="s">
        <v>1206</v>
      </c>
      <c r="E764" t="s">
        <v>1734</v>
      </c>
      <c r="F764" t="str" cm="1">
        <f t="array" ref="F764">IF(OR(COUNTIF(D764,"*"&amp;Preprocessing!$T$9:$T$15&amp;"*")),"Female","Male")</f>
        <v>Male</v>
      </c>
      <c r="G764">
        <v>46</v>
      </c>
      <c r="H764">
        <v>0</v>
      </c>
      <c r="I764">
        <v>0</v>
      </c>
      <c r="J764">
        <v>1</v>
      </c>
      <c r="K764">
        <v>39.6</v>
      </c>
      <c r="L764">
        <f t="shared" si="56"/>
        <v>0</v>
      </c>
      <c r="M764">
        <f t="shared" si="57"/>
        <v>46</v>
      </c>
      <c r="N764" t="str">
        <f t="shared" si="58"/>
        <v>Adult</v>
      </c>
      <c r="O764">
        <f t="shared" si="59"/>
        <v>39.6</v>
      </c>
    </row>
    <row r="765" spans="1:15" x14ac:dyDescent="0.3">
      <c r="A765">
        <v>764</v>
      </c>
      <c r="B765">
        <v>0</v>
      </c>
      <c r="C765" t="str">
        <f t="shared" si="55"/>
        <v>No</v>
      </c>
      <c r="D765" t="s">
        <v>960</v>
      </c>
      <c r="E765" t="s">
        <v>1735</v>
      </c>
      <c r="F765" t="str" cm="1">
        <f t="array" ref="F765">IF(OR(COUNTIF(D765,"*"&amp;Preprocessing!$T$9:$T$15&amp;"*")),"Female","Male")</f>
        <v>Female</v>
      </c>
      <c r="G765">
        <v>30.5</v>
      </c>
      <c r="H765">
        <v>0</v>
      </c>
      <c r="I765">
        <v>0</v>
      </c>
      <c r="J765">
        <v>3</v>
      </c>
      <c r="K765">
        <v>7.75</v>
      </c>
      <c r="L765">
        <f t="shared" si="56"/>
        <v>1</v>
      </c>
      <c r="M765">
        <f t="shared" si="57"/>
        <v>31</v>
      </c>
      <c r="N765" t="str">
        <f t="shared" si="58"/>
        <v>Adult</v>
      </c>
      <c r="O765">
        <f t="shared" si="59"/>
        <v>7.75</v>
      </c>
    </row>
    <row r="766" spans="1:15" x14ac:dyDescent="0.3">
      <c r="A766">
        <v>765</v>
      </c>
      <c r="B766">
        <v>0</v>
      </c>
      <c r="C766" t="str">
        <f t="shared" si="55"/>
        <v>No</v>
      </c>
      <c r="D766" t="s">
        <v>956</v>
      </c>
      <c r="E766" t="s">
        <v>1736</v>
      </c>
      <c r="F766" t="str" cm="1">
        <f t="array" ref="F766">IF(OR(COUNTIF(D766,"*"&amp;Preprocessing!$T$9:$T$15&amp;"*")),"Female","Male")</f>
        <v>Male</v>
      </c>
      <c r="G766">
        <v>28</v>
      </c>
      <c r="H766">
        <v>1</v>
      </c>
      <c r="I766">
        <v>0</v>
      </c>
      <c r="J766">
        <v>3</v>
      </c>
      <c r="K766">
        <v>24.15</v>
      </c>
      <c r="L766">
        <f t="shared" si="56"/>
        <v>0</v>
      </c>
      <c r="M766">
        <f t="shared" si="57"/>
        <v>28</v>
      </c>
      <c r="N766" t="str">
        <f t="shared" si="58"/>
        <v>Adult</v>
      </c>
      <c r="O766">
        <f t="shared" si="59"/>
        <v>24.15</v>
      </c>
    </row>
    <row r="767" spans="1:15" x14ac:dyDescent="0.3">
      <c r="A767">
        <v>766</v>
      </c>
      <c r="B767">
        <v>0</v>
      </c>
      <c r="C767" t="str">
        <f t="shared" si="55"/>
        <v>No</v>
      </c>
      <c r="D767" t="s">
        <v>956</v>
      </c>
      <c r="E767" t="s">
        <v>1737</v>
      </c>
      <c r="F767" t="str" cm="1">
        <f t="array" ref="F767">IF(OR(COUNTIF(D767,"*"&amp;Preprocessing!$T$9:$T$15&amp;"*")),"Female","Male")</f>
        <v>Male</v>
      </c>
      <c r="G767">
        <v>32</v>
      </c>
      <c r="H767">
        <v>0</v>
      </c>
      <c r="I767">
        <v>0</v>
      </c>
      <c r="J767">
        <v>3</v>
      </c>
      <c r="K767">
        <v>8.3625000000000007</v>
      </c>
      <c r="L767">
        <f t="shared" si="56"/>
        <v>0</v>
      </c>
      <c r="M767">
        <f t="shared" si="57"/>
        <v>32</v>
      </c>
      <c r="N767" t="str">
        <f t="shared" si="58"/>
        <v>Adult</v>
      </c>
      <c r="O767">
        <f t="shared" si="59"/>
        <v>8.36</v>
      </c>
    </row>
    <row r="768" spans="1:15" x14ac:dyDescent="0.3">
      <c r="A768">
        <v>767</v>
      </c>
      <c r="B768">
        <v>0</v>
      </c>
      <c r="C768" t="str">
        <f t="shared" si="55"/>
        <v>No</v>
      </c>
      <c r="D768" t="s">
        <v>956</v>
      </c>
      <c r="E768" t="s">
        <v>1738</v>
      </c>
      <c r="F768" t="str" cm="1">
        <f t="array" ref="F768">IF(OR(COUNTIF(D768,"*"&amp;Preprocessing!$T$9:$T$15&amp;"*")),"Female","Male")</f>
        <v>Male</v>
      </c>
      <c r="G768">
        <v>24</v>
      </c>
      <c r="H768">
        <v>0</v>
      </c>
      <c r="I768">
        <v>0</v>
      </c>
      <c r="J768">
        <v>3</v>
      </c>
      <c r="K768">
        <v>9.5</v>
      </c>
      <c r="L768">
        <f t="shared" si="56"/>
        <v>0</v>
      </c>
      <c r="M768">
        <f t="shared" si="57"/>
        <v>24</v>
      </c>
      <c r="N768" t="str">
        <f t="shared" si="58"/>
        <v>Adult</v>
      </c>
      <c r="O768">
        <f t="shared" si="59"/>
        <v>9.5</v>
      </c>
    </row>
    <row r="769" spans="1:15" x14ac:dyDescent="0.3">
      <c r="A769">
        <v>768</v>
      </c>
      <c r="B769">
        <v>0</v>
      </c>
      <c r="C769" t="str">
        <f t="shared" si="55"/>
        <v>No</v>
      </c>
      <c r="D769" t="s">
        <v>956</v>
      </c>
      <c r="E769" t="s">
        <v>1739</v>
      </c>
      <c r="F769" t="str" cm="1">
        <f t="array" ref="F769">IF(OR(COUNTIF(D769,"*"&amp;Preprocessing!$T$9:$T$15&amp;"*")),"Female","Male")</f>
        <v>Male</v>
      </c>
      <c r="G769">
        <v>48</v>
      </c>
      <c r="H769">
        <v>0</v>
      </c>
      <c r="I769">
        <v>0</v>
      </c>
      <c r="J769">
        <v>3</v>
      </c>
      <c r="K769">
        <v>7.8541999999999996</v>
      </c>
      <c r="L769">
        <f t="shared" si="56"/>
        <v>0</v>
      </c>
      <c r="M769">
        <f t="shared" si="57"/>
        <v>48</v>
      </c>
      <c r="N769" t="str">
        <f t="shared" si="58"/>
        <v>Adult</v>
      </c>
      <c r="O769">
        <f t="shared" si="59"/>
        <v>7.85</v>
      </c>
    </row>
    <row r="770" spans="1:15" x14ac:dyDescent="0.3">
      <c r="A770">
        <v>769</v>
      </c>
      <c r="B770">
        <v>0</v>
      </c>
      <c r="C770" t="str">
        <f t="shared" si="55"/>
        <v>No</v>
      </c>
      <c r="D770" t="s">
        <v>958</v>
      </c>
      <c r="E770" t="s">
        <v>1740</v>
      </c>
      <c r="F770" t="str" cm="1">
        <f t="array" ref="F770">IF(OR(COUNTIF(D770,"*"&amp;Preprocessing!$T$9:$T$15&amp;"*")),"Female","Male")</f>
        <v>Female</v>
      </c>
      <c r="G770">
        <v>57</v>
      </c>
      <c r="H770">
        <v>0</v>
      </c>
      <c r="I770">
        <v>0</v>
      </c>
      <c r="J770">
        <v>2</v>
      </c>
      <c r="K770">
        <v>10.5</v>
      </c>
      <c r="L770">
        <f t="shared" si="56"/>
        <v>1</v>
      </c>
      <c r="M770">
        <f t="shared" si="57"/>
        <v>57</v>
      </c>
      <c r="N770" t="str">
        <f t="shared" si="58"/>
        <v>Adult</v>
      </c>
      <c r="O770">
        <f t="shared" si="59"/>
        <v>10.5</v>
      </c>
    </row>
    <row r="771" spans="1:15" x14ac:dyDescent="0.3">
      <c r="A771">
        <v>770</v>
      </c>
      <c r="B771">
        <v>0</v>
      </c>
      <c r="C771" t="str">
        <f t="shared" ref="C771:C834" si="60">IF(B771=0,"No","Yes")</f>
        <v>No</v>
      </c>
      <c r="D771" t="s">
        <v>956</v>
      </c>
      <c r="E771" t="s">
        <v>1741</v>
      </c>
      <c r="F771" t="str" cm="1">
        <f t="array" ref="F771">IF(OR(COUNTIF(D771,"*"&amp;Preprocessing!$T$9:$T$15&amp;"*")),"Female","Male")</f>
        <v>Male</v>
      </c>
      <c r="G771">
        <v>29</v>
      </c>
      <c r="H771">
        <v>0</v>
      </c>
      <c r="I771">
        <v>0</v>
      </c>
      <c r="J771">
        <v>3</v>
      </c>
      <c r="K771">
        <v>7.2249999999999996</v>
      </c>
      <c r="L771">
        <f t="shared" ref="L771:L834" si="61">IF(F771 = "Male", 0, 1)</f>
        <v>0</v>
      </c>
      <c r="M771">
        <f t="shared" ref="M771:M834" si="62">ROUND(G771, 0)</f>
        <v>29</v>
      </c>
      <c r="N771" t="str">
        <f t="shared" ref="N771:N834" si="63">IF(G771&lt;=16,"Child","Adult")</f>
        <v>Adult</v>
      </c>
      <c r="O771">
        <f t="shared" ref="O771:O834" si="64">ROUND(K771, 2)</f>
        <v>7.23</v>
      </c>
    </row>
    <row r="772" spans="1:15" x14ac:dyDescent="0.3">
      <c r="A772">
        <v>771</v>
      </c>
      <c r="B772">
        <v>1</v>
      </c>
      <c r="C772" t="str">
        <f t="shared" si="60"/>
        <v>Yes</v>
      </c>
      <c r="D772" t="s">
        <v>958</v>
      </c>
      <c r="E772" t="s">
        <v>1742</v>
      </c>
      <c r="F772" t="str" cm="1">
        <f t="array" ref="F772">IF(OR(COUNTIF(D772,"*"&amp;Preprocessing!$T$9:$T$15&amp;"*")),"Female","Male")</f>
        <v>Female</v>
      </c>
      <c r="G772">
        <v>54</v>
      </c>
      <c r="H772">
        <v>1</v>
      </c>
      <c r="I772">
        <v>3</v>
      </c>
      <c r="J772">
        <v>2</v>
      </c>
      <c r="K772">
        <v>23</v>
      </c>
      <c r="L772">
        <f t="shared" si="61"/>
        <v>1</v>
      </c>
      <c r="M772">
        <f t="shared" si="62"/>
        <v>54</v>
      </c>
      <c r="N772" t="str">
        <f t="shared" si="63"/>
        <v>Adult</v>
      </c>
      <c r="O772">
        <f t="shared" si="64"/>
        <v>23</v>
      </c>
    </row>
    <row r="773" spans="1:15" x14ac:dyDescent="0.3">
      <c r="A773">
        <v>772</v>
      </c>
      <c r="B773">
        <v>0</v>
      </c>
      <c r="C773" t="str">
        <f t="shared" si="60"/>
        <v>No</v>
      </c>
      <c r="D773" t="s">
        <v>956</v>
      </c>
      <c r="E773" t="s">
        <v>1743</v>
      </c>
      <c r="F773" t="str" cm="1">
        <f t="array" ref="F773">IF(OR(COUNTIF(D773,"*"&amp;Preprocessing!$T$9:$T$15&amp;"*")),"Female","Male")</f>
        <v>Male</v>
      </c>
      <c r="G773">
        <v>18</v>
      </c>
      <c r="H773">
        <v>0</v>
      </c>
      <c r="I773">
        <v>0</v>
      </c>
      <c r="J773">
        <v>3</v>
      </c>
      <c r="K773">
        <v>7.75</v>
      </c>
      <c r="L773">
        <f t="shared" si="61"/>
        <v>0</v>
      </c>
      <c r="M773">
        <f t="shared" si="62"/>
        <v>18</v>
      </c>
      <c r="N773" t="str">
        <f t="shared" si="63"/>
        <v>Adult</v>
      </c>
      <c r="O773">
        <f t="shared" si="64"/>
        <v>7.75</v>
      </c>
    </row>
    <row r="774" spans="1:15" x14ac:dyDescent="0.3">
      <c r="A774">
        <v>773</v>
      </c>
      <c r="B774">
        <v>0</v>
      </c>
      <c r="C774" t="str">
        <f t="shared" si="60"/>
        <v>No</v>
      </c>
      <c r="D774" t="s">
        <v>956</v>
      </c>
      <c r="E774" t="s">
        <v>1744</v>
      </c>
      <c r="F774" t="str" cm="1">
        <f t="array" ref="F774">IF(OR(COUNTIF(D774,"*"&amp;Preprocessing!$T$9:$T$15&amp;"*")),"Female","Male")</f>
        <v>Male</v>
      </c>
      <c r="G774">
        <v>20</v>
      </c>
      <c r="H774">
        <v>0</v>
      </c>
      <c r="I774">
        <v>0</v>
      </c>
      <c r="J774">
        <v>3</v>
      </c>
      <c r="K774">
        <v>7.75</v>
      </c>
      <c r="L774">
        <f t="shared" si="61"/>
        <v>0</v>
      </c>
      <c r="M774">
        <f t="shared" si="62"/>
        <v>20</v>
      </c>
      <c r="N774" t="str">
        <f t="shared" si="63"/>
        <v>Adult</v>
      </c>
      <c r="O774">
        <f t="shared" si="64"/>
        <v>7.75</v>
      </c>
    </row>
    <row r="775" spans="1:15" x14ac:dyDescent="0.3">
      <c r="A775">
        <v>774</v>
      </c>
      <c r="B775">
        <v>1</v>
      </c>
      <c r="C775" t="str">
        <f t="shared" si="60"/>
        <v>Yes</v>
      </c>
      <c r="D775" t="s">
        <v>960</v>
      </c>
      <c r="E775" t="s">
        <v>1745</v>
      </c>
      <c r="F775" t="str" cm="1">
        <f t="array" ref="F775">IF(OR(COUNTIF(D775,"*"&amp;Preprocessing!$T$9:$T$15&amp;"*")),"Female","Male")</f>
        <v>Female</v>
      </c>
      <c r="G775">
        <v>5</v>
      </c>
      <c r="H775">
        <v>0</v>
      </c>
      <c r="I775">
        <v>0</v>
      </c>
      <c r="J775">
        <v>3</v>
      </c>
      <c r="K775">
        <v>12.475</v>
      </c>
      <c r="L775">
        <f t="shared" si="61"/>
        <v>1</v>
      </c>
      <c r="M775">
        <f t="shared" si="62"/>
        <v>5</v>
      </c>
      <c r="N775" t="str">
        <f t="shared" si="63"/>
        <v>Child</v>
      </c>
      <c r="O775">
        <f t="shared" si="64"/>
        <v>12.48</v>
      </c>
    </row>
    <row r="776" spans="1:15" x14ac:dyDescent="0.3">
      <c r="A776">
        <v>775</v>
      </c>
      <c r="B776">
        <v>0</v>
      </c>
      <c r="C776" t="str">
        <f t="shared" si="60"/>
        <v>No</v>
      </c>
      <c r="D776" t="s">
        <v>956</v>
      </c>
      <c r="E776" t="s">
        <v>1746</v>
      </c>
      <c r="F776" t="str" cm="1">
        <f t="array" ref="F776">IF(OR(COUNTIF(D776,"*"&amp;Preprocessing!$T$9:$T$15&amp;"*")),"Female","Male")</f>
        <v>Male</v>
      </c>
      <c r="G776">
        <v>22</v>
      </c>
      <c r="H776">
        <v>0</v>
      </c>
      <c r="I776">
        <v>0</v>
      </c>
      <c r="J776">
        <v>3</v>
      </c>
      <c r="K776">
        <v>7.7374999999999998</v>
      </c>
      <c r="L776">
        <f t="shared" si="61"/>
        <v>0</v>
      </c>
      <c r="M776">
        <f t="shared" si="62"/>
        <v>22</v>
      </c>
      <c r="N776" t="str">
        <f t="shared" si="63"/>
        <v>Adult</v>
      </c>
      <c r="O776">
        <f t="shared" si="64"/>
        <v>7.74</v>
      </c>
    </row>
    <row r="777" spans="1:15" x14ac:dyDescent="0.3">
      <c r="A777">
        <v>776</v>
      </c>
      <c r="B777">
        <v>1</v>
      </c>
      <c r="C777" t="str">
        <f t="shared" si="60"/>
        <v>Yes</v>
      </c>
      <c r="D777" t="s">
        <v>958</v>
      </c>
      <c r="E777" t="s">
        <v>1747</v>
      </c>
      <c r="F777" t="str" cm="1">
        <f t="array" ref="F777">IF(OR(COUNTIF(D777,"*"&amp;Preprocessing!$T$9:$T$15&amp;"*")),"Female","Male")</f>
        <v>Female</v>
      </c>
      <c r="G777">
        <v>43</v>
      </c>
      <c r="H777">
        <v>0</v>
      </c>
      <c r="I777">
        <v>1</v>
      </c>
      <c r="J777">
        <v>1</v>
      </c>
      <c r="K777">
        <v>211.33750000000001</v>
      </c>
      <c r="L777">
        <f t="shared" si="61"/>
        <v>1</v>
      </c>
      <c r="M777">
        <f t="shared" si="62"/>
        <v>43</v>
      </c>
      <c r="N777" t="str">
        <f t="shared" si="63"/>
        <v>Adult</v>
      </c>
      <c r="O777">
        <f t="shared" si="64"/>
        <v>211.34</v>
      </c>
    </row>
    <row r="778" spans="1:15" x14ac:dyDescent="0.3">
      <c r="A778">
        <v>777</v>
      </c>
      <c r="B778">
        <v>1</v>
      </c>
      <c r="C778" t="str">
        <f t="shared" si="60"/>
        <v>Yes</v>
      </c>
      <c r="D778" t="s">
        <v>960</v>
      </c>
      <c r="E778" t="s">
        <v>1748</v>
      </c>
      <c r="F778" t="str" cm="1">
        <f t="array" ref="F778">IF(OR(COUNTIF(D778,"*"&amp;Preprocessing!$T$9:$T$15&amp;"*")),"Female","Male")</f>
        <v>Female</v>
      </c>
      <c r="G778">
        <v>13</v>
      </c>
      <c r="H778">
        <v>0</v>
      </c>
      <c r="I778">
        <v>0</v>
      </c>
      <c r="J778">
        <v>3</v>
      </c>
      <c r="K778">
        <v>7.2291999999999996</v>
      </c>
      <c r="L778">
        <f t="shared" si="61"/>
        <v>1</v>
      </c>
      <c r="M778">
        <f t="shared" si="62"/>
        <v>13</v>
      </c>
      <c r="N778" t="str">
        <f t="shared" si="63"/>
        <v>Child</v>
      </c>
      <c r="O778">
        <f t="shared" si="64"/>
        <v>7.23</v>
      </c>
    </row>
    <row r="779" spans="1:15" x14ac:dyDescent="0.3">
      <c r="A779">
        <v>778</v>
      </c>
      <c r="B779">
        <v>1</v>
      </c>
      <c r="C779" t="str">
        <f t="shared" si="60"/>
        <v>Yes</v>
      </c>
      <c r="D779" t="s">
        <v>958</v>
      </c>
      <c r="E779" t="s">
        <v>1749</v>
      </c>
      <c r="F779" t="str" cm="1">
        <f t="array" ref="F779">IF(OR(COUNTIF(D779,"*"&amp;Preprocessing!$T$9:$T$15&amp;"*")),"Female","Male")</f>
        <v>Female</v>
      </c>
      <c r="G779">
        <v>17</v>
      </c>
      <c r="H779">
        <v>1</v>
      </c>
      <c r="I779">
        <v>0</v>
      </c>
      <c r="J779">
        <v>1</v>
      </c>
      <c r="K779">
        <v>57</v>
      </c>
      <c r="L779">
        <f t="shared" si="61"/>
        <v>1</v>
      </c>
      <c r="M779">
        <f t="shared" si="62"/>
        <v>17</v>
      </c>
      <c r="N779" t="str">
        <f t="shared" si="63"/>
        <v>Adult</v>
      </c>
      <c r="O779">
        <f t="shared" si="64"/>
        <v>57</v>
      </c>
    </row>
    <row r="780" spans="1:15" x14ac:dyDescent="0.3">
      <c r="A780">
        <v>779</v>
      </c>
      <c r="B780">
        <v>0</v>
      </c>
      <c r="C780" t="str">
        <f t="shared" si="60"/>
        <v>No</v>
      </c>
      <c r="D780" t="s">
        <v>956</v>
      </c>
      <c r="E780" t="s">
        <v>1750</v>
      </c>
      <c r="F780" t="str" cm="1">
        <f t="array" ref="F780">IF(OR(COUNTIF(D780,"*"&amp;Preprocessing!$T$9:$T$15&amp;"*")),"Female","Male")</f>
        <v>Male</v>
      </c>
      <c r="G780">
        <v>29</v>
      </c>
      <c r="H780">
        <v>0</v>
      </c>
      <c r="I780">
        <v>0</v>
      </c>
      <c r="J780">
        <v>1</v>
      </c>
      <c r="K780">
        <v>30</v>
      </c>
      <c r="L780">
        <f t="shared" si="61"/>
        <v>0</v>
      </c>
      <c r="M780">
        <f t="shared" si="62"/>
        <v>29</v>
      </c>
      <c r="N780" t="str">
        <f t="shared" si="63"/>
        <v>Adult</v>
      </c>
      <c r="O780">
        <f t="shared" si="64"/>
        <v>30</v>
      </c>
    </row>
    <row r="781" spans="1:15" x14ac:dyDescent="0.3">
      <c r="A781">
        <v>780</v>
      </c>
      <c r="B781">
        <v>0</v>
      </c>
      <c r="C781" t="str">
        <f t="shared" si="60"/>
        <v>No</v>
      </c>
      <c r="D781" t="s">
        <v>956</v>
      </c>
      <c r="E781" t="s">
        <v>1751</v>
      </c>
      <c r="F781" t="str" cm="1">
        <f t="array" ref="F781">IF(OR(COUNTIF(D781,"*"&amp;Preprocessing!$T$9:$T$15&amp;"*")),"Female","Male")</f>
        <v>Male</v>
      </c>
      <c r="G781">
        <v>35</v>
      </c>
      <c r="H781">
        <v>1</v>
      </c>
      <c r="I781">
        <v>2</v>
      </c>
      <c r="J781">
        <v>3</v>
      </c>
      <c r="K781">
        <v>23.45</v>
      </c>
      <c r="L781">
        <f t="shared" si="61"/>
        <v>0</v>
      </c>
      <c r="M781">
        <f t="shared" si="62"/>
        <v>35</v>
      </c>
      <c r="N781" t="str">
        <f t="shared" si="63"/>
        <v>Adult</v>
      </c>
      <c r="O781">
        <f t="shared" si="64"/>
        <v>23.45</v>
      </c>
    </row>
    <row r="782" spans="1:15" x14ac:dyDescent="0.3">
      <c r="A782">
        <v>781</v>
      </c>
      <c r="B782">
        <v>0</v>
      </c>
      <c r="C782" t="str">
        <f t="shared" si="60"/>
        <v>No</v>
      </c>
      <c r="D782" t="s">
        <v>956</v>
      </c>
      <c r="E782" t="s">
        <v>1752</v>
      </c>
      <c r="F782" t="str" cm="1">
        <f t="array" ref="F782">IF(OR(COUNTIF(D782,"*"&amp;Preprocessing!$T$9:$T$15&amp;"*")),"Female","Male")</f>
        <v>Male</v>
      </c>
      <c r="G782">
        <v>25</v>
      </c>
      <c r="H782">
        <v>0</v>
      </c>
      <c r="I782">
        <v>0</v>
      </c>
      <c r="J782">
        <v>3</v>
      </c>
      <c r="K782">
        <v>7.05</v>
      </c>
      <c r="L782">
        <f t="shared" si="61"/>
        <v>0</v>
      </c>
      <c r="M782">
        <f t="shared" si="62"/>
        <v>25</v>
      </c>
      <c r="N782" t="str">
        <f t="shared" si="63"/>
        <v>Adult</v>
      </c>
      <c r="O782">
        <f t="shared" si="64"/>
        <v>7.05</v>
      </c>
    </row>
    <row r="783" spans="1:15" x14ac:dyDescent="0.3">
      <c r="A783">
        <v>782</v>
      </c>
      <c r="B783">
        <v>0</v>
      </c>
      <c r="C783" t="str">
        <f t="shared" si="60"/>
        <v>No</v>
      </c>
      <c r="D783" t="s">
        <v>956</v>
      </c>
      <c r="E783" t="s">
        <v>1753</v>
      </c>
      <c r="F783" t="str" cm="1">
        <f t="array" ref="F783">IF(OR(COUNTIF(D783,"*"&amp;Preprocessing!$T$9:$T$15&amp;"*")),"Female","Male")</f>
        <v>Male</v>
      </c>
      <c r="G783">
        <v>25</v>
      </c>
      <c r="H783">
        <v>0</v>
      </c>
      <c r="I783">
        <v>0</v>
      </c>
      <c r="J783">
        <v>3</v>
      </c>
      <c r="K783">
        <v>7.25</v>
      </c>
      <c r="L783">
        <f t="shared" si="61"/>
        <v>0</v>
      </c>
      <c r="M783">
        <f t="shared" si="62"/>
        <v>25</v>
      </c>
      <c r="N783" t="str">
        <f t="shared" si="63"/>
        <v>Adult</v>
      </c>
      <c r="O783">
        <f t="shared" si="64"/>
        <v>7.25</v>
      </c>
    </row>
    <row r="784" spans="1:15" x14ac:dyDescent="0.3">
      <c r="A784">
        <v>783</v>
      </c>
      <c r="B784">
        <v>1</v>
      </c>
      <c r="C784" t="str">
        <f t="shared" si="60"/>
        <v>Yes</v>
      </c>
      <c r="D784" t="s">
        <v>960</v>
      </c>
      <c r="E784" t="s">
        <v>1754</v>
      </c>
      <c r="F784" t="str" cm="1">
        <f t="array" ref="F784">IF(OR(COUNTIF(D784,"*"&amp;Preprocessing!$T$9:$T$15&amp;"*")),"Female","Male")</f>
        <v>Female</v>
      </c>
      <c r="G784">
        <v>18</v>
      </c>
      <c r="H784">
        <v>0</v>
      </c>
      <c r="I784">
        <v>0</v>
      </c>
      <c r="J784">
        <v>3</v>
      </c>
      <c r="K784">
        <v>7.4958</v>
      </c>
      <c r="L784">
        <f t="shared" si="61"/>
        <v>1</v>
      </c>
      <c r="M784">
        <f t="shared" si="62"/>
        <v>18</v>
      </c>
      <c r="N784" t="str">
        <f t="shared" si="63"/>
        <v>Adult</v>
      </c>
      <c r="O784">
        <f t="shared" si="64"/>
        <v>7.5</v>
      </c>
    </row>
    <row r="785" spans="1:15" x14ac:dyDescent="0.3">
      <c r="A785">
        <v>784</v>
      </c>
      <c r="B785">
        <v>0</v>
      </c>
      <c r="C785" t="str">
        <f t="shared" si="60"/>
        <v>No</v>
      </c>
      <c r="D785" t="s">
        <v>966</v>
      </c>
      <c r="E785" t="s">
        <v>1755</v>
      </c>
      <c r="F785" t="str" cm="1">
        <f t="array" ref="F785">IF(OR(COUNTIF(D785,"*"&amp;Preprocessing!$T$9:$T$15&amp;"*")),"Female","Male")</f>
        <v>Male</v>
      </c>
      <c r="G785">
        <v>8</v>
      </c>
      <c r="H785">
        <v>4</v>
      </c>
      <c r="I785">
        <v>1</v>
      </c>
      <c r="J785">
        <v>3</v>
      </c>
      <c r="K785">
        <v>29.125</v>
      </c>
      <c r="L785">
        <f t="shared" si="61"/>
        <v>0</v>
      </c>
      <c r="M785">
        <f t="shared" si="62"/>
        <v>8</v>
      </c>
      <c r="N785" t="str">
        <f t="shared" si="63"/>
        <v>Child</v>
      </c>
      <c r="O785">
        <f t="shared" si="64"/>
        <v>29.13</v>
      </c>
    </row>
    <row r="786" spans="1:15" x14ac:dyDescent="0.3">
      <c r="A786">
        <v>785</v>
      </c>
      <c r="B786">
        <v>1</v>
      </c>
      <c r="C786" t="str">
        <f t="shared" si="60"/>
        <v>Yes</v>
      </c>
      <c r="D786" t="s">
        <v>966</v>
      </c>
      <c r="E786" t="s">
        <v>1756</v>
      </c>
      <c r="F786" t="str" cm="1">
        <f t="array" ref="F786">IF(OR(COUNTIF(D786,"*"&amp;Preprocessing!$T$9:$T$15&amp;"*")),"Female","Male")</f>
        <v>Male</v>
      </c>
      <c r="G786">
        <v>1</v>
      </c>
      <c r="H786">
        <v>1</v>
      </c>
      <c r="I786">
        <v>2</v>
      </c>
      <c r="J786">
        <v>3</v>
      </c>
      <c r="K786">
        <v>20.574999999999999</v>
      </c>
      <c r="L786">
        <f t="shared" si="61"/>
        <v>0</v>
      </c>
      <c r="M786">
        <f t="shared" si="62"/>
        <v>1</v>
      </c>
      <c r="N786" t="str">
        <f t="shared" si="63"/>
        <v>Child</v>
      </c>
      <c r="O786">
        <f t="shared" si="64"/>
        <v>20.58</v>
      </c>
    </row>
    <row r="787" spans="1:15" x14ac:dyDescent="0.3">
      <c r="A787">
        <v>786</v>
      </c>
      <c r="B787">
        <v>0</v>
      </c>
      <c r="C787" t="str">
        <f t="shared" si="60"/>
        <v>No</v>
      </c>
      <c r="D787" t="s">
        <v>956</v>
      </c>
      <c r="E787" t="s">
        <v>1757</v>
      </c>
      <c r="F787" t="str" cm="1">
        <f t="array" ref="F787">IF(OR(COUNTIF(D787,"*"&amp;Preprocessing!$T$9:$T$15&amp;"*")),"Female","Male")</f>
        <v>Male</v>
      </c>
      <c r="G787">
        <v>46</v>
      </c>
      <c r="H787">
        <v>0</v>
      </c>
      <c r="I787">
        <v>0</v>
      </c>
      <c r="J787">
        <v>1</v>
      </c>
      <c r="K787">
        <v>79.2</v>
      </c>
      <c r="L787">
        <f t="shared" si="61"/>
        <v>0</v>
      </c>
      <c r="M787">
        <f t="shared" si="62"/>
        <v>46</v>
      </c>
      <c r="N787" t="str">
        <f t="shared" si="63"/>
        <v>Adult</v>
      </c>
      <c r="O787">
        <f t="shared" si="64"/>
        <v>79.2</v>
      </c>
    </row>
    <row r="788" spans="1:15" x14ac:dyDescent="0.3">
      <c r="A788">
        <v>787</v>
      </c>
      <c r="B788">
        <v>0</v>
      </c>
      <c r="C788" t="str">
        <f t="shared" si="60"/>
        <v>No</v>
      </c>
      <c r="D788" t="s">
        <v>956</v>
      </c>
      <c r="E788" t="s">
        <v>1758</v>
      </c>
      <c r="F788" t="str" cm="1">
        <f t="array" ref="F788">IF(OR(COUNTIF(D788,"*"&amp;Preprocessing!$T$9:$T$15&amp;"*")),"Female","Male")</f>
        <v>Male</v>
      </c>
      <c r="G788">
        <v>20</v>
      </c>
      <c r="H788">
        <v>0</v>
      </c>
      <c r="I788">
        <v>0</v>
      </c>
      <c r="J788">
        <v>3</v>
      </c>
      <c r="K788">
        <v>7.75</v>
      </c>
      <c r="L788">
        <f t="shared" si="61"/>
        <v>0</v>
      </c>
      <c r="M788">
        <f t="shared" si="62"/>
        <v>20</v>
      </c>
      <c r="N788" t="str">
        <f t="shared" si="63"/>
        <v>Adult</v>
      </c>
      <c r="O788">
        <f t="shared" si="64"/>
        <v>7.75</v>
      </c>
    </row>
    <row r="789" spans="1:15" x14ac:dyDescent="0.3">
      <c r="A789">
        <v>788</v>
      </c>
      <c r="B789">
        <v>0</v>
      </c>
      <c r="C789" t="str">
        <f t="shared" si="60"/>
        <v>No</v>
      </c>
      <c r="D789" t="s">
        <v>956</v>
      </c>
      <c r="E789" t="s">
        <v>1759</v>
      </c>
      <c r="F789" t="str" cm="1">
        <f t="array" ref="F789">IF(OR(COUNTIF(D789,"*"&amp;Preprocessing!$T$9:$T$15&amp;"*")),"Female","Male")</f>
        <v>Male</v>
      </c>
      <c r="G789">
        <v>16</v>
      </c>
      <c r="H789">
        <v>0</v>
      </c>
      <c r="I789">
        <v>0</v>
      </c>
      <c r="J789">
        <v>2</v>
      </c>
      <c r="K789">
        <v>26</v>
      </c>
      <c r="L789">
        <f t="shared" si="61"/>
        <v>0</v>
      </c>
      <c r="M789">
        <f t="shared" si="62"/>
        <v>16</v>
      </c>
      <c r="N789" t="str">
        <f t="shared" si="63"/>
        <v>Child</v>
      </c>
      <c r="O789">
        <f t="shared" si="64"/>
        <v>26</v>
      </c>
    </row>
    <row r="790" spans="1:15" x14ac:dyDescent="0.3">
      <c r="A790">
        <v>789</v>
      </c>
      <c r="B790">
        <v>0</v>
      </c>
      <c r="C790" t="str">
        <f t="shared" si="60"/>
        <v>No</v>
      </c>
      <c r="D790" t="s">
        <v>960</v>
      </c>
      <c r="E790" t="s">
        <v>1760</v>
      </c>
      <c r="F790" t="str" cm="1">
        <f t="array" ref="F790">IF(OR(COUNTIF(D790,"*"&amp;Preprocessing!$T$9:$T$15&amp;"*")),"Female","Male")</f>
        <v>Female</v>
      </c>
      <c r="G790">
        <v>21</v>
      </c>
      <c r="H790">
        <v>8</v>
      </c>
      <c r="I790">
        <v>2</v>
      </c>
      <c r="J790">
        <v>3</v>
      </c>
      <c r="K790">
        <v>69.55</v>
      </c>
      <c r="L790">
        <f t="shared" si="61"/>
        <v>1</v>
      </c>
      <c r="M790">
        <f t="shared" si="62"/>
        <v>21</v>
      </c>
      <c r="N790" t="str">
        <f t="shared" si="63"/>
        <v>Adult</v>
      </c>
      <c r="O790">
        <f t="shared" si="64"/>
        <v>69.55</v>
      </c>
    </row>
    <row r="791" spans="1:15" x14ac:dyDescent="0.3">
      <c r="A791">
        <v>790</v>
      </c>
      <c r="B791">
        <v>0</v>
      </c>
      <c r="C791" t="str">
        <f t="shared" si="60"/>
        <v>No</v>
      </c>
      <c r="D791" t="s">
        <v>956</v>
      </c>
      <c r="E791" t="s">
        <v>1761</v>
      </c>
      <c r="F791" t="str" cm="1">
        <f t="array" ref="F791">IF(OR(COUNTIF(D791,"*"&amp;Preprocessing!$T$9:$T$15&amp;"*")),"Female","Male")</f>
        <v>Male</v>
      </c>
      <c r="G791">
        <v>43</v>
      </c>
      <c r="H791">
        <v>0</v>
      </c>
      <c r="I791">
        <v>0</v>
      </c>
      <c r="J791">
        <v>1</v>
      </c>
      <c r="K791">
        <v>30.695799999999998</v>
      </c>
      <c r="L791">
        <f t="shared" si="61"/>
        <v>0</v>
      </c>
      <c r="M791">
        <f t="shared" si="62"/>
        <v>43</v>
      </c>
      <c r="N791" t="str">
        <f t="shared" si="63"/>
        <v>Adult</v>
      </c>
      <c r="O791">
        <f t="shared" si="64"/>
        <v>30.7</v>
      </c>
    </row>
    <row r="792" spans="1:15" x14ac:dyDescent="0.3">
      <c r="A792">
        <v>791</v>
      </c>
      <c r="B792">
        <v>0</v>
      </c>
      <c r="C792" t="str">
        <f t="shared" si="60"/>
        <v>No</v>
      </c>
      <c r="D792" t="s">
        <v>956</v>
      </c>
      <c r="E792" t="s">
        <v>1762</v>
      </c>
      <c r="F792" t="str" cm="1">
        <f t="array" ref="F792">IF(OR(COUNTIF(D792,"*"&amp;Preprocessing!$T$9:$T$15&amp;"*")),"Female","Male")</f>
        <v>Male</v>
      </c>
      <c r="G792">
        <v>25</v>
      </c>
      <c r="H792">
        <v>0</v>
      </c>
      <c r="I792">
        <v>0</v>
      </c>
      <c r="J792">
        <v>3</v>
      </c>
      <c r="K792">
        <v>7.8958000000000004</v>
      </c>
      <c r="L792">
        <f t="shared" si="61"/>
        <v>0</v>
      </c>
      <c r="M792">
        <f t="shared" si="62"/>
        <v>25</v>
      </c>
      <c r="N792" t="str">
        <f t="shared" si="63"/>
        <v>Adult</v>
      </c>
      <c r="O792">
        <f t="shared" si="64"/>
        <v>7.9</v>
      </c>
    </row>
    <row r="793" spans="1:15" x14ac:dyDescent="0.3">
      <c r="A793">
        <v>792</v>
      </c>
      <c r="B793">
        <v>0</v>
      </c>
      <c r="C793" t="str">
        <f t="shared" si="60"/>
        <v>No</v>
      </c>
      <c r="D793" t="s">
        <v>956</v>
      </c>
      <c r="E793" t="s">
        <v>1763</v>
      </c>
      <c r="F793" t="str" cm="1">
        <f t="array" ref="F793">IF(OR(COUNTIF(D793,"*"&amp;Preprocessing!$T$9:$T$15&amp;"*")),"Female","Male")</f>
        <v>Male</v>
      </c>
      <c r="G793">
        <v>39</v>
      </c>
      <c r="H793">
        <v>0</v>
      </c>
      <c r="I793">
        <v>0</v>
      </c>
      <c r="J793">
        <v>2</v>
      </c>
      <c r="K793">
        <v>13</v>
      </c>
      <c r="L793">
        <f t="shared" si="61"/>
        <v>0</v>
      </c>
      <c r="M793">
        <f t="shared" si="62"/>
        <v>39</v>
      </c>
      <c r="N793" t="str">
        <f t="shared" si="63"/>
        <v>Adult</v>
      </c>
      <c r="O793">
        <f t="shared" si="64"/>
        <v>13</v>
      </c>
    </row>
    <row r="794" spans="1:15" x14ac:dyDescent="0.3">
      <c r="A794">
        <v>793</v>
      </c>
      <c r="B794">
        <v>1</v>
      </c>
      <c r="C794" t="str">
        <f t="shared" si="60"/>
        <v>Yes</v>
      </c>
      <c r="D794" t="s">
        <v>1206</v>
      </c>
      <c r="E794" t="s">
        <v>1764</v>
      </c>
      <c r="F794" t="str" cm="1">
        <f t="array" ref="F794">IF(OR(COUNTIF(D794,"*"&amp;Preprocessing!$T$9:$T$15&amp;"*")),"Female","Male")</f>
        <v>Male</v>
      </c>
      <c r="G794">
        <v>49</v>
      </c>
      <c r="H794">
        <v>0</v>
      </c>
      <c r="I794">
        <v>0</v>
      </c>
      <c r="J794">
        <v>1</v>
      </c>
      <c r="K794">
        <v>25.929200000000002</v>
      </c>
      <c r="L794">
        <f t="shared" si="61"/>
        <v>0</v>
      </c>
      <c r="M794">
        <f t="shared" si="62"/>
        <v>49</v>
      </c>
      <c r="N794" t="str">
        <f t="shared" si="63"/>
        <v>Adult</v>
      </c>
      <c r="O794">
        <f t="shared" si="64"/>
        <v>25.93</v>
      </c>
    </row>
    <row r="795" spans="1:15" x14ac:dyDescent="0.3">
      <c r="A795">
        <v>794</v>
      </c>
      <c r="B795">
        <v>1</v>
      </c>
      <c r="C795" t="str">
        <f t="shared" si="60"/>
        <v>Yes</v>
      </c>
      <c r="D795" t="s">
        <v>958</v>
      </c>
      <c r="E795" t="s">
        <v>1765</v>
      </c>
      <c r="F795" t="str" cm="1">
        <f t="array" ref="F795">IF(OR(COUNTIF(D795,"*"&amp;Preprocessing!$T$9:$T$15&amp;"*")),"Female","Male")</f>
        <v>Female</v>
      </c>
      <c r="G795">
        <v>31</v>
      </c>
      <c r="H795">
        <v>0</v>
      </c>
      <c r="I795">
        <v>0</v>
      </c>
      <c r="J795">
        <v>3</v>
      </c>
      <c r="K795">
        <v>8.6832999999999991</v>
      </c>
      <c r="L795">
        <f t="shared" si="61"/>
        <v>1</v>
      </c>
      <c r="M795">
        <f t="shared" si="62"/>
        <v>31</v>
      </c>
      <c r="N795" t="str">
        <f t="shared" si="63"/>
        <v>Adult</v>
      </c>
      <c r="O795">
        <f t="shared" si="64"/>
        <v>8.68</v>
      </c>
    </row>
    <row r="796" spans="1:15" x14ac:dyDescent="0.3">
      <c r="A796">
        <v>795</v>
      </c>
      <c r="B796">
        <v>0</v>
      </c>
      <c r="C796" t="str">
        <f t="shared" si="60"/>
        <v>No</v>
      </c>
      <c r="D796" t="s">
        <v>956</v>
      </c>
      <c r="E796" t="s">
        <v>1766</v>
      </c>
      <c r="F796" t="str" cm="1">
        <f t="array" ref="F796">IF(OR(COUNTIF(D796,"*"&amp;Preprocessing!$T$9:$T$15&amp;"*")),"Female","Male")</f>
        <v>Male</v>
      </c>
      <c r="G796">
        <v>30</v>
      </c>
      <c r="H796">
        <v>0</v>
      </c>
      <c r="I796">
        <v>0</v>
      </c>
      <c r="J796">
        <v>3</v>
      </c>
      <c r="K796">
        <v>7.2291999999999996</v>
      </c>
      <c r="L796">
        <f t="shared" si="61"/>
        <v>0</v>
      </c>
      <c r="M796">
        <f t="shared" si="62"/>
        <v>30</v>
      </c>
      <c r="N796" t="str">
        <f t="shared" si="63"/>
        <v>Adult</v>
      </c>
      <c r="O796">
        <f t="shared" si="64"/>
        <v>7.23</v>
      </c>
    </row>
    <row r="797" spans="1:15" x14ac:dyDescent="0.3">
      <c r="A797">
        <v>796</v>
      </c>
      <c r="B797">
        <v>0</v>
      </c>
      <c r="C797" t="str">
        <f t="shared" si="60"/>
        <v>No</v>
      </c>
      <c r="D797" t="s">
        <v>958</v>
      </c>
      <c r="E797" t="s">
        <v>1767</v>
      </c>
      <c r="F797" t="str" cm="1">
        <f t="array" ref="F797">IF(OR(COUNTIF(D797,"*"&amp;Preprocessing!$T$9:$T$15&amp;"*")),"Female","Male")</f>
        <v>Female</v>
      </c>
      <c r="G797">
        <v>30</v>
      </c>
      <c r="H797">
        <v>1</v>
      </c>
      <c r="I797">
        <v>1</v>
      </c>
      <c r="J797">
        <v>3</v>
      </c>
      <c r="K797">
        <v>24.15</v>
      </c>
      <c r="L797">
        <f t="shared" si="61"/>
        <v>1</v>
      </c>
      <c r="M797">
        <f t="shared" si="62"/>
        <v>30</v>
      </c>
      <c r="N797" t="str">
        <f t="shared" si="63"/>
        <v>Adult</v>
      </c>
      <c r="O797">
        <f t="shared" si="64"/>
        <v>24.15</v>
      </c>
    </row>
    <row r="798" spans="1:15" x14ac:dyDescent="0.3">
      <c r="A798">
        <v>797</v>
      </c>
      <c r="B798">
        <v>0</v>
      </c>
      <c r="C798" t="str">
        <f t="shared" si="60"/>
        <v>No</v>
      </c>
      <c r="D798" t="s">
        <v>956</v>
      </c>
      <c r="E798" t="s">
        <v>1768</v>
      </c>
      <c r="F798" t="str" cm="1">
        <f t="array" ref="F798">IF(OR(COUNTIF(D798,"*"&amp;Preprocessing!$T$9:$T$15&amp;"*")),"Female","Male")</f>
        <v>Male</v>
      </c>
      <c r="G798">
        <v>34</v>
      </c>
      <c r="H798">
        <v>0</v>
      </c>
      <c r="I798">
        <v>0</v>
      </c>
      <c r="J798">
        <v>2</v>
      </c>
      <c r="K798">
        <v>13</v>
      </c>
      <c r="L798">
        <f t="shared" si="61"/>
        <v>0</v>
      </c>
      <c r="M798">
        <f t="shared" si="62"/>
        <v>34</v>
      </c>
      <c r="N798" t="str">
        <f t="shared" si="63"/>
        <v>Adult</v>
      </c>
      <c r="O798">
        <f t="shared" si="64"/>
        <v>13</v>
      </c>
    </row>
    <row r="799" spans="1:15" x14ac:dyDescent="0.3">
      <c r="A799">
        <v>798</v>
      </c>
      <c r="B799">
        <v>1</v>
      </c>
      <c r="C799" t="str">
        <f t="shared" si="60"/>
        <v>Yes</v>
      </c>
      <c r="D799" t="s">
        <v>958</v>
      </c>
      <c r="E799" t="s">
        <v>1769</v>
      </c>
      <c r="F799" t="str" cm="1">
        <f t="array" ref="F799">IF(OR(COUNTIF(D799,"*"&amp;Preprocessing!$T$9:$T$15&amp;"*")),"Female","Male")</f>
        <v>Female</v>
      </c>
      <c r="G799">
        <v>31</v>
      </c>
      <c r="H799">
        <v>1</v>
      </c>
      <c r="I799">
        <v>1</v>
      </c>
      <c r="J799">
        <v>2</v>
      </c>
      <c r="K799">
        <v>26.25</v>
      </c>
      <c r="L799">
        <f t="shared" si="61"/>
        <v>1</v>
      </c>
      <c r="M799">
        <f t="shared" si="62"/>
        <v>31</v>
      </c>
      <c r="N799" t="str">
        <f t="shared" si="63"/>
        <v>Adult</v>
      </c>
      <c r="O799">
        <f t="shared" si="64"/>
        <v>26.25</v>
      </c>
    </row>
    <row r="800" spans="1:15" x14ac:dyDescent="0.3">
      <c r="A800">
        <v>799</v>
      </c>
      <c r="B800">
        <v>1</v>
      </c>
      <c r="C800" t="str">
        <f t="shared" si="60"/>
        <v>Yes</v>
      </c>
      <c r="D800" t="s">
        <v>966</v>
      </c>
      <c r="E800" t="s">
        <v>1770</v>
      </c>
      <c r="F800" t="str" cm="1">
        <f t="array" ref="F800">IF(OR(COUNTIF(D800,"*"&amp;Preprocessing!$T$9:$T$15&amp;"*")),"Female","Male")</f>
        <v>Male</v>
      </c>
      <c r="G800">
        <v>11</v>
      </c>
      <c r="H800">
        <v>1</v>
      </c>
      <c r="I800">
        <v>2</v>
      </c>
      <c r="J800">
        <v>1</v>
      </c>
      <c r="K800">
        <v>120</v>
      </c>
      <c r="L800">
        <f t="shared" si="61"/>
        <v>0</v>
      </c>
      <c r="M800">
        <f t="shared" si="62"/>
        <v>11</v>
      </c>
      <c r="N800" t="str">
        <f t="shared" si="63"/>
        <v>Child</v>
      </c>
      <c r="O800">
        <f t="shared" si="64"/>
        <v>120</v>
      </c>
    </row>
    <row r="801" spans="1:15" x14ac:dyDescent="0.3">
      <c r="A801">
        <v>800</v>
      </c>
      <c r="B801">
        <v>1</v>
      </c>
      <c r="C801" t="str">
        <f t="shared" si="60"/>
        <v>Yes</v>
      </c>
      <c r="D801" t="s">
        <v>966</v>
      </c>
      <c r="E801" t="s">
        <v>1771</v>
      </c>
      <c r="F801" t="str" cm="1">
        <f t="array" ref="F801">IF(OR(COUNTIF(D801,"*"&amp;Preprocessing!$T$9:$T$15&amp;"*")),"Female","Male")</f>
        <v>Male</v>
      </c>
      <c r="G801">
        <v>0.42</v>
      </c>
      <c r="H801">
        <v>0</v>
      </c>
      <c r="I801">
        <v>1</v>
      </c>
      <c r="J801">
        <v>3</v>
      </c>
      <c r="K801">
        <v>8.5167000000000002</v>
      </c>
      <c r="L801">
        <f t="shared" si="61"/>
        <v>0</v>
      </c>
      <c r="M801">
        <f t="shared" si="62"/>
        <v>0</v>
      </c>
      <c r="N801" t="str">
        <f t="shared" si="63"/>
        <v>Child</v>
      </c>
      <c r="O801">
        <f t="shared" si="64"/>
        <v>8.52</v>
      </c>
    </row>
    <row r="802" spans="1:15" x14ac:dyDescent="0.3">
      <c r="A802">
        <v>801</v>
      </c>
      <c r="B802">
        <v>1</v>
      </c>
      <c r="C802" t="str">
        <f t="shared" si="60"/>
        <v>Yes</v>
      </c>
      <c r="D802" t="s">
        <v>956</v>
      </c>
      <c r="E802" t="s">
        <v>1772</v>
      </c>
      <c r="F802" t="str" cm="1">
        <f t="array" ref="F802">IF(OR(COUNTIF(D802,"*"&amp;Preprocessing!$T$9:$T$15&amp;"*")),"Female","Male")</f>
        <v>Male</v>
      </c>
      <c r="G802">
        <v>27</v>
      </c>
      <c r="H802">
        <v>0</v>
      </c>
      <c r="I802">
        <v>0</v>
      </c>
      <c r="J802">
        <v>3</v>
      </c>
      <c r="K802">
        <v>6.9749999999999996</v>
      </c>
      <c r="L802">
        <f t="shared" si="61"/>
        <v>0</v>
      </c>
      <c r="M802">
        <f t="shared" si="62"/>
        <v>27</v>
      </c>
      <c r="N802" t="str">
        <f t="shared" si="63"/>
        <v>Adult</v>
      </c>
      <c r="O802">
        <f t="shared" si="64"/>
        <v>6.98</v>
      </c>
    </row>
    <row r="803" spans="1:15" x14ac:dyDescent="0.3">
      <c r="A803">
        <v>802</v>
      </c>
      <c r="B803">
        <v>0</v>
      </c>
      <c r="C803" t="str">
        <f t="shared" si="60"/>
        <v>No</v>
      </c>
      <c r="D803" t="s">
        <v>956</v>
      </c>
      <c r="E803" t="s">
        <v>1773</v>
      </c>
      <c r="F803" t="str" cm="1">
        <f t="array" ref="F803">IF(OR(COUNTIF(D803,"*"&amp;Preprocessing!$T$9:$T$15&amp;"*")),"Female","Male")</f>
        <v>Male</v>
      </c>
      <c r="G803">
        <v>31</v>
      </c>
      <c r="H803">
        <v>0</v>
      </c>
      <c r="I803">
        <v>0</v>
      </c>
      <c r="J803">
        <v>3</v>
      </c>
      <c r="K803">
        <v>7.7750000000000004</v>
      </c>
      <c r="L803">
        <f t="shared" si="61"/>
        <v>0</v>
      </c>
      <c r="M803">
        <f t="shared" si="62"/>
        <v>31</v>
      </c>
      <c r="N803" t="str">
        <f t="shared" si="63"/>
        <v>Adult</v>
      </c>
      <c r="O803">
        <f t="shared" si="64"/>
        <v>7.78</v>
      </c>
    </row>
    <row r="804" spans="1:15" x14ac:dyDescent="0.3">
      <c r="A804">
        <v>803</v>
      </c>
      <c r="B804">
        <v>0</v>
      </c>
      <c r="C804" t="str">
        <f t="shared" si="60"/>
        <v>No</v>
      </c>
      <c r="D804" t="s">
        <v>956</v>
      </c>
      <c r="E804" t="s">
        <v>1774</v>
      </c>
      <c r="F804" t="str" cm="1">
        <f t="array" ref="F804">IF(OR(COUNTIF(D804,"*"&amp;Preprocessing!$T$9:$T$15&amp;"*")),"Female","Male")</f>
        <v>Male</v>
      </c>
      <c r="G804">
        <v>39</v>
      </c>
      <c r="H804">
        <v>0</v>
      </c>
      <c r="I804">
        <v>0</v>
      </c>
      <c r="J804">
        <v>1</v>
      </c>
      <c r="K804">
        <v>0</v>
      </c>
      <c r="L804">
        <f t="shared" si="61"/>
        <v>0</v>
      </c>
      <c r="M804">
        <f t="shared" si="62"/>
        <v>39</v>
      </c>
      <c r="N804" t="str">
        <f t="shared" si="63"/>
        <v>Adult</v>
      </c>
      <c r="O804">
        <f t="shared" si="64"/>
        <v>0</v>
      </c>
    </row>
    <row r="805" spans="1:15" x14ac:dyDescent="0.3">
      <c r="A805">
        <v>804</v>
      </c>
      <c r="B805">
        <v>0</v>
      </c>
      <c r="C805" t="str">
        <f t="shared" si="60"/>
        <v>No</v>
      </c>
      <c r="D805" t="s">
        <v>960</v>
      </c>
      <c r="E805" t="s">
        <v>1775</v>
      </c>
      <c r="F805" t="str" cm="1">
        <f t="array" ref="F805">IF(OR(COUNTIF(D805,"*"&amp;Preprocessing!$T$9:$T$15&amp;"*")),"Female","Male")</f>
        <v>Female</v>
      </c>
      <c r="G805">
        <v>18</v>
      </c>
      <c r="H805">
        <v>0</v>
      </c>
      <c r="I805">
        <v>0</v>
      </c>
      <c r="J805">
        <v>3</v>
      </c>
      <c r="K805">
        <v>7.7750000000000004</v>
      </c>
      <c r="L805">
        <f t="shared" si="61"/>
        <v>1</v>
      </c>
      <c r="M805">
        <f t="shared" si="62"/>
        <v>18</v>
      </c>
      <c r="N805" t="str">
        <f t="shared" si="63"/>
        <v>Adult</v>
      </c>
      <c r="O805">
        <f t="shared" si="64"/>
        <v>7.78</v>
      </c>
    </row>
    <row r="806" spans="1:15" x14ac:dyDescent="0.3">
      <c r="A806">
        <v>805</v>
      </c>
      <c r="B806">
        <v>0</v>
      </c>
      <c r="C806" t="str">
        <f t="shared" si="60"/>
        <v>No</v>
      </c>
      <c r="D806" t="s">
        <v>956</v>
      </c>
      <c r="E806" t="s">
        <v>1776</v>
      </c>
      <c r="F806" t="str" cm="1">
        <f t="array" ref="F806">IF(OR(COUNTIF(D806,"*"&amp;Preprocessing!$T$9:$T$15&amp;"*")),"Female","Male")</f>
        <v>Male</v>
      </c>
      <c r="G806">
        <v>39</v>
      </c>
      <c r="H806">
        <v>0</v>
      </c>
      <c r="I806">
        <v>0</v>
      </c>
      <c r="J806">
        <v>2</v>
      </c>
      <c r="K806">
        <v>13</v>
      </c>
      <c r="L806">
        <f t="shared" si="61"/>
        <v>0</v>
      </c>
      <c r="M806">
        <f t="shared" si="62"/>
        <v>39</v>
      </c>
      <c r="N806" t="str">
        <f t="shared" si="63"/>
        <v>Adult</v>
      </c>
      <c r="O806">
        <f t="shared" si="64"/>
        <v>13</v>
      </c>
    </row>
    <row r="807" spans="1:15" x14ac:dyDescent="0.3">
      <c r="A807">
        <v>806</v>
      </c>
      <c r="B807">
        <v>1</v>
      </c>
      <c r="C807" t="str">
        <f t="shared" si="60"/>
        <v>Yes</v>
      </c>
      <c r="D807" t="s">
        <v>958</v>
      </c>
      <c r="E807" t="s">
        <v>1777</v>
      </c>
      <c r="F807" t="str" cm="1">
        <f t="array" ref="F807">IF(OR(COUNTIF(D807,"*"&amp;Preprocessing!$T$9:$T$15&amp;"*")),"Female","Male")</f>
        <v>Female</v>
      </c>
      <c r="G807">
        <v>33</v>
      </c>
      <c r="H807">
        <v>1</v>
      </c>
      <c r="I807">
        <v>0</v>
      </c>
      <c r="J807">
        <v>1</v>
      </c>
      <c r="K807">
        <v>53.1</v>
      </c>
      <c r="L807">
        <f t="shared" si="61"/>
        <v>1</v>
      </c>
      <c r="M807">
        <f t="shared" si="62"/>
        <v>33</v>
      </c>
      <c r="N807" t="str">
        <f t="shared" si="63"/>
        <v>Adult</v>
      </c>
      <c r="O807">
        <f t="shared" si="64"/>
        <v>53.1</v>
      </c>
    </row>
    <row r="808" spans="1:15" x14ac:dyDescent="0.3">
      <c r="A808">
        <v>807</v>
      </c>
      <c r="B808">
        <v>0</v>
      </c>
      <c r="C808" t="str">
        <f t="shared" si="60"/>
        <v>No</v>
      </c>
      <c r="D808" t="s">
        <v>956</v>
      </c>
      <c r="E808" t="s">
        <v>1778</v>
      </c>
      <c r="F808" t="str" cm="1">
        <f t="array" ref="F808">IF(OR(COUNTIF(D808,"*"&amp;Preprocessing!$T$9:$T$15&amp;"*")),"Female","Male")</f>
        <v>Male</v>
      </c>
      <c r="G808">
        <v>26</v>
      </c>
      <c r="H808">
        <v>0</v>
      </c>
      <c r="I808">
        <v>0</v>
      </c>
      <c r="J808">
        <v>3</v>
      </c>
      <c r="K808">
        <v>7.8875000000000002</v>
      </c>
      <c r="L808">
        <f t="shared" si="61"/>
        <v>0</v>
      </c>
      <c r="M808">
        <f t="shared" si="62"/>
        <v>26</v>
      </c>
      <c r="N808" t="str">
        <f t="shared" si="63"/>
        <v>Adult</v>
      </c>
      <c r="O808">
        <f t="shared" si="64"/>
        <v>7.89</v>
      </c>
    </row>
    <row r="809" spans="1:15" x14ac:dyDescent="0.3">
      <c r="A809">
        <v>808</v>
      </c>
      <c r="B809">
        <v>0</v>
      </c>
      <c r="C809" t="str">
        <f t="shared" si="60"/>
        <v>No</v>
      </c>
      <c r="D809" t="s">
        <v>956</v>
      </c>
      <c r="E809" t="s">
        <v>1779</v>
      </c>
      <c r="F809" t="str" cm="1">
        <f t="array" ref="F809">IF(OR(COUNTIF(D809,"*"&amp;Preprocessing!$T$9:$T$15&amp;"*")),"Female","Male")</f>
        <v>Male</v>
      </c>
      <c r="G809">
        <v>39</v>
      </c>
      <c r="H809">
        <v>0</v>
      </c>
      <c r="I809">
        <v>0</v>
      </c>
      <c r="J809">
        <v>3</v>
      </c>
      <c r="K809">
        <v>24.15</v>
      </c>
      <c r="L809">
        <f t="shared" si="61"/>
        <v>0</v>
      </c>
      <c r="M809">
        <f t="shared" si="62"/>
        <v>39</v>
      </c>
      <c r="N809" t="str">
        <f t="shared" si="63"/>
        <v>Adult</v>
      </c>
      <c r="O809">
        <f t="shared" si="64"/>
        <v>24.15</v>
      </c>
    </row>
    <row r="810" spans="1:15" x14ac:dyDescent="0.3">
      <c r="A810">
        <v>809</v>
      </c>
      <c r="B810">
        <v>0</v>
      </c>
      <c r="C810" t="str">
        <f t="shared" si="60"/>
        <v>No</v>
      </c>
      <c r="D810" t="s">
        <v>956</v>
      </c>
      <c r="E810" t="s">
        <v>1780</v>
      </c>
      <c r="F810" t="str" cm="1">
        <f t="array" ref="F810">IF(OR(COUNTIF(D810,"*"&amp;Preprocessing!$T$9:$T$15&amp;"*")),"Female","Male")</f>
        <v>Male</v>
      </c>
      <c r="G810">
        <v>35</v>
      </c>
      <c r="H810">
        <v>0</v>
      </c>
      <c r="I810">
        <v>0</v>
      </c>
      <c r="J810">
        <v>2</v>
      </c>
      <c r="K810">
        <v>10.5</v>
      </c>
      <c r="L810">
        <f t="shared" si="61"/>
        <v>0</v>
      </c>
      <c r="M810">
        <f t="shared" si="62"/>
        <v>35</v>
      </c>
      <c r="N810" t="str">
        <f t="shared" si="63"/>
        <v>Adult</v>
      </c>
      <c r="O810">
        <f t="shared" si="64"/>
        <v>10.5</v>
      </c>
    </row>
    <row r="811" spans="1:15" x14ac:dyDescent="0.3">
      <c r="A811">
        <v>810</v>
      </c>
      <c r="B811">
        <v>0</v>
      </c>
      <c r="C811" t="str">
        <f t="shared" si="60"/>
        <v>No</v>
      </c>
      <c r="D811" t="s">
        <v>960</v>
      </c>
      <c r="E811" t="s">
        <v>1781</v>
      </c>
      <c r="F811" t="str" cm="1">
        <f t="array" ref="F811">IF(OR(COUNTIF(D811,"*"&amp;Preprocessing!$T$9:$T$15&amp;"*")),"Female","Male")</f>
        <v>Female</v>
      </c>
      <c r="G811">
        <v>6</v>
      </c>
      <c r="H811">
        <v>4</v>
      </c>
      <c r="I811">
        <v>2</v>
      </c>
      <c r="J811">
        <v>3</v>
      </c>
      <c r="K811">
        <v>31.274999999999999</v>
      </c>
      <c r="L811">
        <f t="shared" si="61"/>
        <v>1</v>
      </c>
      <c r="M811">
        <f t="shared" si="62"/>
        <v>6</v>
      </c>
      <c r="N811" t="str">
        <f t="shared" si="63"/>
        <v>Child</v>
      </c>
      <c r="O811">
        <f t="shared" si="64"/>
        <v>31.28</v>
      </c>
    </row>
    <row r="812" spans="1:15" x14ac:dyDescent="0.3">
      <c r="A812">
        <v>811</v>
      </c>
      <c r="B812">
        <v>0</v>
      </c>
      <c r="C812" t="str">
        <f t="shared" si="60"/>
        <v>No</v>
      </c>
      <c r="D812" t="s">
        <v>956</v>
      </c>
      <c r="E812" t="s">
        <v>1782</v>
      </c>
      <c r="F812" t="str" cm="1">
        <f t="array" ref="F812">IF(OR(COUNTIF(D812,"*"&amp;Preprocessing!$T$9:$T$15&amp;"*")),"Female","Male")</f>
        <v>Male</v>
      </c>
      <c r="G812">
        <v>30.5</v>
      </c>
      <c r="H812">
        <v>0</v>
      </c>
      <c r="I812">
        <v>0</v>
      </c>
      <c r="J812">
        <v>3</v>
      </c>
      <c r="K812">
        <v>8.0500000000000007</v>
      </c>
      <c r="L812">
        <f t="shared" si="61"/>
        <v>0</v>
      </c>
      <c r="M812">
        <f t="shared" si="62"/>
        <v>31</v>
      </c>
      <c r="N812" t="str">
        <f t="shared" si="63"/>
        <v>Adult</v>
      </c>
      <c r="O812">
        <f t="shared" si="64"/>
        <v>8.0500000000000007</v>
      </c>
    </row>
    <row r="813" spans="1:15" x14ac:dyDescent="0.3">
      <c r="A813">
        <v>812</v>
      </c>
      <c r="B813">
        <v>0</v>
      </c>
      <c r="C813" t="str">
        <f t="shared" si="60"/>
        <v>No</v>
      </c>
      <c r="D813" t="s">
        <v>956</v>
      </c>
      <c r="E813" t="s">
        <v>1783</v>
      </c>
      <c r="F813" t="str" cm="1">
        <f t="array" ref="F813">IF(OR(COUNTIF(D813,"*"&amp;Preprocessing!$T$9:$T$15&amp;"*")),"Female","Male")</f>
        <v>Male</v>
      </c>
      <c r="G813">
        <v>39</v>
      </c>
      <c r="H813">
        <v>0</v>
      </c>
      <c r="I813">
        <v>0</v>
      </c>
      <c r="J813">
        <v>1</v>
      </c>
      <c r="K813">
        <v>0</v>
      </c>
      <c r="L813">
        <f t="shared" si="61"/>
        <v>0</v>
      </c>
      <c r="M813">
        <f t="shared" si="62"/>
        <v>39</v>
      </c>
      <c r="N813" t="str">
        <f t="shared" si="63"/>
        <v>Adult</v>
      </c>
      <c r="O813">
        <f t="shared" si="64"/>
        <v>0</v>
      </c>
    </row>
    <row r="814" spans="1:15" x14ac:dyDescent="0.3">
      <c r="A814">
        <v>813</v>
      </c>
      <c r="B814">
        <v>0</v>
      </c>
      <c r="C814" t="str">
        <f t="shared" si="60"/>
        <v>No</v>
      </c>
      <c r="D814" t="s">
        <v>960</v>
      </c>
      <c r="E814" t="s">
        <v>1784</v>
      </c>
      <c r="F814" t="str" cm="1">
        <f t="array" ref="F814">IF(OR(COUNTIF(D814,"*"&amp;Preprocessing!$T$9:$T$15&amp;"*")),"Female","Male")</f>
        <v>Female</v>
      </c>
      <c r="G814">
        <v>23</v>
      </c>
      <c r="H814">
        <v>0</v>
      </c>
      <c r="I814">
        <v>0</v>
      </c>
      <c r="J814">
        <v>3</v>
      </c>
      <c r="K814">
        <v>7.9249999999999998</v>
      </c>
      <c r="L814">
        <f t="shared" si="61"/>
        <v>1</v>
      </c>
      <c r="M814">
        <f t="shared" si="62"/>
        <v>23</v>
      </c>
      <c r="N814" t="str">
        <f t="shared" si="63"/>
        <v>Adult</v>
      </c>
      <c r="O814">
        <f t="shared" si="64"/>
        <v>7.93</v>
      </c>
    </row>
    <row r="815" spans="1:15" x14ac:dyDescent="0.3">
      <c r="A815">
        <v>814</v>
      </c>
      <c r="B815">
        <v>0</v>
      </c>
      <c r="C815" t="str">
        <f t="shared" si="60"/>
        <v>No</v>
      </c>
      <c r="D815" t="s">
        <v>956</v>
      </c>
      <c r="E815" t="s">
        <v>1785</v>
      </c>
      <c r="F815" t="str" cm="1">
        <f t="array" ref="F815">IF(OR(COUNTIF(D815,"*"&amp;Preprocessing!$T$9:$T$15&amp;"*")),"Female","Male")</f>
        <v>Male</v>
      </c>
      <c r="G815">
        <v>31</v>
      </c>
      <c r="H815">
        <v>1</v>
      </c>
      <c r="I815">
        <v>1</v>
      </c>
      <c r="J815">
        <v>2</v>
      </c>
      <c r="K815">
        <v>37.004199999999997</v>
      </c>
      <c r="L815">
        <f t="shared" si="61"/>
        <v>0</v>
      </c>
      <c r="M815">
        <f t="shared" si="62"/>
        <v>31</v>
      </c>
      <c r="N815" t="str">
        <f t="shared" si="63"/>
        <v>Adult</v>
      </c>
      <c r="O815">
        <f t="shared" si="64"/>
        <v>37</v>
      </c>
    </row>
    <row r="816" spans="1:15" x14ac:dyDescent="0.3">
      <c r="A816">
        <v>815</v>
      </c>
      <c r="B816">
        <v>0</v>
      </c>
      <c r="C816" t="str">
        <f t="shared" si="60"/>
        <v>No</v>
      </c>
      <c r="D816" t="s">
        <v>956</v>
      </c>
      <c r="E816" t="s">
        <v>1786</v>
      </c>
      <c r="F816" t="str" cm="1">
        <f t="array" ref="F816">IF(OR(COUNTIF(D816,"*"&amp;Preprocessing!$T$9:$T$15&amp;"*")),"Female","Male")</f>
        <v>Male</v>
      </c>
      <c r="G816">
        <v>43</v>
      </c>
      <c r="H816">
        <v>0</v>
      </c>
      <c r="I816">
        <v>0</v>
      </c>
      <c r="J816">
        <v>3</v>
      </c>
      <c r="K816">
        <v>6.45</v>
      </c>
      <c r="L816">
        <f t="shared" si="61"/>
        <v>0</v>
      </c>
      <c r="M816">
        <f t="shared" si="62"/>
        <v>43</v>
      </c>
      <c r="N816" t="str">
        <f t="shared" si="63"/>
        <v>Adult</v>
      </c>
      <c r="O816">
        <f t="shared" si="64"/>
        <v>6.45</v>
      </c>
    </row>
    <row r="817" spans="1:15" x14ac:dyDescent="0.3">
      <c r="A817">
        <v>816</v>
      </c>
      <c r="B817">
        <v>0</v>
      </c>
      <c r="C817" t="str">
        <f t="shared" si="60"/>
        <v>No</v>
      </c>
      <c r="D817" t="s">
        <v>966</v>
      </c>
      <c r="E817" t="s">
        <v>1787</v>
      </c>
      <c r="F817" t="str" cm="1">
        <f t="array" ref="F817">IF(OR(COUNTIF(D817,"*"&amp;Preprocessing!$T$9:$T$15&amp;"*")),"Female","Male")</f>
        <v>Male</v>
      </c>
      <c r="G817">
        <v>10</v>
      </c>
      <c r="H817">
        <v>3</v>
      </c>
      <c r="I817">
        <v>2</v>
      </c>
      <c r="J817">
        <v>3</v>
      </c>
      <c r="K817">
        <v>27.9</v>
      </c>
      <c r="L817">
        <f t="shared" si="61"/>
        <v>0</v>
      </c>
      <c r="M817">
        <f t="shared" si="62"/>
        <v>10</v>
      </c>
      <c r="N817" t="str">
        <f t="shared" si="63"/>
        <v>Child</v>
      </c>
      <c r="O817">
        <f t="shared" si="64"/>
        <v>27.9</v>
      </c>
    </row>
    <row r="818" spans="1:15" x14ac:dyDescent="0.3">
      <c r="A818">
        <v>817</v>
      </c>
      <c r="B818">
        <v>1</v>
      </c>
      <c r="C818" t="str">
        <f t="shared" si="60"/>
        <v>Yes</v>
      </c>
      <c r="D818" t="s">
        <v>958</v>
      </c>
      <c r="E818" t="s">
        <v>1788</v>
      </c>
      <c r="F818" t="str" cm="1">
        <f t="array" ref="F818">IF(OR(COUNTIF(D818,"*"&amp;Preprocessing!$T$9:$T$15&amp;"*")),"Female","Male")</f>
        <v>Female</v>
      </c>
      <c r="G818">
        <v>52</v>
      </c>
      <c r="H818">
        <v>1</v>
      </c>
      <c r="I818">
        <v>1</v>
      </c>
      <c r="J818">
        <v>1</v>
      </c>
      <c r="K818">
        <v>93.5</v>
      </c>
      <c r="L818">
        <f t="shared" si="61"/>
        <v>1</v>
      </c>
      <c r="M818">
        <f t="shared" si="62"/>
        <v>52</v>
      </c>
      <c r="N818" t="str">
        <f t="shared" si="63"/>
        <v>Adult</v>
      </c>
      <c r="O818">
        <f t="shared" si="64"/>
        <v>93.5</v>
      </c>
    </row>
    <row r="819" spans="1:15" x14ac:dyDescent="0.3">
      <c r="A819">
        <v>818</v>
      </c>
      <c r="B819">
        <v>1</v>
      </c>
      <c r="C819" t="str">
        <f t="shared" si="60"/>
        <v>Yes</v>
      </c>
      <c r="D819" t="s">
        <v>956</v>
      </c>
      <c r="E819" t="s">
        <v>1789</v>
      </c>
      <c r="F819" t="str" cm="1">
        <f t="array" ref="F819">IF(OR(COUNTIF(D819,"*"&amp;Preprocessing!$T$9:$T$15&amp;"*")),"Female","Male")</f>
        <v>Male</v>
      </c>
      <c r="G819">
        <v>27</v>
      </c>
      <c r="H819">
        <v>0</v>
      </c>
      <c r="I819">
        <v>0</v>
      </c>
      <c r="J819">
        <v>3</v>
      </c>
      <c r="K819">
        <v>8.6624999999999996</v>
      </c>
      <c r="L819">
        <f t="shared" si="61"/>
        <v>0</v>
      </c>
      <c r="M819">
        <f t="shared" si="62"/>
        <v>27</v>
      </c>
      <c r="N819" t="str">
        <f t="shared" si="63"/>
        <v>Adult</v>
      </c>
      <c r="O819">
        <f t="shared" si="64"/>
        <v>8.66</v>
      </c>
    </row>
    <row r="820" spans="1:15" x14ac:dyDescent="0.3">
      <c r="A820">
        <v>819</v>
      </c>
      <c r="B820">
        <v>0</v>
      </c>
      <c r="C820" t="str">
        <f t="shared" si="60"/>
        <v>No</v>
      </c>
      <c r="D820" t="s">
        <v>1790</v>
      </c>
      <c r="E820" t="s">
        <v>1791</v>
      </c>
      <c r="F820" t="str" cm="1">
        <f t="array" ref="F820">IF(OR(COUNTIF(D820,"*"&amp;Preprocessing!$T$9:$T$15&amp;"*")),"Female","Male")</f>
        <v>Male</v>
      </c>
      <c r="G820">
        <v>38</v>
      </c>
      <c r="H820">
        <v>0</v>
      </c>
      <c r="I820">
        <v>0</v>
      </c>
      <c r="J820">
        <v>1</v>
      </c>
      <c r="K820">
        <v>0</v>
      </c>
      <c r="L820">
        <f t="shared" si="61"/>
        <v>0</v>
      </c>
      <c r="M820">
        <f t="shared" si="62"/>
        <v>38</v>
      </c>
      <c r="N820" t="str">
        <f t="shared" si="63"/>
        <v>Adult</v>
      </c>
      <c r="O820">
        <f t="shared" si="64"/>
        <v>0</v>
      </c>
    </row>
    <row r="821" spans="1:15" x14ac:dyDescent="0.3">
      <c r="A821">
        <v>820</v>
      </c>
      <c r="B821">
        <v>1</v>
      </c>
      <c r="C821" t="str">
        <f t="shared" si="60"/>
        <v>Yes</v>
      </c>
      <c r="D821" t="s">
        <v>958</v>
      </c>
      <c r="E821" t="s">
        <v>1792</v>
      </c>
      <c r="F821" t="str" cm="1">
        <f t="array" ref="F821">IF(OR(COUNTIF(D821,"*"&amp;Preprocessing!$T$9:$T$15&amp;"*")),"Female","Male")</f>
        <v>Female</v>
      </c>
      <c r="G821">
        <v>27</v>
      </c>
      <c r="H821">
        <v>0</v>
      </c>
      <c r="I821">
        <v>1</v>
      </c>
      <c r="J821">
        <v>3</v>
      </c>
      <c r="K821">
        <v>12.475</v>
      </c>
      <c r="L821">
        <f t="shared" si="61"/>
        <v>1</v>
      </c>
      <c r="M821">
        <f t="shared" si="62"/>
        <v>27</v>
      </c>
      <c r="N821" t="str">
        <f t="shared" si="63"/>
        <v>Adult</v>
      </c>
      <c r="O821">
        <f t="shared" si="64"/>
        <v>12.48</v>
      </c>
    </row>
    <row r="822" spans="1:15" x14ac:dyDescent="0.3">
      <c r="A822">
        <v>821</v>
      </c>
      <c r="B822">
        <v>0</v>
      </c>
      <c r="C822" t="str">
        <f t="shared" si="60"/>
        <v>No</v>
      </c>
      <c r="D822" t="s">
        <v>966</v>
      </c>
      <c r="E822" t="s">
        <v>1793</v>
      </c>
      <c r="F822" t="str" cm="1">
        <f t="array" ref="F822">IF(OR(COUNTIF(D822,"*"&amp;Preprocessing!$T$9:$T$15&amp;"*")),"Female","Male")</f>
        <v>Male</v>
      </c>
      <c r="G822">
        <v>2</v>
      </c>
      <c r="H822">
        <v>4</v>
      </c>
      <c r="I822">
        <v>1</v>
      </c>
      <c r="J822">
        <v>3</v>
      </c>
      <c r="K822">
        <v>39.6875</v>
      </c>
      <c r="L822">
        <f t="shared" si="61"/>
        <v>0</v>
      </c>
      <c r="M822">
        <f t="shared" si="62"/>
        <v>2</v>
      </c>
      <c r="N822" t="str">
        <f t="shared" si="63"/>
        <v>Child</v>
      </c>
      <c r="O822">
        <f t="shared" si="64"/>
        <v>39.69</v>
      </c>
    </row>
    <row r="823" spans="1:15" x14ac:dyDescent="0.3">
      <c r="A823">
        <v>822</v>
      </c>
      <c r="B823">
        <v>0</v>
      </c>
      <c r="C823" t="str">
        <f t="shared" si="60"/>
        <v>No</v>
      </c>
      <c r="D823" t="s">
        <v>956</v>
      </c>
      <c r="E823" t="s">
        <v>1794</v>
      </c>
      <c r="F823" t="str" cm="1">
        <f t="array" ref="F823">IF(OR(COUNTIF(D823,"*"&amp;Preprocessing!$T$9:$T$15&amp;"*")),"Female","Male")</f>
        <v>Male</v>
      </c>
      <c r="G823">
        <v>36</v>
      </c>
      <c r="H823">
        <v>0</v>
      </c>
      <c r="I823">
        <v>0</v>
      </c>
      <c r="J823">
        <v>3</v>
      </c>
      <c r="K823">
        <v>6.95</v>
      </c>
      <c r="L823">
        <f t="shared" si="61"/>
        <v>0</v>
      </c>
      <c r="M823">
        <f t="shared" si="62"/>
        <v>36</v>
      </c>
      <c r="N823" t="str">
        <f t="shared" si="63"/>
        <v>Adult</v>
      </c>
      <c r="O823">
        <f t="shared" si="64"/>
        <v>6.95</v>
      </c>
    </row>
    <row r="824" spans="1:15" x14ac:dyDescent="0.3">
      <c r="A824">
        <v>823</v>
      </c>
      <c r="B824">
        <v>0</v>
      </c>
      <c r="C824" t="str">
        <f t="shared" si="60"/>
        <v>No</v>
      </c>
      <c r="D824" t="s">
        <v>956</v>
      </c>
      <c r="E824" t="s">
        <v>1795</v>
      </c>
      <c r="F824" t="str" cm="1">
        <f t="array" ref="F824">IF(OR(COUNTIF(D824,"*"&amp;Preprocessing!$T$9:$T$15&amp;"*")),"Female","Male")</f>
        <v>Male</v>
      </c>
      <c r="G824">
        <v>23</v>
      </c>
      <c r="H824">
        <v>0</v>
      </c>
      <c r="I824">
        <v>0</v>
      </c>
      <c r="J824">
        <v>3</v>
      </c>
      <c r="K824">
        <v>56.495800000000003</v>
      </c>
      <c r="L824">
        <f t="shared" si="61"/>
        <v>0</v>
      </c>
      <c r="M824">
        <f t="shared" si="62"/>
        <v>23</v>
      </c>
      <c r="N824" t="str">
        <f t="shared" si="63"/>
        <v>Adult</v>
      </c>
      <c r="O824">
        <f t="shared" si="64"/>
        <v>56.5</v>
      </c>
    </row>
    <row r="825" spans="1:15" x14ac:dyDescent="0.3">
      <c r="A825">
        <v>824</v>
      </c>
      <c r="B825">
        <v>1</v>
      </c>
      <c r="C825" t="str">
        <f t="shared" si="60"/>
        <v>Yes</v>
      </c>
      <c r="D825" t="s">
        <v>966</v>
      </c>
      <c r="E825" t="s">
        <v>1796</v>
      </c>
      <c r="F825" t="str" cm="1">
        <f t="array" ref="F825">IF(OR(COUNTIF(D825,"*"&amp;Preprocessing!$T$9:$T$15&amp;"*")),"Female","Male")</f>
        <v>Male</v>
      </c>
      <c r="G825">
        <v>1</v>
      </c>
      <c r="H825">
        <v>0</v>
      </c>
      <c r="I825">
        <v>2</v>
      </c>
      <c r="J825">
        <v>2</v>
      </c>
      <c r="K825">
        <v>37.004199999999997</v>
      </c>
      <c r="L825">
        <f t="shared" si="61"/>
        <v>0</v>
      </c>
      <c r="M825">
        <f t="shared" si="62"/>
        <v>1</v>
      </c>
      <c r="N825" t="str">
        <f t="shared" si="63"/>
        <v>Child</v>
      </c>
      <c r="O825">
        <f t="shared" si="64"/>
        <v>37</v>
      </c>
    </row>
    <row r="826" spans="1:15" x14ac:dyDescent="0.3">
      <c r="A826">
        <v>825</v>
      </c>
      <c r="B826">
        <v>1</v>
      </c>
      <c r="C826" t="str">
        <f t="shared" si="60"/>
        <v>Yes</v>
      </c>
      <c r="D826" t="s">
        <v>956</v>
      </c>
      <c r="E826" t="s">
        <v>1797</v>
      </c>
      <c r="F826" t="str" cm="1">
        <f t="array" ref="F826">IF(OR(COUNTIF(D826,"*"&amp;Preprocessing!$T$9:$T$15&amp;"*")),"Female","Male")</f>
        <v>Male</v>
      </c>
      <c r="G826">
        <v>19</v>
      </c>
      <c r="H826">
        <v>0</v>
      </c>
      <c r="I826">
        <v>0</v>
      </c>
      <c r="J826">
        <v>3</v>
      </c>
      <c r="K826">
        <v>7.75</v>
      </c>
      <c r="L826">
        <f t="shared" si="61"/>
        <v>0</v>
      </c>
      <c r="M826">
        <f t="shared" si="62"/>
        <v>19</v>
      </c>
      <c r="N826" t="str">
        <f t="shared" si="63"/>
        <v>Adult</v>
      </c>
      <c r="O826">
        <f t="shared" si="64"/>
        <v>7.75</v>
      </c>
    </row>
    <row r="827" spans="1:15" x14ac:dyDescent="0.3">
      <c r="A827">
        <v>826</v>
      </c>
      <c r="B827">
        <v>1</v>
      </c>
      <c r="C827" t="str">
        <f t="shared" si="60"/>
        <v>Yes</v>
      </c>
      <c r="D827" t="s">
        <v>958</v>
      </c>
      <c r="E827" t="s">
        <v>1798</v>
      </c>
      <c r="F827" t="str" cm="1">
        <f t="array" ref="F827">IF(OR(COUNTIF(D827,"*"&amp;Preprocessing!$T$9:$T$15&amp;"*")),"Female","Male")</f>
        <v>Female</v>
      </c>
      <c r="G827">
        <v>62</v>
      </c>
      <c r="H827">
        <v>0</v>
      </c>
      <c r="I827">
        <v>0</v>
      </c>
      <c r="J827">
        <v>1</v>
      </c>
      <c r="K827">
        <v>80</v>
      </c>
      <c r="L827">
        <f t="shared" si="61"/>
        <v>1</v>
      </c>
      <c r="M827">
        <f t="shared" si="62"/>
        <v>62</v>
      </c>
      <c r="N827" t="str">
        <f t="shared" si="63"/>
        <v>Adult</v>
      </c>
      <c r="O827">
        <f t="shared" si="64"/>
        <v>80</v>
      </c>
    </row>
    <row r="828" spans="1:15" x14ac:dyDescent="0.3">
      <c r="A828">
        <v>827</v>
      </c>
      <c r="B828">
        <v>1</v>
      </c>
      <c r="C828" t="str">
        <f t="shared" si="60"/>
        <v>Yes</v>
      </c>
      <c r="D828" t="s">
        <v>958</v>
      </c>
      <c r="E828" t="s">
        <v>1799</v>
      </c>
      <c r="F828" t="str" cm="1">
        <f t="array" ref="F828">IF(OR(COUNTIF(D828,"*"&amp;Preprocessing!$T$9:$T$15&amp;"*")),"Female","Male")</f>
        <v>Female</v>
      </c>
      <c r="G828">
        <v>15</v>
      </c>
      <c r="H828">
        <v>1</v>
      </c>
      <c r="I828">
        <v>0</v>
      </c>
      <c r="J828">
        <v>3</v>
      </c>
      <c r="K828">
        <v>14.4542</v>
      </c>
      <c r="L828">
        <f t="shared" si="61"/>
        <v>1</v>
      </c>
      <c r="M828">
        <f t="shared" si="62"/>
        <v>15</v>
      </c>
      <c r="N828" t="str">
        <f t="shared" si="63"/>
        <v>Child</v>
      </c>
      <c r="O828">
        <f t="shared" si="64"/>
        <v>14.45</v>
      </c>
    </row>
    <row r="829" spans="1:15" x14ac:dyDescent="0.3">
      <c r="A829">
        <v>828</v>
      </c>
      <c r="B829">
        <v>1</v>
      </c>
      <c r="C829" t="str">
        <f t="shared" si="60"/>
        <v>Yes</v>
      </c>
      <c r="D829" t="s">
        <v>966</v>
      </c>
      <c r="E829" t="s">
        <v>1800</v>
      </c>
      <c r="F829" t="str" cm="1">
        <f t="array" ref="F829">IF(OR(COUNTIF(D829,"*"&amp;Preprocessing!$T$9:$T$15&amp;"*")),"Female","Male")</f>
        <v>Male</v>
      </c>
      <c r="G829">
        <v>0.83</v>
      </c>
      <c r="H829">
        <v>1</v>
      </c>
      <c r="I829">
        <v>1</v>
      </c>
      <c r="J829">
        <v>2</v>
      </c>
      <c r="K829">
        <v>18.75</v>
      </c>
      <c r="L829">
        <f t="shared" si="61"/>
        <v>0</v>
      </c>
      <c r="M829">
        <f t="shared" si="62"/>
        <v>1</v>
      </c>
      <c r="N829" t="str">
        <f t="shared" si="63"/>
        <v>Child</v>
      </c>
      <c r="O829">
        <f t="shared" si="64"/>
        <v>18.75</v>
      </c>
    </row>
    <row r="830" spans="1:15" x14ac:dyDescent="0.3">
      <c r="A830">
        <v>829</v>
      </c>
      <c r="B830">
        <v>0</v>
      </c>
      <c r="C830" t="str">
        <f t="shared" si="60"/>
        <v>No</v>
      </c>
      <c r="D830" t="s">
        <v>956</v>
      </c>
      <c r="E830" t="s">
        <v>1801</v>
      </c>
      <c r="F830" t="str" cm="1">
        <f t="array" ref="F830">IF(OR(COUNTIF(D830,"*"&amp;Preprocessing!$T$9:$T$15&amp;"*")),"Female","Male")</f>
        <v>Male</v>
      </c>
      <c r="G830">
        <v>30</v>
      </c>
      <c r="H830">
        <v>0</v>
      </c>
      <c r="I830">
        <v>0</v>
      </c>
      <c r="J830">
        <v>3</v>
      </c>
      <c r="K830">
        <v>7.2291999999999996</v>
      </c>
      <c r="L830">
        <f t="shared" si="61"/>
        <v>0</v>
      </c>
      <c r="M830">
        <f t="shared" si="62"/>
        <v>30</v>
      </c>
      <c r="N830" t="str">
        <f t="shared" si="63"/>
        <v>Adult</v>
      </c>
      <c r="O830">
        <f t="shared" si="64"/>
        <v>7.23</v>
      </c>
    </row>
    <row r="831" spans="1:15" x14ac:dyDescent="0.3">
      <c r="A831">
        <v>830</v>
      </c>
      <c r="B831">
        <v>0</v>
      </c>
      <c r="C831" t="str">
        <f t="shared" si="60"/>
        <v>No</v>
      </c>
      <c r="D831" t="s">
        <v>956</v>
      </c>
      <c r="E831" t="s">
        <v>1802</v>
      </c>
      <c r="F831" t="str" cm="1">
        <f t="array" ref="F831">IF(OR(COUNTIF(D831,"*"&amp;Preprocessing!$T$9:$T$15&amp;"*")),"Female","Male")</f>
        <v>Male</v>
      </c>
      <c r="G831">
        <v>23</v>
      </c>
      <c r="H831">
        <v>0</v>
      </c>
      <c r="I831">
        <v>0</v>
      </c>
      <c r="J831">
        <v>3</v>
      </c>
      <c r="K831">
        <v>7.8541999999999996</v>
      </c>
      <c r="L831">
        <f t="shared" si="61"/>
        <v>0</v>
      </c>
      <c r="M831">
        <f t="shared" si="62"/>
        <v>23</v>
      </c>
      <c r="N831" t="str">
        <f t="shared" si="63"/>
        <v>Adult</v>
      </c>
      <c r="O831">
        <f t="shared" si="64"/>
        <v>7.85</v>
      </c>
    </row>
    <row r="832" spans="1:15" x14ac:dyDescent="0.3">
      <c r="A832">
        <v>831</v>
      </c>
      <c r="B832">
        <v>0</v>
      </c>
      <c r="C832" t="str">
        <f t="shared" si="60"/>
        <v>No</v>
      </c>
      <c r="D832" t="s">
        <v>956</v>
      </c>
      <c r="E832" t="s">
        <v>1803</v>
      </c>
      <c r="F832" t="str" cm="1">
        <f t="array" ref="F832">IF(OR(COUNTIF(D832,"*"&amp;Preprocessing!$T$9:$T$15&amp;"*")),"Female","Male")</f>
        <v>Male</v>
      </c>
      <c r="G832">
        <v>18</v>
      </c>
      <c r="H832">
        <v>0</v>
      </c>
      <c r="I832">
        <v>0</v>
      </c>
      <c r="J832">
        <v>3</v>
      </c>
      <c r="K832">
        <v>8.3000000000000007</v>
      </c>
      <c r="L832">
        <f t="shared" si="61"/>
        <v>0</v>
      </c>
      <c r="M832">
        <f t="shared" si="62"/>
        <v>18</v>
      </c>
      <c r="N832" t="str">
        <f t="shared" si="63"/>
        <v>Adult</v>
      </c>
      <c r="O832">
        <f t="shared" si="64"/>
        <v>8.3000000000000007</v>
      </c>
    </row>
    <row r="833" spans="1:15" x14ac:dyDescent="0.3">
      <c r="A833">
        <v>832</v>
      </c>
      <c r="B833">
        <v>1</v>
      </c>
      <c r="C833" t="str">
        <f t="shared" si="60"/>
        <v>Yes</v>
      </c>
      <c r="D833" t="s">
        <v>960</v>
      </c>
      <c r="E833" t="s">
        <v>1804</v>
      </c>
      <c r="F833" t="str" cm="1">
        <f t="array" ref="F833">IF(OR(COUNTIF(D833,"*"&amp;Preprocessing!$T$9:$T$15&amp;"*")),"Female","Male")</f>
        <v>Female</v>
      </c>
      <c r="G833">
        <v>39</v>
      </c>
      <c r="H833">
        <v>1</v>
      </c>
      <c r="I833">
        <v>1</v>
      </c>
      <c r="J833">
        <v>1</v>
      </c>
      <c r="K833">
        <v>83.158299999999997</v>
      </c>
      <c r="L833">
        <f t="shared" si="61"/>
        <v>1</v>
      </c>
      <c r="M833">
        <f t="shared" si="62"/>
        <v>39</v>
      </c>
      <c r="N833" t="str">
        <f t="shared" si="63"/>
        <v>Adult</v>
      </c>
      <c r="O833">
        <f t="shared" si="64"/>
        <v>83.16</v>
      </c>
    </row>
    <row r="834" spans="1:15" x14ac:dyDescent="0.3">
      <c r="A834">
        <v>833</v>
      </c>
      <c r="B834">
        <v>0</v>
      </c>
      <c r="C834" t="str">
        <f t="shared" si="60"/>
        <v>No</v>
      </c>
      <c r="D834" t="s">
        <v>956</v>
      </c>
      <c r="E834" t="s">
        <v>1805</v>
      </c>
      <c r="F834" t="str" cm="1">
        <f t="array" ref="F834">IF(OR(COUNTIF(D834,"*"&amp;Preprocessing!$T$9:$T$15&amp;"*")),"Female","Male")</f>
        <v>Male</v>
      </c>
      <c r="G834">
        <v>21</v>
      </c>
      <c r="H834">
        <v>0</v>
      </c>
      <c r="I834">
        <v>0</v>
      </c>
      <c r="J834">
        <v>3</v>
      </c>
      <c r="K834">
        <v>8.6624999999999996</v>
      </c>
      <c r="L834">
        <f t="shared" si="61"/>
        <v>0</v>
      </c>
      <c r="M834">
        <f t="shared" si="62"/>
        <v>21</v>
      </c>
      <c r="N834" t="str">
        <f t="shared" si="63"/>
        <v>Adult</v>
      </c>
      <c r="O834">
        <f t="shared" si="64"/>
        <v>8.66</v>
      </c>
    </row>
    <row r="835" spans="1:15" x14ac:dyDescent="0.3">
      <c r="A835">
        <v>834</v>
      </c>
      <c r="B835">
        <v>0</v>
      </c>
      <c r="C835" t="str">
        <f t="shared" ref="C835:C888" si="65">IF(B835=0,"No","Yes")</f>
        <v>No</v>
      </c>
      <c r="D835" t="s">
        <v>956</v>
      </c>
      <c r="E835" t="s">
        <v>1806</v>
      </c>
      <c r="F835" t="str" cm="1">
        <f t="array" ref="F835">IF(OR(COUNTIF(D835,"*"&amp;Preprocessing!$T$9:$T$15&amp;"*")),"Female","Male")</f>
        <v>Male</v>
      </c>
      <c r="G835">
        <v>20</v>
      </c>
      <c r="H835">
        <v>0</v>
      </c>
      <c r="I835">
        <v>0</v>
      </c>
      <c r="J835">
        <v>3</v>
      </c>
      <c r="K835">
        <v>8.0500000000000007</v>
      </c>
      <c r="L835">
        <f t="shared" ref="L835:L888" si="66">IF(F835 = "Male", 0, 1)</f>
        <v>0</v>
      </c>
      <c r="M835">
        <f t="shared" ref="M835:M888" si="67">ROUND(G835, 0)</f>
        <v>20</v>
      </c>
      <c r="N835" t="str">
        <f t="shared" ref="N835:N888" si="68">IF(G835&lt;=16,"Child","Adult")</f>
        <v>Adult</v>
      </c>
      <c r="O835">
        <f t="shared" ref="O835:O888" si="69">ROUND(K835, 2)</f>
        <v>8.0500000000000007</v>
      </c>
    </row>
    <row r="836" spans="1:15" x14ac:dyDescent="0.3">
      <c r="A836">
        <v>835</v>
      </c>
      <c r="B836">
        <v>1</v>
      </c>
      <c r="C836" t="str">
        <f t="shared" si="65"/>
        <v>Yes</v>
      </c>
      <c r="D836" t="s">
        <v>956</v>
      </c>
      <c r="E836" t="s">
        <v>1807</v>
      </c>
      <c r="F836" t="str" cm="1">
        <f t="array" ref="F836">IF(OR(COUNTIF(D836,"*"&amp;Preprocessing!$T$9:$T$15&amp;"*")),"Female","Male")</f>
        <v>Male</v>
      </c>
      <c r="G836">
        <v>32</v>
      </c>
      <c r="H836">
        <v>0</v>
      </c>
      <c r="I836">
        <v>0</v>
      </c>
      <c r="J836">
        <v>3</v>
      </c>
      <c r="K836">
        <v>56.495800000000003</v>
      </c>
      <c r="L836">
        <f t="shared" si="66"/>
        <v>0</v>
      </c>
      <c r="M836">
        <f t="shared" si="67"/>
        <v>32</v>
      </c>
      <c r="N836" t="str">
        <f t="shared" si="68"/>
        <v>Adult</v>
      </c>
      <c r="O836">
        <f t="shared" si="69"/>
        <v>56.5</v>
      </c>
    </row>
    <row r="837" spans="1:15" x14ac:dyDescent="0.3">
      <c r="A837">
        <v>836</v>
      </c>
      <c r="B837">
        <v>1</v>
      </c>
      <c r="C837" t="str">
        <f t="shared" si="65"/>
        <v>Yes</v>
      </c>
      <c r="D837" t="s">
        <v>956</v>
      </c>
      <c r="E837" t="s">
        <v>1808</v>
      </c>
      <c r="F837" t="str" cm="1">
        <f t="array" ref="F837">IF(OR(COUNTIF(D837,"*"&amp;Preprocessing!$T$9:$T$15&amp;"*")),"Female","Male")</f>
        <v>Male</v>
      </c>
      <c r="G837">
        <v>29</v>
      </c>
      <c r="H837">
        <v>0</v>
      </c>
      <c r="I837">
        <v>0</v>
      </c>
      <c r="J837">
        <v>1</v>
      </c>
      <c r="K837">
        <v>29.7</v>
      </c>
      <c r="L837">
        <f t="shared" si="66"/>
        <v>0</v>
      </c>
      <c r="M837">
        <f t="shared" si="67"/>
        <v>29</v>
      </c>
      <c r="N837" t="str">
        <f t="shared" si="68"/>
        <v>Adult</v>
      </c>
      <c r="O837">
        <f t="shared" si="69"/>
        <v>29.7</v>
      </c>
    </row>
    <row r="838" spans="1:15" x14ac:dyDescent="0.3">
      <c r="A838">
        <v>837</v>
      </c>
      <c r="B838">
        <v>0</v>
      </c>
      <c r="C838" t="str">
        <f t="shared" si="65"/>
        <v>No</v>
      </c>
      <c r="D838" t="s">
        <v>956</v>
      </c>
      <c r="E838" t="s">
        <v>1809</v>
      </c>
      <c r="F838" t="str" cm="1">
        <f t="array" ref="F838">IF(OR(COUNTIF(D838,"*"&amp;Preprocessing!$T$9:$T$15&amp;"*")),"Female","Male")</f>
        <v>Male</v>
      </c>
      <c r="G838">
        <v>20</v>
      </c>
      <c r="H838">
        <v>0</v>
      </c>
      <c r="I838">
        <v>0</v>
      </c>
      <c r="J838">
        <v>3</v>
      </c>
      <c r="K838">
        <v>7.9249999999999998</v>
      </c>
      <c r="L838">
        <f t="shared" si="66"/>
        <v>0</v>
      </c>
      <c r="M838">
        <f t="shared" si="67"/>
        <v>20</v>
      </c>
      <c r="N838" t="str">
        <f t="shared" si="68"/>
        <v>Adult</v>
      </c>
      <c r="O838">
        <f t="shared" si="69"/>
        <v>7.93</v>
      </c>
    </row>
    <row r="839" spans="1:15" x14ac:dyDescent="0.3">
      <c r="A839">
        <v>838</v>
      </c>
      <c r="B839">
        <v>0</v>
      </c>
      <c r="C839" t="str">
        <f t="shared" si="65"/>
        <v>No</v>
      </c>
      <c r="D839" t="s">
        <v>956</v>
      </c>
      <c r="E839" t="s">
        <v>1810</v>
      </c>
      <c r="F839" t="str" cm="1">
        <f t="array" ref="F839">IF(OR(COUNTIF(D839,"*"&amp;Preprocessing!$T$9:$T$15&amp;"*")),"Female","Male")</f>
        <v>Male</v>
      </c>
      <c r="G839">
        <v>16</v>
      </c>
      <c r="H839">
        <v>0</v>
      </c>
      <c r="I839">
        <v>0</v>
      </c>
      <c r="J839">
        <v>2</v>
      </c>
      <c r="K839">
        <v>10.5</v>
      </c>
      <c r="L839">
        <f t="shared" si="66"/>
        <v>0</v>
      </c>
      <c r="M839">
        <f t="shared" si="67"/>
        <v>16</v>
      </c>
      <c r="N839" t="str">
        <f t="shared" si="68"/>
        <v>Child</v>
      </c>
      <c r="O839">
        <f t="shared" si="69"/>
        <v>10.5</v>
      </c>
    </row>
    <row r="840" spans="1:15" x14ac:dyDescent="0.3">
      <c r="A840">
        <v>839</v>
      </c>
      <c r="B840">
        <v>1</v>
      </c>
      <c r="C840" t="str">
        <f t="shared" si="65"/>
        <v>Yes</v>
      </c>
      <c r="D840" t="s">
        <v>960</v>
      </c>
      <c r="E840" t="s">
        <v>1811</v>
      </c>
      <c r="F840" t="str" cm="1">
        <f t="array" ref="F840">IF(OR(COUNTIF(D840,"*"&amp;Preprocessing!$T$9:$T$15&amp;"*")),"Female","Male")</f>
        <v>Female</v>
      </c>
      <c r="G840">
        <v>30</v>
      </c>
      <c r="H840">
        <v>0</v>
      </c>
      <c r="I840">
        <v>0</v>
      </c>
      <c r="J840">
        <v>1</v>
      </c>
      <c r="K840">
        <v>31</v>
      </c>
      <c r="L840">
        <f t="shared" si="66"/>
        <v>1</v>
      </c>
      <c r="M840">
        <f t="shared" si="67"/>
        <v>30</v>
      </c>
      <c r="N840" t="str">
        <f t="shared" si="68"/>
        <v>Adult</v>
      </c>
      <c r="O840">
        <f t="shared" si="69"/>
        <v>31</v>
      </c>
    </row>
    <row r="841" spans="1:15" x14ac:dyDescent="0.3">
      <c r="A841">
        <v>840</v>
      </c>
      <c r="B841">
        <v>0</v>
      </c>
      <c r="C841" t="str">
        <f t="shared" si="65"/>
        <v>No</v>
      </c>
      <c r="D841" t="s">
        <v>956</v>
      </c>
      <c r="E841" t="s">
        <v>1812</v>
      </c>
      <c r="F841" t="str" cm="1">
        <f t="array" ref="F841">IF(OR(COUNTIF(D841,"*"&amp;Preprocessing!$T$9:$T$15&amp;"*")),"Female","Male")</f>
        <v>Male</v>
      </c>
      <c r="G841">
        <v>34.5</v>
      </c>
      <c r="H841">
        <v>0</v>
      </c>
      <c r="I841">
        <v>0</v>
      </c>
      <c r="J841">
        <v>3</v>
      </c>
      <c r="K841">
        <v>6.4375</v>
      </c>
      <c r="L841">
        <f t="shared" si="66"/>
        <v>0</v>
      </c>
      <c r="M841">
        <f t="shared" si="67"/>
        <v>35</v>
      </c>
      <c r="N841" t="str">
        <f t="shared" si="68"/>
        <v>Adult</v>
      </c>
      <c r="O841">
        <f t="shared" si="69"/>
        <v>6.44</v>
      </c>
    </row>
    <row r="842" spans="1:15" x14ac:dyDescent="0.3">
      <c r="A842">
        <v>841</v>
      </c>
      <c r="B842">
        <v>0</v>
      </c>
      <c r="C842" t="str">
        <f t="shared" si="65"/>
        <v>No</v>
      </c>
      <c r="D842" t="s">
        <v>956</v>
      </c>
      <c r="E842" t="s">
        <v>1813</v>
      </c>
      <c r="F842" t="str" cm="1">
        <f t="array" ref="F842">IF(OR(COUNTIF(D842,"*"&amp;Preprocessing!$T$9:$T$15&amp;"*")),"Female","Male")</f>
        <v>Male</v>
      </c>
      <c r="G842">
        <v>17</v>
      </c>
      <c r="H842">
        <v>0</v>
      </c>
      <c r="I842">
        <v>0</v>
      </c>
      <c r="J842">
        <v>3</v>
      </c>
      <c r="K842">
        <v>8.6624999999999996</v>
      </c>
      <c r="L842">
        <f t="shared" si="66"/>
        <v>0</v>
      </c>
      <c r="M842">
        <f t="shared" si="67"/>
        <v>17</v>
      </c>
      <c r="N842" t="str">
        <f t="shared" si="68"/>
        <v>Adult</v>
      </c>
      <c r="O842">
        <f t="shared" si="69"/>
        <v>8.66</v>
      </c>
    </row>
    <row r="843" spans="1:15" x14ac:dyDescent="0.3">
      <c r="A843">
        <v>842</v>
      </c>
      <c r="B843">
        <v>0</v>
      </c>
      <c r="C843" t="str">
        <f t="shared" si="65"/>
        <v>No</v>
      </c>
      <c r="D843" t="s">
        <v>956</v>
      </c>
      <c r="E843" t="s">
        <v>1814</v>
      </c>
      <c r="F843" t="str" cm="1">
        <f t="array" ref="F843">IF(OR(COUNTIF(D843,"*"&amp;Preprocessing!$T$9:$T$15&amp;"*")),"Female","Male")</f>
        <v>Male</v>
      </c>
      <c r="G843">
        <v>42</v>
      </c>
      <c r="H843">
        <v>0</v>
      </c>
      <c r="I843">
        <v>0</v>
      </c>
      <c r="J843">
        <v>3</v>
      </c>
      <c r="K843">
        <v>7.55</v>
      </c>
      <c r="L843">
        <f t="shared" si="66"/>
        <v>0</v>
      </c>
      <c r="M843">
        <f t="shared" si="67"/>
        <v>42</v>
      </c>
      <c r="N843" t="str">
        <f t="shared" si="68"/>
        <v>Adult</v>
      </c>
      <c r="O843">
        <f t="shared" si="69"/>
        <v>7.55</v>
      </c>
    </row>
    <row r="844" spans="1:15" x14ac:dyDescent="0.3">
      <c r="A844">
        <v>843</v>
      </c>
      <c r="B844">
        <v>0</v>
      </c>
      <c r="C844" t="str">
        <f t="shared" si="65"/>
        <v>No</v>
      </c>
      <c r="D844" t="s">
        <v>956</v>
      </c>
      <c r="E844" t="s">
        <v>1815</v>
      </c>
      <c r="F844" t="str" cm="1">
        <f t="array" ref="F844">IF(OR(COUNTIF(D844,"*"&amp;Preprocessing!$T$9:$T$15&amp;"*")),"Female","Male")</f>
        <v>Male</v>
      </c>
      <c r="G844">
        <v>18</v>
      </c>
      <c r="H844">
        <v>8</v>
      </c>
      <c r="I844">
        <v>2</v>
      </c>
      <c r="J844">
        <v>3</v>
      </c>
      <c r="K844">
        <v>69.55</v>
      </c>
      <c r="L844">
        <f t="shared" si="66"/>
        <v>0</v>
      </c>
      <c r="M844">
        <f t="shared" si="67"/>
        <v>18</v>
      </c>
      <c r="N844" t="str">
        <f t="shared" si="68"/>
        <v>Adult</v>
      </c>
      <c r="O844">
        <f t="shared" si="69"/>
        <v>69.55</v>
      </c>
    </row>
    <row r="845" spans="1:15" x14ac:dyDescent="0.3">
      <c r="A845">
        <v>844</v>
      </c>
      <c r="B845">
        <v>0</v>
      </c>
      <c r="C845" t="str">
        <f t="shared" si="65"/>
        <v>No</v>
      </c>
      <c r="D845" t="s">
        <v>956</v>
      </c>
      <c r="E845" t="s">
        <v>1816</v>
      </c>
      <c r="F845" t="str" cm="1">
        <f t="array" ref="F845">IF(OR(COUNTIF(D845,"*"&amp;Preprocessing!$T$9:$T$15&amp;"*")),"Female","Male")</f>
        <v>Male</v>
      </c>
      <c r="G845">
        <v>35</v>
      </c>
      <c r="H845">
        <v>0</v>
      </c>
      <c r="I845">
        <v>0</v>
      </c>
      <c r="J845">
        <v>3</v>
      </c>
      <c r="K845">
        <v>7.8958000000000004</v>
      </c>
      <c r="L845">
        <f t="shared" si="66"/>
        <v>0</v>
      </c>
      <c r="M845">
        <f t="shared" si="67"/>
        <v>35</v>
      </c>
      <c r="N845" t="str">
        <f t="shared" si="68"/>
        <v>Adult</v>
      </c>
      <c r="O845">
        <f t="shared" si="69"/>
        <v>7.9</v>
      </c>
    </row>
    <row r="846" spans="1:15" x14ac:dyDescent="0.3">
      <c r="A846">
        <v>845</v>
      </c>
      <c r="B846">
        <v>0</v>
      </c>
      <c r="C846" t="str">
        <f t="shared" si="65"/>
        <v>No</v>
      </c>
      <c r="D846" t="s">
        <v>1109</v>
      </c>
      <c r="E846" t="s">
        <v>1817</v>
      </c>
      <c r="F846" t="str" cm="1">
        <f t="array" ref="F846">IF(OR(COUNTIF(D846,"*"&amp;Preprocessing!$T$9:$T$15&amp;"*")),"Female","Male")</f>
        <v>Male</v>
      </c>
      <c r="G846">
        <v>28</v>
      </c>
      <c r="H846">
        <v>0</v>
      </c>
      <c r="I846">
        <v>1</v>
      </c>
      <c r="J846">
        <v>2</v>
      </c>
      <c r="K846">
        <v>33</v>
      </c>
      <c r="L846">
        <f t="shared" si="66"/>
        <v>0</v>
      </c>
      <c r="M846">
        <f t="shared" si="67"/>
        <v>28</v>
      </c>
      <c r="N846" t="str">
        <f t="shared" si="68"/>
        <v>Adult</v>
      </c>
      <c r="O846">
        <f t="shared" si="69"/>
        <v>33</v>
      </c>
    </row>
    <row r="847" spans="1:15" x14ac:dyDescent="0.3">
      <c r="A847">
        <v>846</v>
      </c>
      <c r="B847">
        <v>1</v>
      </c>
      <c r="C847" t="str">
        <f t="shared" si="65"/>
        <v>Yes</v>
      </c>
      <c r="D847" t="s">
        <v>958</v>
      </c>
      <c r="E847" t="s">
        <v>1818</v>
      </c>
      <c r="F847" t="str" cm="1">
        <f t="array" ref="F847">IF(OR(COUNTIF(D847,"*"&amp;Preprocessing!$T$9:$T$15&amp;"*")),"Female","Male")</f>
        <v>Female</v>
      </c>
      <c r="G847">
        <v>40</v>
      </c>
      <c r="H847">
        <v>1</v>
      </c>
      <c r="I847">
        <v>0</v>
      </c>
      <c r="J847">
        <v>1</v>
      </c>
      <c r="K847">
        <v>89.104200000000006</v>
      </c>
      <c r="L847">
        <f t="shared" si="66"/>
        <v>1</v>
      </c>
      <c r="M847">
        <f t="shared" si="67"/>
        <v>40</v>
      </c>
      <c r="N847" t="str">
        <f t="shared" si="68"/>
        <v>Adult</v>
      </c>
      <c r="O847">
        <f t="shared" si="69"/>
        <v>89.1</v>
      </c>
    </row>
    <row r="848" spans="1:15" x14ac:dyDescent="0.3">
      <c r="A848">
        <v>847</v>
      </c>
      <c r="B848">
        <v>0</v>
      </c>
      <c r="C848" t="str">
        <f t="shared" si="65"/>
        <v>No</v>
      </c>
      <c r="D848" t="s">
        <v>966</v>
      </c>
      <c r="E848" t="s">
        <v>1819</v>
      </c>
      <c r="F848" t="str" cm="1">
        <f t="array" ref="F848">IF(OR(COUNTIF(D848,"*"&amp;Preprocessing!$T$9:$T$15&amp;"*")),"Female","Male")</f>
        <v>Male</v>
      </c>
      <c r="G848">
        <v>4</v>
      </c>
      <c r="H848">
        <v>4</v>
      </c>
      <c r="I848">
        <v>2</v>
      </c>
      <c r="J848">
        <v>3</v>
      </c>
      <c r="K848">
        <v>31.274999999999999</v>
      </c>
      <c r="L848">
        <f t="shared" si="66"/>
        <v>0</v>
      </c>
      <c r="M848">
        <f t="shared" si="67"/>
        <v>4</v>
      </c>
      <c r="N848" t="str">
        <f t="shared" si="68"/>
        <v>Child</v>
      </c>
      <c r="O848">
        <f t="shared" si="69"/>
        <v>31.28</v>
      </c>
    </row>
    <row r="849" spans="1:15" x14ac:dyDescent="0.3">
      <c r="A849">
        <v>848</v>
      </c>
      <c r="B849">
        <v>0</v>
      </c>
      <c r="C849" t="str">
        <f t="shared" si="65"/>
        <v>No</v>
      </c>
      <c r="D849" t="s">
        <v>956</v>
      </c>
      <c r="E849" t="s">
        <v>1820</v>
      </c>
      <c r="F849" t="str" cm="1">
        <f t="array" ref="F849">IF(OR(COUNTIF(D849,"*"&amp;Preprocessing!$T$9:$T$15&amp;"*")),"Female","Male")</f>
        <v>Male</v>
      </c>
      <c r="G849">
        <v>74</v>
      </c>
      <c r="H849">
        <v>0</v>
      </c>
      <c r="I849">
        <v>0</v>
      </c>
      <c r="J849">
        <v>3</v>
      </c>
      <c r="K849">
        <v>7.7750000000000004</v>
      </c>
      <c r="L849">
        <f t="shared" si="66"/>
        <v>0</v>
      </c>
      <c r="M849">
        <f t="shared" si="67"/>
        <v>74</v>
      </c>
      <c r="N849" t="str">
        <f t="shared" si="68"/>
        <v>Adult</v>
      </c>
      <c r="O849">
        <f t="shared" si="69"/>
        <v>7.78</v>
      </c>
    </row>
    <row r="850" spans="1:15" x14ac:dyDescent="0.3">
      <c r="A850">
        <v>849</v>
      </c>
      <c r="B850">
        <v>0</v>
      </c>
      <c r="C850" t="str">
        <f t="shared" si="65"/>
        <v>No</v>
      </c>
      <c r="D850" t="s">
        <v>960</v>
      </c>
      <c r="E850" t="s">
        <v>1821</v>
      </c>
      <c r="F850" t="str" cm="1">
        <f t="array" ref="F850">IF(OR(COUNTIF(D850,"*"&amp;Preprocessing!$T$9:$T$15&amp;"*")),"Female","Male")</f>
        <v>Female</v>
      </c>
      <c r="G850">
        <v>9</v>
      </c>
      <c r="H850">
        <v>1</v>
      </c>
      <c r="I850">
        <v>1</v>
      </c>
      <c r="J850">
        <v>3</v>
      </c>
      <c r="K850">
        <v>15.245799999999999</v>
      </c>
      <c r="L850">
        <f t="shared" si="66"/>
        <v>1</v>
      </c>
      <c r="M850">
        <f t="shared" si="67"/>
        <v>9</v>
      </c>
      <c r="N850" t="str">
        <f t="shared" si="68"/>
        <v>Child</v>
      </c>
      <c r="O850">
        <f t="shared" si="69"/>
        <v>15.25</v>
      </c>
    </row>
    <row r="851" spans="1:15" x14ac:dyDescent="0.3">
      <c r="A851">
        <v>850</v>
      </c>
      <c r="B851">
        <v>1</v>
      </c>
      <c r="C851" t="str">
        <f t="shared" si="65"/>
        <v>Yes</v>
      </c>
      <c r="D851" t="s">
        <v>960</v>
      </c>
      <c r="E851" t="s">
        <v>1822</v>
      </c>
      <c r="F851" t="str" cm="1">
        <f t="array" ref="F851">IF(OR(COUNTIF(D851,"*"&amp;Preprocessing!$T$9:$T$15&amp;"*")),"Female","Male")</f>
        <v>Female</v>
      </c>
      <c r="G851">
        <v>16</v>
      </c>
      <c r="H851">
        <v>0</v>
      </c>
      <c r="I851">
        <v>1</v>
      </c>
      <c r="J851">
        <v>1</v>
      </c>
      <c r="K851">
        <v>39.4</v>
      </c>
      <c r="L851">
        <f t="shared" si="66"/>
        <v>1</v>
      </c>
      <c r="M851">
        <f t="shared" si="67"/>
        <v>16</v>
      </c>
      <c r="N851" t="str">
        <f t="shared" si="68"/>
        <v>Child</v>
      </c>
      <c r="O851">
        <f t="shared" si="69"/>
        <v>39.4</v>
      </c>
    </row>
    <row r="852" spans="1:15" x14ac:dyDescent="0.3">
      <c r="A852">
        <v>851</v>
      </c>
      <c r="B852">
        <v>0</v>
      </c>
      <c r="C852" t="str">
        <f t="shared" si="65"/>
        <v>No</v>
      </c>
      <c r="D852" t="s">
        <v>958</v>
      </c>
      <c r="E852" t="s">
        <v>1823</v>
      </c>
      <c r="F852" t="str" cm="1">
        <f t="array" ref="F852">IF(OR(COUNTIF(D852,"*"&amp;Preprocessing!$T$9:$T$15&amp;"*")),"Female","Male")</f>
        <v>Female</v>
      </c>
      <c r="G852">
        <v>44</v>
      </c>
      <c r="H852">
        <v>1</v>
      </c>
      <c r="I852">
        <v>0</v>
      </c>
      <c r="J852">
        <v>2</v>
      </c>
      <c r="K852">
        <v>26</v>
      </c>
      <c r="L852">
        <f t="shared" si="66"/>
        <v>1</v>
      </c>
      <c r="M852">
        <f t="shared" si="67"/>
        <v>44</v>
      </c>
      <c r="N852" t="str">
        <f t="shared" si="68"/>
        <v>Adult</v>
      </c>
      <c r="O852">
        <f t="shared" si="69"/>
        <v>26</v>
      </c>
    </row>
    <row r="853" spans="1:15" x14ac:dyDescent="0.3">
      <c r="A853">
        <v>852</v>
      </c>
      <c r="B853">
        <v>1</v>
      </c>
      <c r="C853" t="str">
        <f t="shared" si="65"/>
        <v>Yes</v>
      </c>
      <c r="D853" t="s">
        <v>958</v>
      </c>
      <c r="E853" t="s">
        <v>1824</v>
      </c>
      <c r="F853" t="str" cm="1">
        <f t="array" ref="F853">IF(OR(COUNTIF(D853,"*"&amp;Preprocessing!$T$9:$T$15&amp;"*")),"Female","Male")</f>
        <v>Female</v>
      </c>
      <c r="G853">
        <v>18</v>
      </c>
      <c r="H853">
        <v>0</v>
      </c>
      <c r="I853">
        <v>1</v>
      </c>
      <c r="J853">
        <v>3</v>
      </c>
      <c r="K853">
        <v>9.35</v>
      </c>
      <c r="L853">
        <f t="shared" si="66"/>
        <v>1</v>
      </c>
      <c r="M853">
        <f t="shared" si="67"/>
        <v>18</v>
      </c>
      <c r="N853" t="str">
        <f t="shared" si="68"/>
        <v>Adult</v>
      </c>
      <c r="O853">
        <f t="shared" si="69"/>
        <v>9.35</v>
      </c>
    </row>
    <row r="854" spans="1:15" x14ac:dyDescent="0.3">
      <c r="A854">
        <v>853</v>
      </c>
      <c r="B854">
        <v>1</v>
      </c>
      <c r="C854" t="str">
        <f t="shared" si="65"/>
        <v>Yes</v>
      </c>
      <c r="D854" t="s">
        <v>958</v>
      </c>
      <c r="E854" t="s">
        <v>1825</v>
      </c>
      <c r="F854" t="str" cm="1">
        <f t="array" ref="F854">IF(OR(COUNTIF(D854,"*"&amp;Preprocessing!$T$9:$T$15&amp;"*")),"Female","Male")</f>
        <v>Female</v>
      </c>
      <c r="G854">
        <v>45</v>
      </c>
      <c r="H854">
        <v>1</v>
      </c>
      <c r="I854">
        <v>1</v>
      </c>
      <c r="J854">
        <v>1</v>
      </c>
      <c r="K854">
        <v>164.86670000000001</v>
      </c>
      <c r="L854">
        <f t="shared" si="66"/>
        <v>1</v>
      </c>
      <c r="M854">
        <f t="shared" si="67"/>
        <v>45</v>
      </c>
      <c r="N854" t="str">
        <f t="shared" si="68"/>
        <v>Adult</v>
      </c>
      <c r="O854">
        <f t="shared" si="69"/>
        <v>164.87</v>
      </c>
    </row>
    <row r="855" spans="1:15" x14ac:dyDescent="0.3">
      <c r="A855">
        <v>854</v>
      </c>
      <c r="B855">
        <v>1</v>
      </c>
      <c r="C855" t="str">
        <f t="shared" si="65"/>
        <v>Yes</v>
      </c>
      <c r="D855" t="s">
        <v>956</v>
      </c>
      <c r="E855" t="s">
        <v>1826</v>
      </c>
      <c r="F855" t="str" cm="1">
        <f t="array" ref="F855">IF(OR(COUNTIF(D855,"*"&amp;Preprocessing!$T$9:$T$15&amp;"*")),"Female","Male")</f>
        <v>Male</v>
      </c>
      <c r="G855">
        <v>51</v>
      </c>
      <c r="H855">
        <v>0</v>
      </c>
      <c r="I855">
        <v>0</v>
      </c>
      <c r="J855">
        <v>1</v>
      </c>
      <c r="K855">
        <v>26.55</v>
      </c>
      <c r="L855">
        <f t="shared" si="66"/>
        <v>0</v>
      </c>
      <c r="M855">
        <f t="shared" si="67"/>
        <v>51</v>
      </c>
      <c r="N855" t="str">
        <f t="shared" si="68"/>
        <v>Adult</v>
      </c>
      <c r="O855">
        <f t="shared" si="69"/>
        <v>26.55</v>
      </c>
    </row>
    <row r="856" spans="1:15" x14ac:dyDescent="0.3">
      <c r="A856">
        <v>855</v>
      </c>
      <c r="B856">
        <v>1</v>
      </c>
      <c r="C856" t="str">
        <f t="shared" si="65"/>
        <v>Yes</v>
      </c>
      <c r="D856" t="s">
        <v>958</v>
      </c>
      <c r="E856" t="s">
        <v>1827</v>
      </c>
      <c r="F856" t="str" cm="1">
        <f t="array" ref="F856">IF(OR(COUNTIF(D856,"*"&amp;Preprocessing!$T$9:$T$15&amp;"*")),"Female","Male")</f>
        <v>Female</v>
      </c>
      <c r="G856">
        <v>24</v>
      </c>
      <c r="H856">
        <v>0</v>
      </c>
      <c r="I856">
        <v>3</v>
      </c>
      <c r="J856">
        <v>3</v>
      </c>
      <c r="K856">
        <v>19.258299999999998</v>
      </c>
      <c r="L856">
        <f t="shared" si="66"/>
        <v>1</v>
      </c>
      <c r="M856">
        <f t="shared" si="67"/>
        <v>24</v>
      </c>
      <c r="N856" t="str">
        <f t="shared" si="68"/>
        <v>Adult</v>
      </c>
      <c r="O856">
        <f t="shared" si="69"/>
        <v>19.260000000000002</v>
      </c>
    </row>
    <row r="857" spans="1:15" x14ac:dyDescent="0.3">
      <c r="A857">
        <v>856</v>
      </c>
      <c r="B857">
        <v>0</v>
      </c>
      <c r="C857" t="str">
        <f t="shared" si="65"/>
        <v>No</v>
      </c>
      <c r="D857" t="s">
        <v>956</v>
      </c>
      <c r="E857" t="s">
        <v>1828</v>
      </c>
      <c r="F857" t="str" cm="1">
        <f t="array" ref="F857">IF(OR(COUNTIF(D857,"*"&amp;Preprocessing!$T$9:$T$15&amp;"*")),"Female","Male")</f>
        <v>Male</v>
      </c>
      <c r="G857">
        <v>30</v>
      </c>
      <c r="H857">
        <v>0</v>
      </c>
      <c r="I857">
        <v>0</v>
      </c>
      <c r="J857">
        <v>3</v>
      </c>
      <c r="K857">
        <v>7.2291999999999996</v>
      </c>
      <c r="L857">
        <f t="shared" si="66"/>
        <v>0</v>
      </c>
      <c r="M857">
        <f t="shared" si="67"/>
        <v>30</v>
      </c>
      <c r="N857" t="str">
        <f t="shared" si="68"/>
        <v>Adult</v>
      </c>
      <c r="O857">
        <f t="shared" si="69"/>
        <v>7.23</v>
      </c>
    </row>
    <row r="858" spans="1:15" x14ac:dyDescent="0.3">
      <c r="A858">
        <v>857</v>
      </c>
      <c r="B858">
        <v>0</v>
      </c>
      <c r="C858" t="str">
        <f t="shared" si="65"/>
        <v>No</v>
      </c>
      <c r="D858" t="s">
        <v>956</v>
      </c>
      <c r="E858" t="s">
        <v>1829</v>
      </c>
      <c r="F858" t="str" cm="1">
        <f t="array" ref="F858">IF(OR(COUNTIF(D858,"*"&amp;Preprocessing!$T$9:$T$15&amp;"*")),"Female","Male")</f>
        <v>Male</v>
      </c>
      <c r="G858">
        <v>41</v>
      </c>
      <c r="H858">
        <v>2</v>
      </c>
      <c r="I858">
        <v>0</v>
      </c>
      <c r="J858">
        <v>3</v>
      </c>
      <c r="K858">
        <v>14.1083</v>
      </c>
      <c r="L858">
        <f t="shared" si="66"/>
        <v>0</v>
      </c>
      <c r="M858">
        <f t="shared" si="67"/>
        <v>41</v>
      </c>
      <c r="N858" t="str">
        <f t="shared" si="68"/>
        <v>Adult</v>
      </c>
      <c r="O858">
        <f t="shared" si="69"/>
        <v>14.11</v>
      </c>
    </row>
    <row r="859" spans="1:15" x14ac:dyDescent="0.3">
      <c r="A859">
        <v>858</v>
      </c>
      <c r="B859">
        <v>0</v>
      </c>
      <c r="C859" t="str">
        <f t="shared" si="65"/>
        <v>No</v>
      </c>
      <c r="D859" t="s">
        <v>956</v>
      </c>
      <c r="E859" t="s">
        <v>1830</v>
      </c>
      <c r="F859" t="str" cm="1">
        <f t="array" ref="F859">IF(OR(COUNTIF(D859,"*"&amp;Preprocessing!$T$9:$T$15&amp;"*")),"Female","Male")</f>
        <v>Male</v>
      </c>
      <c r="G859">
        <v>21</v>
      </c>
      <c r="H859">
        <v>1</v>
      </c>
      <c r="I859">
        <v>0</v>
      </c>
      <c r="J859">
        <v>2</v>
      </c>
      <c r="K859">
        <v>11.5</v>
      </c>
      <c r="L859">
        <f t="shared" si="66"/>
        <v>0</v>
      </c>
      <c r="M859">
        <f t="shared" si="67"/>
        <v>21</v>
      </c>
      <c r="N859" t="str">
        <f t="shared" si="68"/>
        <v>Adult</v>
      </c>
      <c r="O859">
        <f t="shared" si="69"/>
        <v>11.5</v>
      </c>
    </row>
    <row r="860" spans="1:15" x14ac:dyDescent="0.3">
      <c r="A860">
        <v>859</v>
      </c>
      <c r="B860">
        <v>1</v>
      </c>
      <c r="C860" t="str">
        <f t="shared" si="65"/>
        <v>Yes</v>
      </c>
      <c r="D860" t="s">
        <v>958</v>
      </c>
      <c r="E860" t="s">
        <v>1831</v>
      </c>
      <c r="F860" t="str" cm="1">
        <f t="array" ref="F860">IF(OR(COUNTIF(D860,"*"&amp;Preprocessing!$T$9:$T$15&amp;"*")),"Female","Male")</f>
        <v>Female</v>
      </c>
      <c r="G860">
        <v>48</v>
      </c>
      <c r="H860">
        <v>0</v>
      </c>
      <c r="I860">
        <v>0</v>
      </c>
      <c r="J860">
        <v>1</v>
      </c>
      <c r="K860">
        <v>25.929200000000002</v>
      </c>
      <c r="L860">
        <f t="shared" si="66"/>
        <v>1</v>
      </c>
      <c r="M860">
        <f t="shared" si="67"/>
        <v>48</v>
      </c>
      <c r="N860" t="str">
        <f t="shared" si="68"/>
        <v>Adult</v>
      </c>
      <c r="O860">
        <f t="shared" si="69"/>
        <v>25.93</v>
      </c>
    </row>
    <row r="861" spans="1:15" x14ac:dyDescent="0.3">
      <c r="A861">
        <v>860</v>
      </c>
      <c r="B861">
        <v>0</v>
      </c>
      <c r="C861" t="str">
        <f t="shared" si="65"/>
        <v>No</v>
      </c>
      <c r="D861" t="s">
        <v>960</v>
      </c>
      <c r="E861" t="s">
        <v>1832</v>
      </c>
      <c r="F861" t="str" cm="1">
        <f t="array" ref="F861">IF(OR(COUNTIF(D861,"*"&amp;Preprocessing!$T$9:$T$15&amp;"*")),"Female","Male")</f>
        <v>Female</v>
      </c>
      <c r="G861">
        <v>14</v>
      </c>
      <c r="H861">
        <v>8</v>
      </c>
      <c r="I861">
        <v>2</v>
      </c>
      <c r="J861">
        <v>3</v>
      </c>
      <c r="K861">
        <v>69.55</v>
      </c>
      <c r="L861">
        <f t="shared" si="66"/>
        <v>1</v>
      </c>
      <c r="M861">
        <f t="shared" si="67"/>
        <v>14</v>
      </c>
      <c r="N861" t="str">
        <f t="shared" si="68"/>
        <v>Child</v>
      </c>
      <c r="O861">
        <f t="shared" si="69"/>
        <v>69.55</v>
      </c>
    </row>
    <row r="862" spans="1:15" x14ac:dyDescent="0.3">
      <c r="A862">
        <v>861</v>
      </c>
      <c r="B862">
        <v>0</v>
      </c>
      <c r="C862" t="str">
        <f t="shared" si="65"/>
        <v>No</v>
      </c>
      <c r="D862" t="s">
        <v>956</v>
      </c>
      <c r="E862" t="s">
        <v>1833</v>
      </c>
      <c r="F862" t="str" cm="1">
        <f t="array" ref="F862">IF(OR(COUNTIF(D862,"*"&amp;Preprocessing!$T$9:$T$15&amp;"*")),"Female","Male")</f>
        <v>Male</v>
      </c>
      <c r="G862">
        <v>24</v>
      </c>
      <c r="H862">
        <v>0</v>
      </c>
      <c r="I862">
        <v>0</v>
      </c>
      <c r="J862">
        <v>2</v>
      </c>
      <c r="K862">
        <v>13</v>
      </c>
      <c r="L862">
        <f t="shared" si="66"/>
        <v>0</v>
      </c>
      <c r="M862">
        <f t="shared" si="67"/>
        <v>24</v>
      </c>
      <c r="N862" t="str">
        <f t="shared" si="68"/>
        <v>Adult</v>
      </c>
      <c r="O862">
        <f t="shared" si="69"/>
        <v>13</v>
      </c>
    </row>
    <row r="863" spans="1:15" x14ac:dyDescent="0.3">
      <c r="A863">
        <v>862</v>
      </c>
      <c r="B863">
        <v>1</v>
      </c>
      <c r="C863" t="str">
        <f t="shared" si="65"/>
        <v>Yes</v>
      </c>
      <c r="D863" t="s">
        <v>958</v>
      </c>
      <c r="E863" t="s">
        <v>1834</v>
      </c>
      <c r="F863" t="str" cm="1">
        <f t="array" ref="F863">IF(OR(COUNTIF(D863,"*"&amp;Preprocessing!$T$9:$T$15&amp;"*")),"Female","Male")</f>
        <v>Female</v>
      </c>
      <c r="G863">
        <v>42</v>
      </c>
      <c r="H863">
        <v>0</v>
      </c>
      <c r="I863">
        <v>0</v>
      </c>
      <c r="J863">
        <v>2</v>
      </c>
      <c r="K863">
        <v>13</v>
      </c>
      <c r="L863">
        <f t="shared" si="66"/>
        <v>1</v>
      </c>
      <c r="M863">
        <f t="shared" si="67"/>
        <v>42</v>
      </c>
      <c r="N863" t="str">
        <f t="shared" si="68"/>
        <v>Adult</v>
      </c>
      <c r="O863">
        <f t="shared" si="69"/>
        <v>13</v>
      </c>
    </row>
    <row r="864" spans="1:15" x14ac:dyDescent="0.3">
      <c r="A864">
        <v>863</v>
      </c>
      <c r="B864">
        <v>1</v>
      </c>
      <c r="C864" t="str">
        <f t="shared" si="65"/>
        <v>Yes</v>
      </c>
      <c r="D864" t="s">
        <v>960</v>
      </c>
      <c r="E864" t="s">
        <v>1835</v>
      </c>
      <c r="F864" t="str" cm="1">
        <f t="array" ref="F864">IF(OR(COUNTIF(D864,"*"&amp;Preprocessing!$T$9:$T$15&amp;"*")),"Female","Male")</f>
        <v>Female</v>
      </c>
      <c r="G864">
        <v>27</v>
      </c>
      <c r="H864">
        <v>1</v>
      </c>
      <c r="I864">
        <v>0</v>
      </c>
      <c r="J864">
        <v>2</v>
      </c>
      <c r="K864">
        <v>13.8583</v>
      </c>
      <c r="L864">
        <f t="shared" si="66"/>
        <v>1</v>
      </c>
      <c r="M864">
        <f t="shared" si="67"/>
        <v>27</v>
      </c>
      <c r="N864" t="str">
        <f t="shared" si="68"/>
        <v>Adult</v>
      </c>
      <c r="O864">
        <f t="shared" si="69"/>
        <v>13.86</v>
      </c>
    </row>
    <row r="865" spans="1:15" x14ac:dyDescent="0.3">
      <c r="A865">
        <v>864</v>
      </c>
      <c r="B865">
        <v>0</v>
      </c>
      <c r="C865" t="str">
        <f t="shared" si="65"/>
        <v>No</v>
      </c>
      <c r="D865" t="s">
        <v>956</v>
      </c>
      <c r="E865" t="s">
        <v>1836</v>
      </c>
      <c r="F865" t="str" cm="1">
        <f t="array" ref="F865">IF(OR(COUNTIF(D865,"*"&amp;Preprocessing!$T$9:$T$15&amp;"*")),"Female","Male")</f>
        <v>Male</v>
      </c>
      <c r="G865">
        <v>31</v>
      </c>
      <c r="H865">
        <v>0</v>
      </c>
      <c r="I865">
        <v>0</v>
      </c>
      <c r="J865">
        <v>1</v>
      </c>
      <c r="K865">
        <v>50.495800000000003</v>
      </c>
      <c r="L865">
        <f t="shared" si="66"/>
        <v>0</v>
      </c>
      <c r="M865">
        <f t="shared" si="67"/>
        <v>31</v>
      </c>
      <c r="N865" t="str">
        <f t="shared" si="68"/>
        <v>Adult</v>
      </c>
      <c r="O865">
        <f t="shared" si="69"/>
        <v>50.5</v>
      </c>
    </row>
    <row r="866" spans="1:15" x14ac:dyDescent="0.3">
      <c r="A866">
        <v>865</v>
      </c>
      <c r="B866">
        <v>0</v>
      </c>
      <c r="C866" t="str">
        <f t="shared" si="65"/>
        <v>No</v>
      </c>
      <c r="D866" t="s">
        <v>956</v>
      </c>
      <c r="E866" t="s">
        <v>1837</v>
      </c>
      <c r="F866" t="str" cm="1">
        <f t="array" ref="F866">IF(OR(COUNTIF(D866,"*"&amp;Preprocessing!$T$9:$T$15&amp;"*")),"Female","Male")</f>
        <v>Male</v>
      </c>
      <c r="G866">
        <v>23</v>
      </c>
      <c r="H866">
        <v>0</v>
      </c>
      <c r="I866">
        <v>0</v>
      </c>
      <c r="J866">
        <v>3</v>
      </c>
      <c r="K866">
        <v>9.5</v>
      </c>
      <c r="L866">
        <f t="shared" si="66"/>
        <v>0</v>
      </c>
      <c r="M866">
        <f t="shared" si="67"/>
        <v>23</v>
      </c>
      <c r="N866" t="str">
        <f t="shared" si="68"/>
        <v>Adult</v>
      </c>
      <c r="O866">
        <f t="shared" si="69"/>
        <v>9.5</v>
      </c>
    </row>
    <row r="867" spans="1:15" x14ac:dyDescent="0.3">
      <c r="A867">
        <v>866</v>
      </c>
      <c r="B867">
        <v>1</v>
      </c>
      <c r="C867" t="str">
        <f t="shared" si="65"/>
        <v>Yes</v>
      </c>
      <c r="D867" t="s">
        <v>966</v>
      </c>
      <c r="E867" t="s">
        <v>1838</v>
      </c>
      <c r="F867" t="str" cm="1">
        <f t="array" ref="F867">IF(OR(COUNTIF(D867,"*"&amp;Preprocessing!$T$9:$T$15&amp;"*")),"Female","Male")</f>
        <v>Male</v>
      </c>
      <c r="G867">
        <v>4</v>
      </c>
      <c r="H867">
        <v>1</v>
      </c>
      <c r="I867">
        <v>1</v>
      </c>
      <c r="J867">
        <v>3</v>
      </c>
      <c r="K867">
        <v>11.1333</v>
      </c>
      <c r="L867">
        <f t="shared" si="66"/>
        <v>0</v>
      </c>
      <c r="M867">
        <f t="shared" si="67"/>
        <v>4</v>
      </c>
      <c r="N867" t="str">
        <f t="shared" si="68"/>
        <v>Child</v>
      </c>
      <c r="O867">
        <f t="shared" si="69"/>
        <v>11.13</v>
      </c>
    </row>
    <row r="868" spans="1:15" x14ac:dyDescent="0.3">
      <c r="A868">
        <v>867</v>
      </c>
      <c r="B868">
        <v>0</v>
      </c>
      <c r="C868" t="str">
        <f t="shared" si="65"/>
        <v>No</v>
      </c>
      <c r="D868" t="s">
        <v>956</v>
      </c>
      <c r="E868" t="s">
        <v>1839</v>
      </c>
      <c r="F868" t="str" cm="1">
        <f t="array" ref="F868">IF(OR(COUNTIF(D868,"*"&amp;Preprocessing!$T$9:$T$15&amp;"*")),"Female","Male")</f>
        <v>Male</v>
      </c>
      <c r="G868">
        <v>26</v>
      </c>
      <c r="H868">
        <v>0</v>
      </c>
      <c r="I868">
        <v>0</v>
      </c>
      <c r="J868">
        <v>3</v>
      </c>
      <c r="K868">
        <v>7.8958000000000004</v>
      </c>
      <c r="L868">
        <f t="shared" si="66"/>
        <v>0</v>
      </c>
      <c r="M868">
        <f t="shared" si="67"/>
        <v>26</v>
      </c>
      <c r="N868" t="str">
        <f t="shared" si="68"/>
        <v>Adult</v>
      </c>
      <c r="O868">
        <f t="shared" si="69"/>
        <v>7.9</v>
      </c>
    </row>
    <row r="869" spans="1:15" x14ac:dyDescent="0.3">
      <c r="A869">
        <v>868</v>
      </c>
      <c r="B869">
        <v>1</v>
      </c>
      <c r="C869" t="str">
        <f t="shared" si="65"/>
        <v>Yes</v>
      </c>
      <c r="D869" t="s">
        <v>958</v>
      </c>
      <c r="E869" t="s">
        <v>1840</v>
      </c>
      <c r="F869" t="str" cm="1">
        <f t="array" ref="F869">IF(OR(COUNTIF(D869,"*"&amp;Preprocessing!$T$9:$T$15&amp;"*")),"Female","Male")</f>
        <v>Female</v>
      </c>
      <c r="G869">
        <v>47</v>
      </c>
      <c r="H869">
        <v>1</v>
      </c>
      <c r="I869">
        <v>1</v>
      </c>
      <c r="J869">
        <v>1</v>
      </c>
      <c r="K869">
        <v>52.554200000000002</v>
      </c>
      <c r="L869">
        <f t="shared" si="66"/>
        <v>1</v>
      </c>
      <c r="M869">
        <f t="shared" si="67"/>
        <v>47</v>
      </c>
      <c r="N869" t="str">
        <f t="shared" si="68"/>
        <v>Adult</v>
      </c>
      <c r="O869">
        <f t="shared" si="69"/>
        <v>52.55</v>
      </c>
    </row>
    <row r="870" spans="1:15" x14ac:dyDescent="0.3">
      <c r="A870">
        <v>869</v>
      </c>
      <c r="B870">
        <v>0</v>
      </c>
      <c r="C870" t="str">
        <f t="shared" si="65"/>
        <v>No</v>
      </c>
      <c r="D870" t="s">
        <v>956</v>
      </c>
      <c r="E870" t="s">
        <v>1841</v>
      </c>
      <c r="F870" t="str" cm="1">
        <f t="array" ref="F870">IF(OR(COUNTIF(D870,"*"&amp;Preprocessing!$T$9:$T$15&amp;"*")),"Female","Male")</f>
        <v>Male</v>
      </c>
      <c r="G870">
        <v>33</v>
      </c>
      <c r="H870">
        <v>0</v>
      </c>
      <c r="I870">
        <v>0</v>
      </c>
      <c r="J870">
        <v>1</v>
      </c>
      <c r="K870">
        <v>5</v>
      </c>
      <c r="L870">
        <f t="shared" si="66"/>
        <v>0</v>
      </c>
      <c r="M870">
        <f t="shared" si="67"/>
        <v>33</v>
      </c>
      <c r="N870" t="str">
        <f t="shared" si="68"/>
        <v>Adult</v>
      </c>
      <c r="O870">
        <f t="shared" si="69"/>
        <v>5</v>
      </c>
    </row>
    <row r="871" spans="1:15" x14ac:dyDescent="0.3">
      <c r="A871">
        <v>870</v>
      </c>
      <c r="B871">
        <v>0</v>
      </c>
      <c r="C871" t="str">
        <f t="shared" si="65"/>
        <v>No</v>
      </c>
      <c r="D871" t="s">
        <v>956</v>
      </c>
      <c r="E871" t="s">
        <v>1842</v>
      </c>
      <c r="F871" t="str" cm="1">
        <f t="array" ref="F871">IF(OR(COUNTIF(D871,"*"&amp;Preprocessing!$T$9:$T$15&amp;"*")),"Female","Male")</f>
        <v>Male</v>
      </c>
      <c r="G871">
        <v>47</v>
      </c>
      <c r="H871">
        <v>0</v>
      </c>
      <c r="I871">
        <v>0</v>
      </c>
      <c r="J871">
        <v>3</v>
      </c>
      <c r="K871">
        <v>9</v>
      </c>
      <c r="L871">
        <f t="shared" si="66"/>
        <v>0</v>
      </c>
      <c r="M871">
        <f t="shared" si="67"/>
        <v>47</v>
      </c>
      <c r="N871" t="str">
        <f t="shared" si="68"/>
        <v>Adult</v>
      </c>
      <c r="O871">
        <f t="shared" si="69"/>
        <v>9</v>
      </c>
    </row>
    <row r="872" spans="1:15" x14ac:dyDescent="0.3">
      <c r="A872">
        <v>871</v>
      </c>
      <c r="B872">
        <v>1</v>
      </c>
      <c r="C872" t="str">
        <f t="shared" si="65"/>
        <v>Yes</v>
      </c>
      <c r="D872" t="s">
        <v>958</v>
      </c>
      <c r="E872" t="s">
        <v>1843</v>
      </c>
      <c r="F872" t="str" cm="1">
        <f t="array" ref="F872">IF(OR(COUNTIF(D872,"*"&amp;Preprocessing!$T$9:$T$15&amp;"*")),"Female","Male")</f>
        <v>Female</v>
      </c>
      <c r="G872">
        <v>28</v>
      </c>
      <c r="H872">
        <v>1</v>
      </c>
      <c r="I872">
        <v>0</v>
      </c>
      <c r="J872">
        <v>2</v>
      </c>
      <c r="K872">
        <v>24</v>
      </c>
      <c r="L872">
        <f t="shared" si="66"/>
        <v>1</v>
      </c>
      <c r="M872">
        <f t="shared" si="67"/>
        <v>28</v>
      </c>
      <c r="N872" t="str">
        <f t="shared" si="68"/>
        <v>Adult</v>
      </c>
      <c r="O872">
        <f t="shared" si="69"/>
        <v>24</v>
      </c>
    </row>
    <row r="873" spans="1:15" x14ac:dyDescent="0.3">
      <c r="A873">
        <v>872</v>
      </c>
      <c r="B873">
        <v>1</v>
      </c>
      <c r="C873" t="str">
        <f t="shared" si="65"/>
        <v>Yes</v>
      </c>
      <c r="D873" t="s">
        <v>960</v>
      </c>
      <c r="E873" t="s">
        <v>1844</v>
      </c>
      <c r="F873" t="str" cm="1">
        <f t="array" ref="F873">IF(OR(COUNTIF(D873,"*"&amp;Preprocessing!$T$9:$T$15&amp;"*")),"Female","Male")</f>
        <v>Female</v>
      </c>
      <c r="G873">
        <v>15</v>
      </c>
      <c r="H873">
        <v>0</v>
      </c>
      <c r="I873">
        <v>0</v>
      </c>
      <c r="J873">
        <v>3</v>
      </c>
      <c r="K873">
        <v>7.2249999999999996</v>
      </c>
      <c r="L873">
        <f t="shared" si="66"/>
        <v>1</v>
      </c>
      <c r="M873">
        <f t="shared" si="67"/>
        <v>15</v>
      </c>
      <c r="N873" t="str">
        <f t="shared" si="68"/>
        <v>Child</v>
      </c>
      <c r="O873">
        <f t="shared" si="69"/>
        <v>7.23</v>
      </c>
    </row>
    <row r="874" spans="1:15" x14ac:dyDescent="0.3">
      <c r="A874">
        <v>873</v>
      </c>
      <c r="B874">
        <v>0</v>
      </c>
      <c r="C874" t="str">
        <f t="shared" si="65"/>
        <v>No</v>
      </c>
      <c r="D874" t="s">
        <v>956</v>
      </c>
      <c r="E874" t="s">
        <v>1845</v>
      </c>
      <c r="F874" t="str" cm="1">
        <f t="array" ref="F874">IF(OR(COUNTIF(D874,"*"&amp;Preprocessing!$T$9:$T$15&amp;"*")),"Female","Male")</f>
        <v>Male</v>
      </c>
      <c r="G874">
        <v>20</v>
      </c>
      <c r="H874">
        <v>0</v>
      </c>
      <c r="I874">
        <v>0</v>
      </c>
      <c r="J874">
        <v>3</v>
      </c>
      <c r="K874">
        <v>9.8458000000000006</v>
      </c>
      <c r="L874">
        <f t="shared" si="66"/>
        <v>0</v>
      </c>
      <c r="M874">
        <f t="shared" si="67"/>
        <v>20</v>
      </c>
      <c r="N874" t="str">
        <f t="shared" si="68"/>
        <v>Adult</v>
      </c>
      <c r="O874">
        <f t="shared" si="69"/>
        <v>9.85</v>
      </c>
    </row>
    <row r="875" spans="1:15" x14ac:dyDescent="0.3">
      <c r="A875">
        <v>874</v>
      </c>
      <c r="B875">
        <v>0</v>
      </c>
      <c r="C875" t="str">
        <f t="shared" si="65"/>
        <v>No</v>
      </c>
      <c r="D875" t="s">
        <v>956</v>
      </c>
      <c r="E875" t="s">
        <v>1846</v>
      </c>
      <c r="F875" t="str" cm="1">
        <f t="array" ref="F875">IF(OR(COUNTIF(D875,"*"&amp;Preprocessing!$T$9:$T$15&amp;"*")),"Female","Male")</f>
        <v>Male</v>
      </c>
      <c r="G875">
        <v>19</v>
      </c>
      <c r="H875">
        <v>0</v>
      </c>
      <c r="I875">
        <v>0</v>
      </c>
      <c r="J875">
        <v>3</v>
      </c>
      <c r="K875">
        <v>7.8958000000000004</v>
      </c>
      <c r="L875">
        <f t="shared" si="66"/>
        <v>0</v>
      </c>
      <c r="M875">
        <f t="shared" si="67"/>
        <v>19</v>
      </c>
      <c r="N875" t="str">
        <f t="shared" si="68"/>
        <v>Adult</v>
      </c>
      <c r="O875">
        <f t="shared" si="69"/>
        <v>7.9</v>
      </c>
    </row>
    <row r="876" spans="1:15" x14ac:dyDescent="0.3">
      <c r="A876">
        <v>875</v>
      </c>
      <c r="B876">
        <v>0</v>
      </c>
      <c r="C876" t="str">
        <f t="shared" si="65"/>
        <v>No</v>
      </c>
      <c r="D876" t="s">
        <v>956</v>
      </c>
      <c r="E876" t="s">
        <v>1847</v>
      </c>
      <c r="F876" t="str" cm="1">
        <f t="array" ref="F876">IF(OR(COUNTIF(D876,"*"&amp;Preprocessing!$T$9:$T$15&amp;"*")),"Female","Male")</f>
        <v>Male</v>
      </c>
      <c r="G876">
        <v>23</v>
      </c>
      <c r="H876">
        <v>0</v>
      </c>
      <c r="I876">
        <v>0</v>
      </c>
      <c r="J876">
        <v>3</v>
      </c>
      <c r="K876">
        <v>7.8958000000000004</v>
      </c>
      <c r="L876">
        <f t="shared" si="66"/>
        <v>0</v>
      </c>
      <c r="M876">
        <f t="shared" si="67"/>
        <v>23</v>
      </c>
      <c r="N876" t="str">
        <f t="shared" si="68"/>
        <v>Adult</v>
      </c>
      <c r="O876">
        <f t="shared" si="69"/>
        <v>7.9</v>
      </c>
    </row>
    <row r="877" spans="1:15" x14ac:dyDescent="0.3">
      <c r="A877">
        <v>876</v>
      </c>
      <c r="B877">
        <v>1</v>
      </c>
      <c r="C877" t="str">
        <f t="shared" si="65"/>
        <v>Yes</v>
      </c>
      <c r="D877" t="s">
        <v>958</v>
      </c>
      <c r="E877" t="s">
        <v>1848</v>
      </c>
      <c r="F877" t="str" cm="1">
        <f t="array" ref="F877">IF(OR(COUNTIF(D877,"*"&amp;Preprocessing!$T$9:$T$15&amp;"*")),"Female","Male")</f>
        <v>Female</v>
      </c>
      <c r="G877">
        <v>56</v>
      </c>
      <c r="H877">
        <v>0</v>
      </c>
      <c r="I877">
        <v>1</v>
      </c>
      <c r="J877">
        <v>1</v>
      </c>
      <c r="K877">
        <v>83.158299999999997</v>
      </c>
      <c r="L877">
        <f t="shared" si="66"/>
        <v>1</v>
      </c>
      <c r="M877">
        <f t="shared" si="67"/>
        <v>56</v>
      </c>
      <c r="N877" t="str">
        <f t="shared" si="68"/>
        <v>Adult</v>
      </c>
      <c r="O877">
        <f t="shared" si="69"/>
        <v>83.16</v>
      </c>
    </row>
    <row r="878" spans="1:15" x14ac:dyDescent="0.3">
      <c r="A878">
        <v>877</v>
      </c>
      <c r="B878">
        <v>1</v>
      </c>
      <c r="C878" t="str">
        <f t="shared" si="65"/>
        <v>Yes</v>
      </c>
      <c r="D878" t="s">
        <v>958</v>
      </c>
      <c r="E878" t="s">
        <v>1849</v>
      </c>
      <c r="F878" t="str" cm="1">
        <f t="array" ref="F878">IF(OR(COUNTIF(D878,"*"&amp;Preprocessing!$T$9:$T$15&amp;"*")),"Female","Male")</f>
        <v>Female</v>
      </c>
      <c r="G878">
        <v>25</v>
      </c>
      <c r="H878">
        <v>0</v>
      </c>
      <c r="I878">
        <v>1</v>
      </c>
      <c r="J878">
        <v>2</v>
      </c>
      <c r="K878">
        <v>26</v>
      </c>
      <c r="L878">
        <f t="shared" si="66"/>
        <v>1</v>
      </c>
      <c r="M878">
        <f t="shared" si="67"/>
        <v>25</v>
      </c>
      <c r="N878" t="str">
        <f t="shared" si="68"/>
        <v>Adult</v>
      </c>
      <c r="O878">
        <f t="shared" si="69"/>
        <v>26</v>
      </c>
    </row>
    <row r="879" spans="1:15" x14ac:dyDescent="0.3">
      <c r="A879">
        <v>878</v>
      </c>
      <c r="B879">
        <v>0</v>
      </c>
      <c r="C879" t="str">
        <f t="shared" si="65"/>
        <v>No</v>
      </c>
      <c r="D879" t="s">
        <v>956</v>
      </c>
      <c r="E879" t="s">
        <v>1850</v>
      </c>
      <c r="F879" t="str" cm="1">
        <f t="array" ref="F879">IF(OR(COUNTIF(D879,"*"&amp;Preprocessing!$T$9:$T$15&amp;"*")),"Female","Male")</f>
        <v>Male</v>
      </c>
      <c r="G879">
        <v>33</v>
      </c>
      <c r="H879">
        <v>0</v>
      </c>
      <c r="I879">
        <v>0</v>
      </c>
      <c r="J879">
        <v>3</v>
      </c>
      <c r="K879">
        <v>7.8958000000000004</v>
      </c>
      <c r="L879">
        <f t="shared" si="66"/>
        <v>0</v>
      </c>
      <c r="M879">
        <f t="shared" si="67"/>
        <v>33</v>
      </c>
      <c r="N879" t="str">
        <f t="shared" si="68"/>
        <v>Adult</v>
      </c>
      <c r="O879">
        <f t="shared" si="69"/>
        <v>7.9</v>
      </c>
    </row>
    <row r="880" spans="1:15" x14ac:dyDescent="0.3">
      <c r="A880">
        <v>879</v>
      </c>
      <c r="B880">
        <v>0</v>
      </c>
      <c r="C880" t="str">
        <f t="shared" si="65"/>
        <v>No</v>
      </c>
      <c r="D880" t="s">
        <v>960</v>
      </c>
      <c r="E880" t="s">
        <v>1851</v>
      </c>
      <c r="F880" t="str" cm="1">
        <f t="array" ref="F880">IF(OR(COUNTIF(D880,"*"&amp;Preprocessing!$T$9:$T$15&amp;"*")),"Female","Male")</f>
        <v>Female</v>
      </c>
      <c r="G880">
        <v>22</v>
      </c>
      <c r="H880">
        <v>0</v>
      </c>
      <c r="I880">
        <v>0</v>
      </c>
      <c r="J880">
        <v>3</v>
      </c>
      <c r="K880">
        <v>10.5167</v>
      </c>
      <c r="L880">
        <f t="shared" si="66"/>
        <v>1</v>
      </c>
      <c r="M880">
        <f t="shared" si="67"/>
        <v>22</v>
      </c>
      <c r="N880" t="str">
        <f t="shared" si="68"/>
        <v>Adult</v>
      </c>
      <c r="O880">
        <f t="shared" si="69"/>
        <v>10.52</v>
      </c>
    </row>
    <row r="881" spans="1:15" x14ac:dyDescent="0.3">
      <c r="A881">
        <v>880</v>
      </c>
      <c r="B881">
        <v>0</v>
      </c>
      <c r="C881" t="str">
        <f t="shared" si="65"/>
        <v>No</v>
      </c>
      <c r="D881" t="s">
        <v>956</v>
      </c>
      <c r="E881" t="s">
        <v>1852</v>
      </c>
      <c r="F881" t="str" cm="1">
        <f t="array" ref="F881">IF(OR(COUNTIF(D881,"*"&amp;Preprocessing!$T$9:$T$15&amp;"*")),"Female","Male")</f>
        <v>Male</v>
      </c>
      <c r="G881">
        <v>28</v>
      </c>
      <c r="H881">
        <v>0</v>
      </c>
      <c r="I881">
        <v>0</v>
      </c>
      <c r="J881">
        <v>2</v>
      </c>
      <c r="K881">
        <v>10.5</v>
      </c>
      <c r="L881">
        <f t="shared" si="66"/>
        <v>0</v>
      </c>
      <c r="M881">
        <f t="shared" si="67"/>
        <v>28</v>
      </c>
      <c r="N881" t="str">
        <f t="shared" si="68"/>
        <v>Adult</v>
      </c>
      <c r="O881">
        <f t="shared" si="69"/>
        <v>10.5</v>
      </c>
    </row>
    <row r="882" spans="1:15" x14ac:dyDescent="0.3">
      <c r="A882">
        <v>881</v>
      </c>
      <c r="B882">
        <v>0</v>
      </c>
      <c r="C882" t="str">
        <f t="shared" si="65"/>
        <v>No</v>
      </c>
      <c r="D882" t="s">
        <v>956</v>
      </c>
      <c r="E882" t="s">
        <v>1853</v>
      </c>
      <c r="F882" t="str" cm="1">
        <f t="array" ref="F882">IF(OR(COUNTIF(D882,"*"&amp;Preprocessing!$T$9:$T$15&amp;"*")),"Female","Male")</f>
        <v>Male</v>
      </c>
      <c r="G882">
        <v>25</v>
      </c>
      <c r="H882">
        <v>0</v>
      </c>
      <c r="I882">
        <v>0</v>
      </c>
      <c r="J882">
        <v>3</v>
      </c>
      <c r="K882">
        <v>7.05</v>
      </c>
      <c r="L882">
        <f t="shared" si="66"/>
        <v>0</v>
      </c>
      <c r="M882">
        <f t="shared" si="67"/>
        <v>25</v>
      </c>
      <c r="N882" t="str">
        <f t="shared" si="68"/>
        <v>Adult</v>
      </c>
      <c r="O882">
        <f t="shared" si="69"/>
        <v>7.05</v>
      </c>
    </row>
    <row r="883" spans="1:15" x14ac:dyDescent="0.3">
      <c r="A883">
        <v>882</v>
      </c>
      <c r="B883">
        <v>0</v>
      </c>
      <c r="C883" t="str">
        <f t="shared" si="65"/>
        <v>No</v>
      </c>
      <c r="D883" t="s">
        <v>958</v>
      </c>
      <c r="E883" t="s">
        <v>1854</v>
      </c>
      <c r="F883" t="str" cm="1">
        <f t="array" ref="F883">IF(OR(COUNTIF(D883,"*"&amp;Preprocessing!$T$9:$T$15&amp;"*")),"Female","Male")</f>
        <v>Female</v>
      </c>
      <c r="G883">
        <v>39</v>
      </c>
      <c r="H883">
        <v>0</v>
      </c>
      <c r="I883">
        <v>5</v>
      </c>
      <c r="J883">
        <v>3</v>
      </c>
      <c r="K883">
        <v>29.125</v>
      </c>
      <c r="L883">
        <f t="shared" si="66"/>
        <v>1</v>
      </c>
      <c r="M883">
        <f t="shared" si="67"/>
        <v>39</v>
      </c>
      <c r="N883" t="str">
        <f t="shared" si="68"/>
        <v>Adult</v>
      </c>
      <c r="O883">
        <f t="shared" si="69"/>
        <v>29.13</v>
      </c>
    </row>
    <row r="884" spans="1:15" x14ac:dyDescent="0.3">
      <c r="A884">
        <v>883</v>
      </c>
      <c r="B884">
        <v>0</v>
      </c>
      <c r="C884" t="str">
        <f t="shared" si="65"/>
        <v>No</v>
      </c>
      <c r="D884" t="s">
        <v>1109</v>
      </c>
      <c r="E884" t="s">
        <v>1855</v>
      </c>
      <c r="F884" t="str" cm="1">
        <f t="array" ref="F884">IF(OR(COUNTIF(D884,"*"&amp;Preprocessing!$T$9:$T$15&amp;"*")),"Female","Male")</f>
        <v>Male</v>
      </c>
      <c r="G884">
        <v>27</v>
      </c>
      <c r="H884">
        <v>0</v>
      </c>
      <c r="I884">
        <v>0</v>
      </c>
      <c r="J884">
        <v>2</v>
      </c>
      <c r="K884">
        <v>13</v>
      </c>
      <c r="L884">
        <f t="shared" si="66"/>
        <v>0</v>
      </c>
      <c r="M884">
        <f t="shared" si="67"/>
        <v>27</v>
      </c>
      <c r="N884" t="str">
        <f t="shared" si="68"/>
        <v>Adult</v>
      </c>
      <c r="O884">
        <f t="shared" si="69"/>
        <v>13</v>
      </c>
    </row>
    <row r="885" spans="1:15" x14ac:dyDescent="0.3">
      <c r="A885">
        <v>884</v>
      </c>
      <c r="B885">
        <v>1</v>
      </c>
      <c r="C885" t="str">
        <f t="shared" si="65"/>
        <v>Yes</v>
      </c>
      <c r="D885" t="s">
        <v>960</v>
      </c>
      <c r="E885" t="s">
        <v>1856</v>
      </c>
      <c r="F885" t="str" cm="1">
        <f t="array" ref="F885">IF(OR(COUNTIF(D885,"*"&amp;Preprocessing!$T$9:$T$15&amp;"*")),"Female","Male")</f>
        <v>Female</v>
      </c>
      <c r="G885">
        <v>19</v>
      </c>
      <c r="H885">
        <v>0</v>
      </c>
      <c r="I885">
        <v>0</v>
      </c>
      <c r="J885">
        <v>1</v>
      </c>
      <c r="K885">
        <v>30</v>
      </c>
      <c r="L885">
        <f t="shared" si="66"/>
        <v>1</v>
      </c>
      <c r="M885">
        <f t="shared" si="67"/>
        <v>19</v>
      </c>
      <c r="N885" t="str">
        <f t="shared" si="68"/>
        <v>Adult</v>
      </c>
      <c r="O885">
        <f t="shared" si="69"/>
        <v>30</v>
      </c>
    </row>
    <row r="886" spans="1:15" x14ac:dyDescent="0.3">
      <c r="A886">
        <v>885</v>
      </c>
      <c r="B886">
        <v>0</v>
      </c>
      <c r="C886" t="str">
        <f t="shared" si="65"/>
        <v>No</v>
      </c>
      <c r="D886" t="s">
        <v>960</v>
      </c>
      <c r="E886" t="s">
        <v>1857</v>
      </c>
      <c r="F886" t="str" cm="1">
        <f t="array" ref="F886">IF(OR(COUNTIF(D886,"*"&amp;Preprocessing!$T$9:$T$15&amp;"*")),"Female","Male")</f>
        <v>Female</v>
      </c>
      <c r="G886">
        <v>7</v>
      </c>
      <c r="H886">
        <v>1</v>
      </c>
      <c r="I886">
        <v>2</v>
      </c>
      <c r="J886">
        <v>3</v>
      </c>
      <c r="K886">
        <v>23.45</v>
      </c>
      <c r="L886">
        <f t="shared" si="66"/>
        <v>1</v>
      </c>
      <c r="M886">
        <f t="shared" si="67"/>
        <v>7</v>
      </c>
      <c r="N886" t="str">
        <f t="shared" si="68"/>
        <v>Child</v>
      </c>
      <c r="O886">
        <f t="shared" si="69"/>
        <v>23.45</v>
      </c>
    </row>
    <row r="887" spans="1:15" x14ac:dyDescent="0.3">
      <c r="A887">
        <v>886</v>
      </c>
      <c r="B887">
        <v>1</v>
      </c>
      <c r="C887" t="str">
        <f t="shared" si="65"/>
        <v>Yes</v>
      </c>
      <c r="D887" t="s">
        <v>956</v>
      </c>
      <c r="E887" t="s">
        <v>1858</v>
      </c>
      <c r="F887" t="str" cm="1">
        <f t="array" ref="F887">IF(OR(COUNTIF(D887,"*"&amp;Preprocessing!$T$9:$T$15&amp;"*")),"Female","Male")</f>
        <v>Male</v>
      </c>
      <c r="G887">
        <v>26</v>
      </c>
      <c r="H887">
        <v>0</v>
      </c>
      <c r="I887">
        <v>0</v>
      </c>
      <c r="J887">
        <v>1</v>
      </c>
      <c r="K887">
        <v>30</v>
      </c>
      <c r="L887">
        <f t="shared" si="66"/>
        <v>0</v>
      </c>
      <c r="M887">
        <f t="shared" si="67"/>
        <v>26</v>
      </c>
      <c r="N887" t="str">
        <f t="shared" si="68"/>
        <v>Adult</v>
      </c>
      <c r="O887">
        <f t="shared" si="69"/>
        <v>30</v>
      </c>
    </row>
    <row r="888" spans="1:15" x14ac:dyDescent="0.3">
      <c r="A888">
        <v>887</v>
      </c>
      <c r="B888">
        <v>0</v>
      </c>
      <c r="C888" t="str">
        <f t="shared" si="65"/>
        <v>No</v>
      </c>
      <c r="D888" t="s">
        <v>956</v>
      </c>
      <c r="E888" t="s">
        <v>1859</v>
      </c>
      <c r="F888" t="str" cm="1">
        <f t="array" ref="F888">IF(OR(COUNTIF(D888,"*"&amp;Preprocessing!$T$9:$T$15&amp;"*")),"Female","Male")</f>
        <v>Male</v>
      </c>
      <c r="G888">
        <v>32</v>
      </c>
      <c r="H888">
        <v>0</v>
      </c>
      <c r="I888">
        <v>0</v>
      </c>
      <c r="J888">
        <v>3</v>
      </c>
      <c r="K888">
        <v>7.75</v>
      </c>
      <c r="L888">
        <f t="shared" si="66"/>
        <v>0</v>
      </c>
      <c r="M888">
        <f t="shared" si="67"/>
        <v>32</v>
      </c>
      <c r="N888" t="str">
        <f t="shared" si="68"/>
        <v>Adult</v>
      </c>
      <c r="O888">
        <f t="shared" si="69"/>
        <v>7.75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B8756-D975-4317-A322-AEB50A034DA1}">
  <dimension ref="A22:H53"/>
  <sheetViews>
    <sheetView tabSelected="1" topLeftCell="A22" zoomScale="125" zoomScaleNormal="125" workbookViewId="0">
      <selection activeCell="G48" sqref="G48"/>
    </sheetView>
  </sheetViews>
  <sheetFormatPr defaultRowHeight="14.4" x14ac:dyDescent="0.3"/>
  <cols>
    <col min="1" max="1" width="12.5546875" bestFit="1" customWidth="1"/>
    <col min="2" max="2" width="15.5546875" bestFit="1" customWidth="1"/>
    <col min="3" max="3" width="5.21875" bestFit="1" customWidth="1"/>
    <col min="4" max="4" width="10.77734375" bestFit="1" customWidth="1"/>
    <col min="5" max="5" width="41" customWidth="1"/>
    <col min="6" max="6" width="7.77734375" customWidth="1"/>
    <col min="7" max="7" width="27.77734375" customWidth="1"/>
    <col min="8" max="8" width="35.5546875" customWidth="1"/>
    <col min="9" max="9" width="20.33203125" bestFit="1" customWidth="1"/>
  </cols>
  <sheetData>
    <row r="22" spans="1:4" x14ac:dyDescent="0.3">
      <c r="A22" s="11" t="s">
        <v>1887</v>
      </c>
      <c r="B22" s="11" t="s">
        <v>1884</v>
      </c>
    </row>
    <row r="23" spans="1:4" x14ac:dyDescent="0.3">
      <c r="A23" s="11" t="s">
        <v>1872</v>
      </c>
      <c r="B23" t="s">
        <v>1873</v>
      </c>
      <c r="C23" t="s">
        <v>1877</v>
      </c>
      <c r="D23" t="s">
        <v>1874</v>
      </c>
    </row>
    <row r="24" spans="1:4" x14ac:dyDescent="0.3">
      <c r="A24" s="8" t="s">
        <v>1875</v>
      </c>
      <c r="B24" s="14">
        <v>256</v>
      </c>
      <c r="C24" s="14">
        <v>517</v>
      </c>
      <c r="D24" s="14">
        <v>773</v>
      </c>
    </row>
    <row r="25" spans="1:4" x14ac:dyDescent="0.3">
      <c r="A25" s="12">
        <v>1</v>
      </c>
      <c r="B25" s="14">
        <v>87</v>
      </c>
      <c r="C25" s="14">
        <v>120</v>
      </c>
      <c r="D25" s="14">
        <v>207</v>
      </c>
    </row>
    <row r="26" spans="1:4" x14ac:dyDescent="0.3">
      <c r="A26" s="13" t="s">
        <v>1879</v>
      </c>
      <c r="B26" s="14">
        <v>2</v>
      </c>
      <c r="C26" s="14">
        <v>77</v>
      </c>
      <c r="D26" s="14">
        <v>79</v>
      </c>
    </row>
    <row r="27" spans="1:4" x14ac:dyDescent="0.3">
      <c r="A27" s="13" t="s">
        <v>1880</v>
      </c>
      <c r="B27" s="14">
        <v>85</v>
      </c>
      <c r="C27" s="14">
        <v>43</v>
      </c>
      <c r="D27" s="14">
        <v>128</v>
      </c>
    </row>
    <row r="28" spans="1:4" x14ac:dyDescent="0.3">
      <c r="A28" s="12">
        <v>2</v>
      </c>
      <c r="B28" s="14">
        <v>66</v>
      </c>
      <c r="C28" s="14">
        <v>97</v>
      </c>
      <c r="D28" s="14">
        <v>163</v>
      </c>
    </row>
    <row r="29" spans="1:4" x14ac:dyDescent="0.3">
      <c r="A29" s="13" t="s">
        <v>1879</v>
      </c>
      <c r="B29" s="14">
        <v>6</v>
      </c>
      <c r="C29" s="14">
        <v>89</v>
      </c>
      <c r="D29" s="14">
        <v>95</v>
      </c>
    </row>
    <row r="30" spans="1:4" x14ac:dyDescent="0.3">
      <c r="A30" s="13" t="s">
        <v>1880</v>
      </c>
      <c r="B30" s="14">
        <v>60</v>
      </c>
      <c r="C30" s="14">
        <v>8</v>
      </c>
      <c r="D30" s="14">
        <v>68</v>
      </c>
    </row>
    <row r="31" spans="1:4" x14ac:dyDescent="0.3">
      <c r="A31" s="12">
        <v>3</v>
      </c>
      <c r="B31" s="14">
        <v>103</v>
      </c>
      <c r="C31" s="14">
        <v>300</v>
      </c>
      <c r="D31" s="14">
        <v>403</v>
      </c>
    </row>
    <row r="32" spans="1:4" x14ac:dyDescent="0.3">
      <c r="A32" s="13" t="s">
        <v>1879</v>
      </c>
      <c r="B32" s="14">
        <v>51</v>
      </c>
      <c r="C32" s="14">
        <v>265</v>
      </c>
      <c r="D32" s="14">
        <v>316</v>
      </c>
    </row>
    <row r="33" spans="1:8" x14ac:dyDescent="0.3">
      <c r="A33" s="13" t="s">
        <v>1880</v>
      </c>
      <c r="B33" s="14">
        <v>52</v>
      </c>
      <c r="C33" s="14">
        <v>35</v>
      </c>
      <c r="D33" s="14">
        <v>87</v>
      </c>
    </row>
    <row r="34" spans="1:8" x14ac:dyDescent="0.3">
      <c r="A34" s="8" t="s">
        <v>1876</v>
      </c>
      <c r="B34" s="14">
        <v>57</v>
      </c>
      <c r="C34" s="14">
        <v>57</v>
      </c>
      <c r="D34" s="14">
        <v>114</v>
      </c>
    </row>
    <row r="35" spans="1:8" x14ac:dyDescent="0.3">
      <c r="A35" s="12">
        <v>1</v>
      </c>
      <c r="B35" s="14">
        <v>6</v>
      </c>
      <c r="C35" s="14">
        <v>3</v>
      </c>
      <c r="D35" s="14">
        <v>9</v>
      </c>
    </row>
    <row r="36" spans="1:8" x14ac:dyDescent="0.3">
      <c r="A36" s="13" t="s">
        <v>1879</v>
      </c>
      <c r="B36" s="14">
        <v>1</v>
      </c>
      <c r="C36" s="14"/>
      <c r="D36" s="14">
        <v>1</v>
      </c>
    </row>
    <row r="37" spans="1:8" x14ac:dyDescent="0.3">
      <c r="A37" s="13" t="s">
        <v>1880</v>
      </c>
      <c r="B37" s="14">
        <v>5</v>
      </c>
      <c r="C37" s="14">
        <v>3</v>
      </c>
      <c r="D37" s="14">
        <v>8</v>
      </c>
    </row>
    <row r="38" spans="1:8" x14ac:dyDescent="0.3">
      <c r="A38" s="12">
        <v>2</v>
      </c>
      <c r="B38" s="14">
        <v>10</v>
      </c>
      <c r="C38" s="14">
        <v>11</v>
      </c>
      <c r="D38" s="14">
        <v>21</v>
      </c>
    </row>
    <row r="39" spans="1:8" x14ac:dyDescent="0.3">
      <c r="A39" s="13" t="s">
        <v>1879</v>
      </c>
      <c r="B39" s="14"/>
      <c r="C39" s="14">
        <v>2</v>
      </c>
      <c r="D39" s="14">
        <v>2</v>
      </c>
    </row>
    <row r="40" spans="1:8" x14ac:dyDescent="0.3">
      <c r="A40" s="13" t="s">
        <v>1880</v>
      </c>
      <c r="B40" s="14">
        <v>10</v>
      </c>
      <c r="C40" s="14">
        <v>9</v>
      </c>
      <c r="D40" s="14">
        <v>19</v>
      </c>
    </row>
    <row r="41" spans="1:8" x14ac:dyDescent="0.3">
      <c r="A41" s="12">
        <v>3</v>
      </c>
      <c r="B41" s="14">
        <v>41</v>
      </c>
      <c r="C41" s="14">
        <v>43</v>
      </c>
      <c r="D41" s="14">
        <v>84</v>
      </c>
    </row>
    <row r="42" spans="1:8" x14ac:dyDescent="0.3">
      <c r="A42" s="13" t="s">
        <v>1879</v>
      </c>
      <c r="B42" s="14">
        <v>21</v>
      </c>
      <c r="C42" s="14">
        <v>31</v>
      </c>
      <c r="D42" s="14">
        <v>52</v>
      </c>
    </row>
    <row r="43" spans="1:8" x14ac:dyDescent="0.3">
      <c r="A43" s="13" t="s">
        <v>1880</v>
      </c>
      <c r="B43" s="14">
        <v>20</v>
      </c>
      <c r="C43" s="14">
        <v>12</v>
      </c>
      <c r="D43" s="14">
        <v>32</v>
      </c>
    </row>
    <row r="44" spans="1:8" x14ac:dyDescent="0.3">
      <c r="A44" s="8" t="s">
        <v>1874</v>
      </c>
      <c r="B44" s="14">
        <v>313</v>
      </c>
      <c r="C44" s="14">
        <v>574</v>
      </c>
      <c r="D44" s="14">
        <v>887</v>
      </c>
    </row>
    <row r="46" spans="1:8" x14ac:dyDescent="0.3">
      <c r="A46" s="11" t="s">
        <v>1872</v>
      </c>
      <c r="B46" t="s">
        <v>1885</v>
      </c>
      <c r="D46" s="11" t="s">
        <v>1872</v>
      </c>
      <c r="E46" t="s">
        <v>1885</v>
      </c>
      <c r="G46" s="11" t="s">
        <v>1872</v>
      </c>
      <c r="H46" t="s">
        <v>1886</v>
      </c>
    </row>
    <row r="47" spans="1:8" x14ac:dyDescent="0.3">
      <c r="A47" s="8" t="s">
        <v>1879</v>
      </c>
      <c r="B47" s="14">
        <v>545</v>
      </c>
      <c r="D47" s="8" t="s">
        <v>1879</v>
      </c>
      <c r="E47">
        <v>545</v>
      </c>
      <c r="G47" s="8" t="s">
        <v>1873</v>
      </c>
      <c r="H47">
        <v>313</v>
      </c>
    </row>
    <row r="48" spans="1:8" x14ac:dyDescent="0.3">
      <c r="A48" s="8" t="s">
        <v>1880</v>
      </c>
      <c r="B48" s="14">
        <v>342</v>
      </c>
      <c r="D48" s="12" t="s">
        <v>1873</v>
      </c>
      <c r="E48">
        <v>81</v>
      </c>
      <c r="G48" s="12" t="s">
        <v>1875</v>
      </c>
      <c r="H48">
        <v>256</v>
      </c>
    </row>
    <row r="49" spans="1:8" x14ac:dyDescent="0.3">
      <c r="A49" s="8" t="s">
        <v>1874</v>
      </c>
      <c r="B49" s="14">
        <v>887</v>
      </c>
      <c r="D49" s="12" t="s">
        <v>1877</v>
      </c>
      <c r="E49">
        <v>464</v>
      </c>
      <c r="G49" s="12" t="s">
        <v>1876</v>
      </c>
      <c r="H49">
        <v>57</v>
      </c>
    </row>
    <row r="50" spans="1:8" x14ac:dyDescent="0.3">
      <c r="D50" s="8" t="s">
        <v>1880</v>
      </c>
      <c r="E50">
        <v>342</v>
      </c>
      <c r="G50" s="8" t="s">
        <v>1877</v>
      </c>
      <c r="H50">
        <v>574</v>
      </c>
    </row>
    <row r="51" spans="1:8" x14ac:dyDescent="0.3">
      <c r="D51" s="12" t="s">
        <v>1873</v>
      </c>
      <c r="E51">
        <v>232</v>
      </c>
      <c r="G51" s="12" t="s">
        <v>1875</v>
      </c>
      <c r="H51">
        <v>517</v>
      </c>
    </row>
    <row r="52" spans="1:8" x14ac:dyDescent="0.3">
      <c r="D52" s="12" t="s">
        <v>1877</v>
      </c>
      <c r="E52">
        <v>110</v>
      </c>
      <c r="G52" s="12" t="s">
        <v>1876</v>
      </c>
      <c r="H52">
        <v>57</v>
      </c>
    </row>
    <row r="53" spans="1:8" x14ac:dyDescent="0.3">
      <c r="D53" s="8" t="s">
        <v>1874</v>
      </c>
      <c r="E53">
        <v>887</v>
      </c>
      <c r="G53" s="8" t="s">
        <v>1874</v>
      </c>
      <c r="H53">
        <v>887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0E1C89-55E1-483E-9584-2899072D8A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Advertising</vt:lpstr>
      <vt:lpstr>Titanic</vt:lpstr>
      <vt:lpstr>Preprocessing</vt:lpstr>
      <vt:lpstr>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Cliff Whitworth</dc:creator>
  <cp:lastModifiedBy>Cliff Whitworth</cp:lastModifiedBy>
  <dcterms:created xsi:type="dcterms:W3CDTF">2023-06-30T17:18:45Z</dcterms:created>
  <dcterms:modified xsi:type="dcterms:W3CDTF">2023-07-25T18:02:52Z</dcterms:modified>
</cp:coreProperties>
</file>