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Ex1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charts/chart2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liff\Documents\1aaaaClasses\Excel Examples\"/>
    </mc:Choice>
  </mc:AlternateContent>
  <xr:revisionPtr revIDLastSave="0" documentId="13_ncr:1_{9490F355-0C61-48E5-AF4C-564D6C003B52}" xr6:coauthVersionLast="47" xr6:coauthVersionMax="47" xr10:uidLastSave="{00000000-0000-0000-0000-000000000000}"/>
  <bookViews>
    <workbookView xWindow="-108" yWindow="-108" windowWidth="23256" windowHeight="12576" activeTab="5" xr2:uid="{00000000-000D-0000-FFFF-FFFF00000000}"/>
  </bookViews>
  <sheets>
    <sheet name="titanic" sheetId="1" r:id="rId1"/>
    <sheet name="Descriptive Stats" sheetId="7" r:id="rId2"/>
    <sheet name="XLOOKUP" sheetId="4" r:id="rId3"/>
    <sheet name="PivotChart" sheetId="3" r:id="rId4"/>
    <sheet name="KDE" sheetId="6" r:id="rId5"/>
    <sheet name="PowerPivot" sheetId="5" r:id="rId6"/>
  </sheets>
  <definedNames>
    <definedName name="_xlchart.v1.0" hidden="1">KDE!$B$2:$B$881</definedName>
  </definedNames>
  <calcPr calcId="191029"/>
  <pivotCaches>
    <pivotCache cacheId="0" r:id="rId7"/>
  </pivotCaches>
  <extLst>
    <ext xmlns:x15="http://schemas.microsoft.com/office/spreadsheetml/2010/11/main" uri="{FCE2AD5D-F65C-4FA6-A056-5C36A1767C68}">
      <x15:dataModel>
        <x15:modelTables>
          <x15:modelTable id="class_e2187fb5-aa65-4bf4-b0e5-1e64c2f4b21b" name="class" connection="Excel titanic power pivot"/>
          <x15:modelTable id="info_e42b3ca1-22e8-45f3-becc-8d6ea3c716e7" name="info" connection="Excel titanic power pivot"/>
          <x15:modelTable id="survived_0e903039-5c46-455b-b428-1704241377f0" name="survived" connection="Excel titanic power pivot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4" i="6" l="1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J33" i="6"/>
  <c r="J13" i="6"/>
  <c r="I15" i="6"/>
  <c r="I16" i="6"/>
  <c r="I17" i="6" s="1"/>
  <c r="I18" i="6" s="1"/>
  <c r="I19" i="6" s="1"/>
  <c r="I20" i="6" s="1"/>
  <c r="I21" i="6" s="1"/>
  <c r="I22" i="6" s="1"/>
  <c r="I23" i="6" s="1"/>
  <c r="I24" i="6" s="1"/>
  <c r="I25" i="6" s="1"/>
  <c r="I26" i="6" s="1"/>
  <c r="I27" i="6" s="1"/>
  <c r="I28" i="6" s="1"/>
  <c r="I29" i="6" s="1"/>
  <c r="I30" i="6" s="1"/>
  <c r="I31" i="6" s="1"/>
  <c r="I32" i="6" s="1"/>
  <c r="I33" i="6" s="1"/>
  <c r="I14" i="6"/>
  <c r="F5" i="6"/>
  <c r="A162" i="6" l="1"/>
  <c r="B162" i="6"/>
  <c r="A163" i="6"/>
  <c r="B163" i="6"/>
  <c r="A164" i="6"/>
  <c r="B164" i="6"/>
  <c r="A165" i="6"/>
  <c r="B165" i="6"/>
  <c r="A166" i="6"/>
  <c r="B166" i="6"/>
  <c r="A167" i="6"/>
  <c r="B167" i="6"/>
  <c r="A168" i="6"/>
  <c r="B168" i="6"/>
  <c r="A169" i="6"/>
  <c r="B169" i="6"/>
  <c r="A170" i="6"/>
  <c r="B170" i="6"/>
  <c r="A171" i="6"/>
  <c r="B171" i="6"/>
  <c r="A172" i="6"/>
  <c r="B172" i="6"/>
  <c r="A173" i="6"/>
  <c r="B173" i="6"/>
  <c r="A174" i="6"/>
  <c r="B174" i="6"/>
  <c r="A175" i="6"/>
  <c r="B175" i="6"/>
  <c r="A176" i="6"/>
  <c r="B176" i="6"/>
  <c r="A177" i="6"/>
  <c r="B177" i="6"/>
  <c r="A178" i="6"/>
  <c r="B178" i="6"/>
  <c r="A179" i="6"/>
  <c r="B179" i="6"/>
  <c r="A180" i="6"/>
  <c r="B180" i="6"/>
  <c r="A181" i="6"/>
  <c r="B181" i="6"/>
  <c r="A182" i="6"/>
  <c r="B182" i="6"/>
  <c r="A183" i="6"/>
  <c r="B183" i="6"/>
  <c r="A184" i="6"/>
  <c r="B184" i="6"/>
  <c r="A185" i="6"/>
  <c r="B185" i="6"/>
  <c r="A186" i="6"/>
  <c r="B186" i="6"/>
  <c r="A187" i="6"/>
  <c r="B187" i="6"/>
  <c r="A188" i="6"/>
  <c r="B188" i="6"/>
  <c r="A189" i="6"/>
  <c r="B189" i="6"/>
  <c r="A190" i="6"/>
  <c r="B190" i="6"/>
  <c r="A191" i="6"/>
  <c r="B191" i="6"/>
  <c r="A192" i="6"/>
  <c r="B192" i="6"/>
  <c r="A193" i="6"/>
  <c r="B193" i="6"/>
  <c r="A194" i="6"/>
  <c r="B194" i="6"/>
  <c r="A195" i="6"/>
  <c r="B195" i="6"/>
  <c r="A196" i="6"/>
  <c r="B196" i="6"/>
  <c r="A197" i="6"/>
  <c r="B197" i="6"/>
  <c r="A198" i="6"/>
  <c r="B198" i="6"/>
  <c r="A199" i="6"/>
  <c r="B199" i="6"/>
  <c r="A200" i="6"/>
  <c r="B200" i="6"/>
  <c r="A201" i="6"/>
  <c r="B201" i="6"/>
  <c r="A202" i="6"/>
  <c r="B202" i="6"/>
  <c r="A203" i="6"/>
  <c r="B203" i="6"/>
  <c r="A204" i="6"/>
  <c r="B204" i="6"/>
  <c r="A205" i="6"/>
  <c r="B205" i="6"/>
  <c r="A206" i="6"/>
  <c r="B206" i="6"/>
  <c r="A207" i="6"/>
  <c r="B207" i="6"/>
  <c r="A208" i="6"/>
  <c r="B208" i="6"/>
  <c r="A209" i="6"/>
  <c r="B209" i="6"/>
  <c r="A210" i="6"/>
  <c r="B210" i="6"/>
  <c r="A211" i="6"/>
  <c r="B211" i="6"/>
  <c r="A212" i="6"/>
  <c r="B212" i="6"/>
  <c r="A213" i="6"/>
  <c r="B213" i="6"/>
  <c r="A214" i="6"/>
  <c r="B214" i="6"/>
  <c r="A215" i="6"/>
  <c r="B215" i="6"/>
  <c r="A216" i="6"/>
  <c r="B216" i="6"/>
  <c r="A217" i="6"/>
  <c r="B217" i="6"/>
  <c r="A218" i="6"/>
  <c r="B218" i="6"/>
  <c r="A219" i="6"/>
  <c r="B219" i="6"/>
  <c r="A220" i="6"/>
  <c r="B220" i="6"/>
  <c r="A221" i="6"/>
  <c r="B221" i="6"/>
  <c r="A222" i="6"/>
  <c r="B222" i="6"/>
  <c r="A223" i="6"/>
  <c r="B223" i="6"/>
  <c r="A224" i="6"/>
  <c r="B224" i="6"/>
  <c r="A225" i="6"/>
  <c r="B225" i="6"/>
  <c r="A226" i="6"/>
  <c r="B226" i="6"/>
  <c r="A227" i="6"/>
  <c r="B227" i="6"/>
  <c r="A228" i="6"/>
  <c r="B228" i="6"/>
  <c r="A229" i="6"/>
  <c r="B229" i="6"/>
  <c r="A230" i="6"/>
  <c r="B230" i="6"/>
  <c r="A231" i="6"/>
  <c r="B231" i="6"/>
  <c r="A232" i="6"/>
  <c r="B232" i="6"/>
  <c r="A233" i="6"/>
  <c r="B233" i="6"/>
  <c r="A234" i="6"/>
  <c r="B234" i="6"/>
  <c r="A235" i="6"/>
  <c r="B235" i="6"/>
  <c r="A236" i="6"/>
  <c r="B236" i="6"/>
  <c r="A237" i="6"/>
  <c r="B237" i="6"/>
  <c r="A238" i="6"/>
  <c r="B238" i="6"/>
  <c r="A239" i="6"/>
  <c r="B239" i="6"/>
  <c r="A240" i="6"/>
  <c r="B240" i="6"/>
  <c r="A241" i="6"/>
  <c r="B241" i="6"/>
  <c r="A242" i="6"/>
  <c r="B242" i="6"/>
  <c r="A243" i="6"/>
  <c r="B243" i="6"/>
  <c r="A244" i="6"/>
  <c r="B244" i="6"/>
  <c r="A245" i="6"/>
  <c r="B245" i="6"/>
  <c r="A246" i="6"/>
  <c r="B246" i="6"/>
  <c r="A247" i="6"/>
  <c r="B247" i="6"/>
  <c r="A248" i="6"/>
  <c r="B248" i="6"/>
  <c r="A249" i="6"/>
  <c r="B249" i="6"/>
  <c r="A250" i="6"/>
  <c r="B250" i="6"/>
  <c r="A251" i="6"/>
  <c r="B251" i="6"/>
  <c r="A252" i="6"/>
  <c r="B252" i="6"/>
  <c r="A253" i="6"/>
  <c r="B253" i="6"/>
  <c r="A254" i="6"/>
  <c r="B254" i="6"/>
  <c r="A255" i="6"/>
  <c r="B255" i="6"/>
  <c r="A256" i="6"/>
  <c r="B256" i="6"/>
  <c r="A257" i="6"/>
  <c r="B257" i="6"/>
  <c r="A258" i="6"/>
  <c r="B258" i="6"/>
  <c r="A259" i="6"/>
  <c r="B259" i="6"/>
  <c r="A260" i="6"/>
  <c r="B260" i="6"/>
  <c r="A261" i="6"/>
  <c r="B261" i="6"/>
  <c r="A262" i="6"/>
  <c r="B262" i="6"/>
  <c r="A263" i="6"/>
  <c r="B263" i="6"/>
  <c r="A264" i="6"/>
  <c r="B264" i="6"/>
  <c r="A265" i="6"/>
  <c r="B265" i="6"/>
  <c r="A266" i="6"/>
  <c r="B266" i="6"/>
  <c r="A267" i="6"/>
  <c r="B267" i="6"/>
  <c r="A268" i="6"/>
  <c r="B268" i="6"/>
  <c r="A269" i="6"/>
  <c r="B269" i="6"/>
  <c r="A270" i="6"/>
  <c r="B270" i="6"/>
  <c r="A271" i="6"/>
  <c r="B271" i="6"/>
  <c r="A272" i="6"/>
  <c r="B272" i="6"/>
  <c r="A273" i="6"/>
  <c r="B273" i="6"/>
  <c r="A274" i="6"/>
  <c r="B274" i="6"/>
  <c r="A275" i="6"/>
  <c r="B275" i="6"/>
  <c r="A276" i="6"/>
  <c r="B276" i="6"/>
  <c r="A277" i="6"/>
  <c r="B277" i="6"/>
  <c r="A278" i="6"/>
  <c r="B278" i="6"/>
  <c r="A279" i="6"/>
  <c r="B279" i="6"/>
  <c r="A280" i="6"/>
  <c r="B280" i="6"/>
  <c r="A281" i="6"/>
  <c r="B281" i="6"/>
  <c r="A282" i="6"/>
  <c r="B282" i="6"/>
  <c r="A283" i="6"/>
  <c r="B283" i="6"/>
  <c r="A284" i="6"/>
  <c r="B284" i="6"/>
  <c r="A285" i="6"/>
  <c r="B285" i="6"/>
  <c r="A286" i="6"/>
  <c r="B286" i="6"/>
  <c r="A287" i="6"/>
  <c r="B287" i="6"/>
  <c r="A288" i="6"/>
  <c r="B288" i="6"/>
  <c r="A289" i="6"/>
  <c r="B289" i="6"/>
  <c r="A290" i="6"/>
  <c r="B290" i="6"/>
  <c r="A291" i="6"/>
  <c r="B291" i="6"/>
  <c r="A292" i="6"/>
  <c r="B292" i="6"/>
  <c r="A293" i="6"/>
  <c r="B293" i="6"/>
  <c r="A294" i="6"/>
  <c r="B294" i="6"/>
  <c r="A295" i="6"/>
  <c r="B295" i="6"/>
  <c r="A296" i="6"/>
  <c r="B296" i="6"/>
  <c r="A297" i="6"/>
  <c r="B297" i="6"/>
  <c r="A298" i="6"/>
  <c r="B298" i="6"/>
  <c r="A299" i="6"/>
  <c r="B299" i="6"/>
  <c r="A300" i="6"/>
  <c r="B300" i="6"/>
  <c r="A301" i="6"/>
  <c r="B301" i="6"/>
  <c r="A302" i="6"/>
  <c r="B302" i="6"/>
  <c r="A303" i="6"/>
  <c r="B303" i="6"/>
  <c r="A304" i="6"/>
  <c r="B304" i="6"/>
  <c r="A305" i="6"/>
  <c r="B305" i="6"/>
  <c r="A306" i="6"/>
  <c r="B306" i="6"/>
  <c r="A307" i="6"/>
  <c r="B307" i="6"/>
  <c r="A308" i="6"/>
  <c r="B308" i="6"/>
  <c r="A309" i="6"/>
  <c r="B309" i="6"/>
  <c r="A310" i="6"/>
  <c r="B310" i="6"/>
  <c r="A311" i="6"/>
  <c r="B311" i="6"/>
  <c r="A312" i="6"/>
  <c r="B312" i="6"/>
  <c r="A313" i="6"/>
  <c r="B313" i="6"/>
  <c r="A314" i="6"/>
  <c r="B314" i="6"/>
  <c r="A315" i="6"/>
  <c r="B315" i="6"/>
  <c r="A316" i="6"/>
  <c r="B316" i="6"/>
  <c r="A317" i="6"/>
  <c r="B317" i="6"/>
  <c r="A318" i="6"/>
  <c r="B318" i="6"/>
  <c r="A319" i="6"/>
  <c r="B319" i="6"/>
  <c r="A320" i="6"/>
  <c r="B320" i="6"/>
  <c r="A321" i="6"/>
  <c r="B321" i="6"/>
  <c r="A322" i="6"/>
  <c r="B322" i="6"/>
  <c r="A323" i="6"/>
  <c r="B323" i="6"/>
  <c r="A324" i="6"/>
  <c r="B324" i="6"/>
  <c r="A325" i="6"/>
  <c r="B325" i="6"/>
  <c r="A326" i="6"/>
  <c r="B326" i="6"/>
  <c r="A327" i="6"/>
  <c r="B327" i="6"/>
  <c r="A328" i="6"/>
  <c r="B328" i="6"/>
  <c r="A329" i="6"/>
  <c r="B329" i="6"/>
  <c r="A330" i="6"/>
  <c r="B330" i="6"/>
  <c r="A331" i="6"/>
  <c r="B331" i="6"/>
  <c r="A332" i="6"/>
  <c r="B332" i="6"/>
  <c r="A333" i="6"/>
  <c r="B333" i="6"/>
  <c r="A334" i="6"/>
  <c r="B334" i="6"/>
  <c r="A335" i="6"/>
  <c r="B335" i="6"/>
  <c r="A336" i="6"/>
  <c r="B336" i="6"/>
  <c r="A337" i="6"/>
  <c r="B337" i="6"/>
  <c r="A338" i="6"/>
  <c r="B338" i="6"/>
  <c r="A339" i="6"/>
  <c r="B339" i="6"/>
  <c r="A340" i="6"/>
  <c r="B340" i="6"/>
  <c r="A341" i="6"/>
  <c r="B341" i="6"/>
  <c r="A342" i="6"/>
  <c r="B342" i="6"/>
  <c r="A343" i="6"/>
  <c r="B343" i="6"/>
  <c r="A344" i="6"/>
  <c r="B344" i="6"/>
  <c r="A345" i="6"/>
  <c r="B345" i="6"/>
  <c r="A346" i="6"/>
  <c r="B346" i="6"/>
  <c r="A347" i="6"/>
  <c r="B347" i="6"/>
  <c r="A348" i="6"/>
  <c r="B348" i="6"/>
  <c r="A349" i="6"/>
  <c r="B349" i="6"/>
  <c r="A350" i="6"/>
  <c r="B350" i="6"/>
  <c r="A351" i="6"/>
  <c r="B351" i="6"/>
  <c r="A352" i="6"/>
  <c r="B352" i="6"/>
  <c r="A353" i="6"/>
  <c r="B353" i="6"/>
  <c r="A354" i="6"/>
  <c r="B354" i="6"/>
  <c r="A355" i="6"/>
  <c r="B355" i="6"/>
  <c r="A356" i="6"/>
  <c r="B356" i="6"/>
  <c r="A357" i="6"/>
  <c r="B357" i="6"/>
  <c r="A358" i="6"/>
  <c r="B358" i="6"/>
  <c r="A359" i="6"/>
  <c r="B359" i="6"/>
  <c r="A360" i="6"/>
  <c r="B360" i="6"/>
  <c r="A361" i="6"/>
  <c r="B361" i="6"/>
  <c r="A362" i="6"/>
  <c r="B362" i="6"/>
  <c r="A363" i="6"/>
  <c r="B363" i="6"/>
  <c r="A364" i="6"/>
  <c r="B364" i="6"/>
  <c r="A365" i="6"/>
  <c r="B365" i="6"/>
  <c r="A366" i="6"/>
  <c r="B366" i="6"/>
  <c r="A367" i="6"/>
  <c r="B367" i="6"/>
  <c r="A368" i="6"/>
  <c r="B368" i="6"/>
  <c r="A369" i="6"/>
  <c r="B369" i="6"/>
  <c r="A370" i="6"/>
  <c r="B370" i="6"/>
  <c r="A371" i="6"/>
  <c r="B371" i="6"/>
  <c r="A372" i="6"/>
  <c r="B372" i="6"/>
  <c r="A373" i="6"/>
  <c r="B373" i="6"/>
  <c r="A374" i="6"/>
  <c r="B374" i="6"/>
  <c r="A375" i="6"/>
  <c r="B375" i="6"/>
  <c r="A376" i="6"/>
  <c r="B376" i="6"/>
  <c r="A377" i="6"/>
  <c r="B377" i="6"/>
  <c r="A378" i="6"/>
  <c r="B378" i="6"/>
  <c r="A379" i="6"/>
  <c r="B379" i="6"/>
  <c r="A380" i="6"/>
  <c r="B380" i="6"/>
  <c r="A381" i="6"/>
  <c r="B381" i="6"/>
  <c r="A382" i="6"/>
  <c r="B382" i="6"/>
  <c r="A383" i="6"/>
  <c r="B383" i="6"/>
  <c r="A384" i="6"/>
  <c r="B384" i="6"/>
  <c r="A385" i="6"/>
  <c r="B385" i="6"/>
  <c r="A386" i="6"/>
  <c r="B386" i="6"/>
  <c r="A387" i="6"/>
  <c r="B387" i="6"/>
  <c r="A388" i="6"/>
  <c r="B388" i="6"/>
  <c r="A389" i="6"/>
  <c r="B389" i="6"/>
  <c r="A390" i="6"/>
  <c r="B390" i="6"/>
  <c r="A391" i="6"/>
  <c r="B391" i="6"/>
  <c r="A392" i="6"/>
  <c r="B392" i="6"/>
  <c r="A393" i="6"/>
  <c r="B393" i="6"/>
  <c r="A394" i="6"/>
  <c r="B394" i="6"/>
  <c r="A395" i="6"/>
  <c r="B395" i="6"/>
  <c r="A396" i="6"/>
  <c r="B396" i="6"/>
  <c r="A397" i="6"/>
  <c r="B397" i="6"/>
  <c r="A398" i="6"/>
  <c r="B398" i="6"/>
  <c r="A399" i="6"/>
  <c r="B399" i="6"/>
  <c r="A400" i="6"/>
  <c r="B400" i="6"/>
  <c r="A401" i="6"/>
  <c r="B401" i="6"/>
  <c r="A402" i="6"/>
  <c r="B402" i="6"/>
  <c r="A403" i="6"/>
  <c r="B403" i="6"/>
  <c r="A404" i="6"/>
  <c r="B404" i="6"/>
  <c r="A405" i="6"/>
  <c r="B405" i="6"/>
  <c r="A406" i="6"/>
  <c r="B406" i="6"/>
  <c r="A407" i="6"/>
  <c r="B407" i="6"/>
  <c r="A408" i="6"/>
  <c r="B408" i="6"/>
  <c r="A409" i="6"/>
  <c r="B409" i="6"/>
  <c r="A410" i="6"/>
  <c r="B410" i="6"/>
  <c r="A411" i="6"/>
  <c r="B411" i="6"/>
  <c r="A412" i="6"/>
  <c r="B412" i="6"/>
  <c r="A413" i="6"/>
  <c r="B413" i="6"/>
  <c r="A414" i="6"/>
  <c r="B414" i="6"/>
  <c r="A415" i="6"/>
  <c r="B415" i="6"/>
  <c r="A416" i="6"/>
  <c r="B416" i="6"/>
  <c r="A417" i="6"/>
  <c r="B417" i="6"/>
  <c r="A418" i="6"/>
  <c r="B418" i="6"/>
  <c r="A419" i="6"/>
  <c r="B419" i="6"/>
  <c r="A420" i="6"/>
  <c r="B420" i="6"/>
  <c r="A421" i="6"/>
  <c r="B421" i="6"/>
  <c r="A422" i="6"/>
  <c r="B422" i="6"/>
  <c r="A423" i="6"/>
  <c r="B423" i="6"/>
  <c r="A424" i="6"/>
  <c r="B424" i="6"/>
  <c r="A425" i="6"/>
  <c r="B425" i="6"/>
  <c r="A426" i="6"/>
  <c r="B426" i="6"/>
  <c r="A427" i="6"/>
  <c r="B427" i="6"/>
  <c r="A428" i="6"/>
  <c r="B428" i="6"/>
  <c r="A429" i="6"/>
  <c r="B429" i="6"/>
  <c r="A430" i="6"/>
  <c r="B430" i="6"/>
  <c r="A431" i="6"/>
  <c r="B431" i="6"/>
  <c r="A432" i="6"/>
  <c r="B432" i="6"/>
  <c r="A433" i="6"/>
  <c r="B433" i="6"/>
  <c r="A434" i="6"/>
  <c r="B434" i="6"/>
  <c r="A435" i="6"/>
  <c r="B435" i="6"/>
  <c r="A436" i="6"/>
  <c r="B436" i="6"/>
  <c r="A437" i="6"/>
  <c r="B437" i="6"/>
  <c r="A438" i="6"/>
  <c r="B438" i="6"/>
  <c r="A439" i="6"/>
  <c r="B439" i="6"/>
  <c r="A440" i="6"/>
  <c r="B440" i="6"/>
  <c r="A441" i="6"/>
  <c r="B441" i="6"/>
  <c r="A442" i="6"/>
  <c r="B442" i="6"/>
  <c r="A443" i="6"/>
  <c r="B443" i="6"/>
  <c r="A444" i="6"/>
  <c r="B444" i="6"/>
  <c r="A445" i="6"/>
  <c r="B445" i="6"/>
  <c r="A446" i="6"/>
  <c r="B446" i="6"/>
  <c r="A447" i="6"/>
  <c r="B447" i="6"/>
  <c r="A448" i="6"/>
  <c r="B448" i="6"/>
  <c r="A449" i="6"/>
  <c r="B449" i="6"/>
  <c r="A450" i="6"/>
  <c r="B450" i="6"/>
  <c r="A451" i="6"/>
  <c r="B451" i="6"/>
  <c r="A452" i="6"/>
  <c r="B452" i="6"/>
  <c r="A453" i="6"/>
  <c r="B453" i="6"/>
  <c r="A454" i="6"/>
  <c r="B454" i="6"/>
  <c r="A455" i="6"/>
  <c r="B455" i="6"/>
  <c r="A456" i="6"/>
  <c r="B456" i="6"/>
  <c r="A457" i="6"/>
  <c r="B457" i="6"/>
  <c r="A458" i="6"/>
  <c r="B458" i="6"/>
  <c r="A459" i="6"/>
  <c r="B459" i="6"/>
  <c r="A460" i="6"/>
  <c r="B460" i="6"/>
  <c r="A461" i="6"/>
  <c r="B461" i="6"/>
  <c r="A462" i="6"/>
  <c r="B462" i="6"/>
  <c r="A463" i="6"/>
  <c r="B463" i="6"/>
  <c r="A464" i="6"/>
  <c r="B464" i="6"/>
  <c r="A465" i="6"/>
  <c r="B465" i="6"/>
  <c r="A466" i="6"/>
  <c r="B466" i="6"/>
  <c r="A467" i="6"/>
  <c r="B467" i="6"/>
  <c r="A468" i="6"/>
  <c r="B468" i="6"/>
  <c r="A469" i="6"/>
  <c r="B469" i="6"/>
  <c r="A470" i="6"/>
  <c r="B470" i="6"/>
  <c r="A471" i="6"/>
  <c r="B471" i="6"/>
  <c r="A472" i="6"/>
  <c r="B472" i="6"/>
  <c r="A473" i="6"/>
  <c r="B473" i="6"/>
  <c r="A474" i="6"/>
  <c r="B474" i="6"/>
  <c r="A475" i="6"/>
  <c r="B475" i="6"/>
  <c r="A476" i="6"/>
  <c r="B476" i="6"/>
  <c r="A477" i="6"/>
  <c r="B477" i="6"/>
  <c r="A478" i="6"/>
  <c r="B478" i="6"/>
  <c r="A479" i="6"/>
  <c r="B479" i="6"/>
  <c r="A480" i="6"/>
  <c r="B480" i="6"/>
  <c r="A481" i="6"/>
  <c r="B481" i="6"/>
  <c r="A482" i="6"/>
  <c r="B482" i="6"/>
  <c r="A483" i="6"/>
  <c r="B483" i="6"/>
  <c r="A484" i="6"/>
  <c r="B484" i="6"/>
  <c r="A485" i="6"/>
  <c r="B485" i="6"/>
  <c r="A486" i="6"/>
  <c r="B486" i="6"/>
  <c r="A487" i="6"/>
  <c r="B487" i="6"/>
  <c r="A488" i="6"/>
  <c r="B488" i="6"/>
  <c r="A489" i="6"/>
  <c r="B489" i="6"/>
  <c r="A490" i="6"/>
  <c r="B490" i="6"/>
  <c r="A491" i="6"/>
  <c r="B491" i="6"/>
  <c r="A492" i="6"/>
  <c r="B492" i="6"/>
  <c r="A493" i="6"/>
  <c r="B493" i="6"/>
  <c r="A494" i="6"/>
  <c r="B494" i="6"/>
  <c r="A495" i="6"/>
  <c r="B495" i="6"/>
  <c r="A496" i="6"/>
  <c r="B496" i="6"/>
  <c r="A497" i="6"/>
  <c r="B497" i="6"/>
  <c r="A498" i="6"/>
  <c r="B498" i="6"/>
  <c r="A499" i="6"/>
  <c r="B499" i="6"/>
  <c r="A500" i="6"/>
  <c r="B500" i="6"/>
  <c r="A501" i="6"/>
  <c r="B501" i="6"/>
  <c r="A502" i="6"/>
  <c r="B502" i="6"/>
  <c r="A503" i="6"/>
  <c r="B503" i="6"/>
  <c r="A504" i="6"/>
  <c r="B504" i="6"/>
  <c r="A505" i="6"/>
  <c r="B505" i="6"/>
  <c r="A506" i="6"/>
  <c r="B506" i="6"/>
  <c r="A507" i="6"/>
  <c r="B507" i="6"/>
  <c r="A508" i="6"/>
  <c r="B508" i="6"/>
  <c r="A509" i="6"/>
  <c r="B509" i="6"/>
  <c r="A510" i="6"/>
  <c r="B510" i="6"/>
  <c r="A511" i="6"/>
  <c r="B511" i="6"/>
  <c r="A512" i="6"/>
  <c r="B512" i="6"/>
  <c r="A513" i="6"/>
  <c r="B513" i="6"/>
  <c r="A514" i="6"/>
  <c r="B514" i="6"/>
  <c r="A515" i="6"/>
  <c r="B515" i="6"/>
  <c r="A516" i="6"/>
  <c r="B516" i="6"/>
  <c r="A517" i="6"/>
  <c r="B517" i="6"/>
  <c r="A518" i="6"/>
  <c r="B518" i="6"/>
  <c r="A519" i="6"/>
  <c r="B519" i="6"/>
  <c r="A520" i="6"/>
  <c r="B520" i="6"/>
  <c r="A521" i="6"/>
  <c r="B521" i="6"/>
  <c r="A522" i="6"/>
  <c r="B522" i="6"/>
  <c r="A523" i="6"/>
  <c r="B523" i="6"/>
  <c r="A524" i="6"/>
  <c r="B524" i="6"/>
  <c r="A525" i="6"/>
  <c r="B525" i="6"/>
  <c r="A526" i="6"/>
  <c r="B526" i="6"/>
  <c r="A527" i="6"/>
  <c r="B527" i="6"/>
  <c r="A528" i="6"/>
  <c r="B528" i="6"/>
  <c r="A529" i="6"/>
  <c r="B529" i="6"/>
  <c r="A530" i="6"/>
  <c r="B530" i="6"/>
  <c r="A531" i="6"/>
  <c r="B531" i="6"/>
  <c r="A532" i="6"/>
  <c r="B532" i="6"/>
  <c r="A533" i="6"/>
  <c r="B533" i="6"/>
  <c r="A534" i="6"/>
  <c r="B534" i="6"/>
  <c r="A535" i="6"/>
  <c r="B535" i="6"/>
  <c r="A536" i="6"/>
  <c r="B536" i="6"/>
  <c r="A537" i="6"/>
  <c r="B537" i="6"/>
  <c r="A538" i="6"/>
  <c r="B538" i="6"/>
  <c r="A539" i="6"/>
  <c r="B539" i="6"/>
  <c r="A540" i="6"/>
  <c r="B540" i="6"/>
  <c r="A541" i="6"/>
  <c r="B541" i="6"/>
  <c r="A542" i="6"/>
  <c r="B542" i="6"/>
  <c r="A543" i="6"/>
  <c r="B543" i="6"/>
  <c r="A544" i="6"/>
  <c r="B544" i="6"/>
  <c r="A545" i="6"/>
  <c r="B545" i="6"/>
  <c r="A546" i="6"/>
  <c r="B546" i="6"/>
  <c r="A547" i="6"/>
  <c r="B547" i="6"/>
  <c r="A548" i="6"/>
  <c r="B548" i="6"/>
  <c r="A549" i="6"/>
  <c r="B549" i="6"/>
  <c r="A550" i="6"/>
  <c r="B550" i="6"/>
  <c r="A551" i="6"/>
  <c r="B551" i="6"/>
  <c r="A552" i="6"/>
  <c r="B552" i="6"/>
  <c r="A553" i="6"/>
  <c r="B553" i="6"/>
  <c r="A554" i="6"/>
  <c r="B554" i="6"/>
  <c r="A555" i="6"/>
  <c r="B555" i="6"/>
  <c r="A556" i="6"/>
  <c r="B556" i="6"/>
  <c r="A557" i="6"/>
  <c r="B557" i="6"/>
  <c r="A558" i="6"/>
  <c r="B558" i="6"/>
  <c r="A559" i="6"/>
  <c r="B559" i="6"/>
  <c r="A560" i="6"/>
  <c r="B560" i="6"/>
  <c r="A561" i="6"/>
  <c r="B561" i="6"/>
  <c r="A562" i="6"/>
  <c r="B562" i="6"/>
  <c r="A563" i="6"/>
  <c r="B563" i="6"/>
  <c r="A564" i="6"/>
  <c r="B564" i="6"/>
  <c r="A565" i="6"/>
  <c r="B565" i="6"/>
  <c r="A566" i="6"/>
  <c r="B566" i="6"/>
  <c r="A567" i="6"/>
  <c r="B567" i="6"/>
  <c r="A568" i="6"/>
  <c r="B568" i="6"/>
  <c r="A569" i="6"/>
  <c r="B569" i="6"/>
  <c r="A570" i="6"/>
  <c r="B570" i="6"/>
  <c r="A571" i="6"/>
  <c r="B571" i="6"/>
  <c r="A572" i="6"/>
  <c r="B572" i="6"/>
  <c r="A573" i="6"/>
  <c r="B573" i="6"/>
  <c r="A574" i="6"/>
  <c r="B574" i="6"/>
  <c r="A575" i="6"/>
  <c r="B575" i="6"/>
  <c r="A576" i="6"/>
  <c r="B576" i="6"/>
  <c r="A577" i="6"/>
  <c r="B577" i="6"/>
  <c r="A578" i="6"/>
  <c r="B578" i="6"/>
  <c r="A579" i="6"/>
  <c r="B579" i="6"/>
  <c r="A580" i="6"/>
  <c r="B580" i="6"/>
  <c r="A581" i="6"/>
  <c r="B581" i="6"/>
  <c r="A582" i="6"/>
  <c r="B582" i="6"/>
  <c r="A583" i="6"/>
  <c r="B583" i="6"/>
  <c r="A584" i="6"/>
  <c r="B584" i="6"/>
  <c r="A585" i="6"/>
  <c r="B585" i="6"/>
  <c r="A586" i="6"/>
  <c r="B586" i="6"/>
  <c r="A587" i="6"/>
  <c r="B587" i="6"/>
  <c r="A588" i="6"/>
  <c r="B588" i="6"/>
  <c r="A589" i="6"/>
  <c r="B589" i="6"/>
  <c r="A590" i="6"/>
  <c r="B590" i="6"/>
  <c r="A591" i="6"/>
  <c r="B591" i="6"/>
  <c r="A592" i="6"/>
  <c r="B592" i="6"/>
  <c r="A593" i="6"/>
  <c r="B593" i="6"/>
  <c r="A594" i="6"/>
  <c r="B594" i="6"/>
  <c r="A595" i="6"/>
  <c r="B595" i="6"/>
  <c r="A596" i="6"/>
  <c r="B596" i="6"/>
  <c r="A597" i="6"/>
  <c r="B597" i="6"/>
  <c r="A598" i="6"/>
  <c r="B598" i="6"/>
  <c r="A599" i="6"/>
  <c r="B599" i="6"/>
  <c r="A600" i="6"/>
  <c r="B600" i="6"/>
  <c r="A601" i="6"/>
  <c r="B601" i="6"/>
  <c r="A602" i="6"/>
  <c r="B602" i="6"/>
  <c r="A603" i="6"/>
  <c r="B603" i="6"/>
  <c r="A604" i="6"/>
  <c r="B604" i="6"/>
  <c r="A605" i="6"/>
  <c r="B605" i="6"/>
  <c r="A606" i="6"/>
  <c r="B606" i="6"/>
  <c r="A607" i="6"/>
  <c r="B607" i="6"/>
  <c r="A608" i="6"/>
  <c r="B608" i="6"/>
  <c r="A609" i="6"/>
  <c r="B609" i="6"/>
  <c r="A610" i="6"/>
  <c r="B610" i="6"/>
  <c r="A611" i="6"/>
  <c r="B611" i="6"/>
  <c r="A612" i="6"/>
  <c r="B612" i="6"/>
  <c r="A613" i="6"/>
  <c r="B613" i="6"/>
  <c r="A614" i="6"/>
  <c r="B614" i="6"/>
  <c r="A615" i="6"/>
  <c r="B615" i="6"/>
  <c r="A616" i="6"/>
  <c r="B616" i="6"/>
  <c r="A617" i="6"/>
  <c r="B617" i="6"/>
  <c r="A618" i="6"/>
  <c r="B618" i="6"/>
  <c r="A619" i="6"/>
  <c r="B619" i="6"/>
  <c r="A620" i="6"/>
  <c r="B620" i="6"/>
  <c r="A621" i="6"/>
  <c r="B621" i="6"/>
  <c r="A622" i="6"/>
  <c r="B622" i="6"/>
  <c r="A623" i="6"/>
  <c r="B623" i="6"/>
  <c r="A624" i="6"/>
  <c r="B624" i="6"/>
  <c r="A625" i="6"/>
  <c r="B625" i="6"/>
  <c r="A626" i="6"/>
  <c r="B626" i="6"/>
  <c r="A627" i="6"/>
  <c r="B627" i="6"/>
  <c r="A628" i="6"/>
  <c r="B628" i="6"/>
  <c r="A629" i="6"/>
  <c r="B629" i="6"/>
  <c r="A630" i="6"/>
  <c r="B630" i="6"/>
  <c r="A631" i="6"/>
  <c r="B631" i="6"/>
  <c r="A632" i="6"/>
  <c r="B632" i="6"/>
  <c r="A633" i="6"/>
  <c r="B633" i="6"/>
  <c r="A634" i="6"/>
  <c r="B634" i="6"/>
  <c r="A635" i="6"/>
  <c r="B635" i="6"/>
  <c r="A636" i="6"/>
  <c r="B636" i="6"/>
  <c r="A637" i="6"/>
  <c r="B637" i="6"/>
  <c r="A638" i="6"/>
  <c r="B638" i="6"/>
  <c r="A639" i="6"/>
  <c r="B639" i="6"/>
  <c r="A640" i="6"/>
  <c r="B640" i="6"/>
  <c r="A641" i="6"/>
  <c r="B641" i="6"/>
  <c r="A642" i="6"/>
  <c r="B642" i="6"/>
  <c r="A643" i="6"/>
  <c r="B643" i="6"/>
  <c r="A644" i="6"/>
  <c r="B644" i="6"/>
  <c r="A645" i="6"/>
  <c r="B645" i="6"/>
  <c r="A646" i="6"/>
  <c r="B646" i="6"/>
  <c r="A647" i="6"/>
  <c r="B647" i="6"/>
  <c r="A648" i="6"/>
  <c r="B648" i="6"/>
  <c r="A649" i="6"/>
  <c r="B649" i="6"/>
  <c r="A650" i="6"/>
  <c r="B650" i="6"/>
  <c r="A651" i="6"/>
  <c r="B651" i="6"/>
  <c r="A652" i="6"/>
  <c r="B652" i="6"/>
  <c r="A653" i="6"/>
  <c r="B653" i="6"/>
  <c r="A654" i="6"/>
  <c r="B654" i="6"/>
  <c r="A655" i="6"/>
  <c r="B655" i="6"/>
  <c r="A656" i="6"/>
  <c r="B656" i="6"/>
  <c r="A657" i="6"/>
  <c r="B657" i="6"/>
  <c r="A658" i="6"/>
  <c r="B658" i="6"/>
  <c r="A659" i="6"/>
  <c r="B659" i="6"/>
  <c r="A660" i="6"/>
  <c r="B660" i="6"/>
  <c r="A661" i="6"/>
  <c r="B661" i="6"/>
  <c r="A662" i="6"/>
  <c r="B662" i="6"/>
  <c r="A663" i="6"/>
  <c r="B663" i="6"/>
  <c r="A664" i="6"/>
  <c r="B664" i="6"/>
  <c r="A665" i="6"/>
  <c r="B665" i="6"/>
  <c r="A666" i="6"/>
  <c r="B666" i="6"/>
  <c r="A667" i="6"/>
  <c r="B667" i="6"/>
  <c r="A668" i="6"/>
  <c r="B668" i="6"/>
  <c r="A669" i="6"/>
  <c r="B669" i="6"/>
  <c r="A670" i="6"/>
  <c r="B670" i="6"/>
  <c r="A671" i="6"/>
  <c r="B671" i="6"/>
  <c r="A672" i="6"/>
  <c r="B672" i="6"/>
  <c r="A673" i="6"/>
  <c r="B673" i="6"/>
  <c r="A674" i="6"/>
  <c r="B674" i="6"/>
  <c r="A675" i="6"/>
  <c r="B675" i="6"/>
  <c r="A676" i="6"/>
  <c r="B676" i="6"/>
  <c r="A677" i="6"/>
  <c r="B677" i="6"/>
  <c r="A678" i="6"/>
  <c r="B678" i="6"/>
  <c r="A679" i="6"/>
  <c r="B679" i="6"/>
  <c r="A680" i="6"/>
  <c r="B680" i="6"/>
  <c r="A681" i="6"/>
  <c r="B681" i="6"/>
  <c r="A682" i="6"/>
  <c r="B682" i="6"/>
  <c r="A683" i="6"/>
  <c r="B683" i="6"/>
  <c r="A684" i="6"/>
  <c r="B684" i="6"/>
  <c r="A685" i="6"/>
  <c r="B685" i="6"/>
  <c r="A686" i="6"/>
  <c r="B686" i="6"/>
  <c r="A687" i="6"/>
  <c r="B687" i="6"/>
  <c r="A688" i="6"/>
  <c r="B688" i="6"/>
  <c r="A689" i="6"/>
  <c r="B689" i="6"/>
  <c r="A690" i="6"/>
  <c r="B690" i="6"/>
  <c r="A691" i="6"/>
  <c r="B691" i="6"/>
  <c r="A692" i="6"/>
  <c r="B692" i="6"/>
  <c r="A693" i="6"/>
  <c r="B693" i="6"/>
  <c r="A694" i="6"/>
  <c r="B694" i="6"/>
  <c r="A695" i="6"/>
  <c r="B695" i="6"/>
  <c r="A696" i="6"/>
  <c r="B696" i="6"/>
  <c r="A697" i="6"/>
  <c r="B697" i="6"/>
  <c r="A698" i="6"/>
  <c r="B698" i="6"/>
  <c r="A699" i="6"/>
  <c r="B699" i="6"/>
  <c r="A700" i="6"/>
  <c r="B700" i="6"/>
  <c r="A701" i="6"/>
  <c r="B701" i="6"/>
  <c r="A702" i="6"/>
  <c r="B702" i="6"/>
  <c r="A703" i="6"/>
  <c r="B703" i="6"/>
  <c r="A704" i="6"/>
  <c r="B704" i="6"/>
  <c r="A705" i="6"/>
  <c r="B705" i="6"/>
  <c r="A706" i="6"/>
  <c r="B706" i="6"/>
  <c r="A707" i="6"/>
  <c r="B707" i="6"/>
  <c r="A708" i="6"/>
  <c r="B708" i="6"/>
  <c r="A709" i="6"/>
  <c r="B709" i="6"/>
  <c r="A710" i="6"/>
  <c r="B710" i="6"/>
  <c r="A711" i="6"/>
  <c r="B711" i="6"/>
  <c r="A712" i="6"/>
  <c r="B712" i="6"/>
  <c r="A713" i="6"/>
  <c r="B713" i="6"/>
  <c r="A714" i="6"/>
  <c r="B714" i="6"/>
  <c r="A715" i="6"/>
  <c r="B715" i="6"/>
  <c r="A716" i="6"/>
  <c r="B716" i="6"/>
  <c r="A717" i="6"/>
  <c r="B717" i="6"/>
  <c r="A718" i="6"/>
  <c r="B718" i="6"/>
  <c r="A719" i="6"/>
  <c r="B719" i="6"/>
  <c r="A720" i="6"/>
  <c r="B720" i="6"/>
  <c r="A721" i="6"/>
  <c r="B721" i="6"/>
  <c r="A722" i="6"/>
  <c r="B722" i="6"/>
  <c r="A723" i="6"/>
  <c r="B723" i="6"/>
  <c r="A724" i="6"/>
  <c r="B724" i="6"/>
  <c r="A725" i="6"/>
  <c r="B725" i="6"/>
  <c r="A726" i="6"/>
  <c r="B726" i="6"/>
  <c r="A727" i="6"/>
  <c r="B727" i="6"/>
  <c r="A728" i="6"/>
  <c r="B728" i="6"/>
  <c r="A729" i="6"/>
  <c r="B729" i="6"/>
  <c r="A730" i="6"/>
  <c r="B730" i="6"/>
  <c r="A731" i="6"/>
  <c r="B731" i="6"/>
  <c r="A732" i="6"/>
  <c r="B732" i="6"/>
  <c r="A733" i="6"/>
  <c r="B733" i="6"/>
  <c r="A734" i="6"/>
  <c r="B734" i="6"/>
  <c r="A735" i="6"/>
  <c r="B735" i="6"/>
  <c r="A736" i="6"/>
  <c r="B736" i="6"/>
  <c r="A737" i="6"/>
  <c r="B737" i="6"/>
  <c r="A738" i="6"/>
  <c r="B738" i="6"/>
  <c r="A739" i="6"/>
  <c r="B739" i="6"/>
  <c r="A740" i="6"/>
  <c r="B740" i="6"/>
  <c r="A741" i="6"/>
  <c r="B741" i="6"/>
  <c r="A742" i="6"/>
  <c r="B742" i="6"/>
  <c r="A743" i="6"/>
  <c r="B743" i="6"/>
  <c r="A744" i="6"/>
  <c r="B744" i="6"/>
  <c r="A745" i="6"/>
  <c r="B745" i="6"/>
  <c r="A746" i="6"/>
  <c r="B746" i="6"/>
  <c r="A747" i="6"/>
  <c r="B747" i="6"/>
  <c r="A748" i="6"/>
  <c r="B748" i="6"/>
  <c r="A749" i="6"/>
  <c r="B749" i="6"/>
  <c r="A750" i="6"/>
  <c r="B750" i="6"/>
  <c r="A751" i="6"/>
  <c r="B751" i="6"/>
  <c r="A752" i="6"/>
  <c r="B752" i="6"/>
  <c r="A753" i="6"/>
  <c r="B753" i="6"/>
  <c r="A754" i="6"/>
  <c r="B754" i="6"/>
  <c r="A755" i="6"/>
  <c r="B755" i="6"/>
  <c r="A756" i="6"/>
  <c r="B756" i="6"/>
  <c r="A757" i="6"/>
  <c r="B757" i="6"/>
  <c r="A758" i="6"/>
  <c r="B758" i="6"/>
  <c r="A759" i="6"/>
  <c r="B759" i="6"/>
  <c r="A760" i="6"/>
  <c r="B760" i="6"/>
  <c r="A761" i="6"/>
  <c r="B761" i="6"/>
  <c r="A762" i="6"/>
  <c r="B762" i="6"/>
  <c r="A763" i="6"/>
  <c r="B763" i="6"/>
  <c r="A764" i="6"/>
  <c r="B764" i="6"/>
  <c r="A765" i="6"/>
  <c r="B765" i="6"/>
  <c r="A766" i="6"/>
  <c r="B766" i="6"/>
  <c r="A767" i="6"/>
  <c r="B767" i="6"/>
  <c r="A768" i="6"/>
  <c r="B768" i="6"/>
  <c r="A769" i="6"/>
  <c r="B769" i="6"/>
  <c r="A770" i="6"/>
  <c r="B770" i="6"/>
  <c r="A771" i="6"/>
  <c r="B771" i="6"/>
  <c r="A772" i="6"/>
  <c r="B772" i="6"/>
  <c r="A773" i="6"/>
  <c r="B773" i="6"/>
  <c r="A774" i="6"/>
  <c r="B774" i="6"/>
  <c r="A775" i="6"/>
  <c r="B775" i="6"/>
  <c r="A776" i="6"/>
  <c r="B776" i="6"/>
  <c r="A777" i="6"/>
  <c r="B777" i="6"/>
  <c r="A778" i="6"/>
  <c r="B778" i="6"/>
  <c r="A779" i="6"/>
  <c r="B779" i="6"/>
  <c r="A780" i="6"/>
  <c r="B780" i="6"/>
  <c r="A781" i="6"/>
  <c r="B781" i="6"/>
  <c r="A782" i="6"/>
  <c r="B782" i="6"/>
  <c r="A783" i="6"/>
  <c r="B783" i="6"/>
  <c r="A784" i="6"/>
  <c r="B784" i="6"/>
  <c r="A785" i="6"/>
  <c r="B785" i="6"/>
  <c r="A786" i="6"/>
  <c r="B786" i="6"/>
  <c r="A787" i="6"/>
  <c r="B787" i="6"/>
  <c r="A788" i="6"/>
  <c r="B788" i="6"/>
  <c r="A789" i="6"/>
  <c r="B789" i="6"/>
  <c r="A790" i="6"/>
  <c r="B790" i="6"/>
  <c r="A791" i="6"/>
  <c r="B791" i="6"/>
  <c r="A792" i="6"/>
  <c r="B792" i="6"/>
  <c r="A793" i="6"/>
  <c r="B793" i="6"/>
  <c r="A794" i="6"/>
  <c r="B794" i="6"/>
  <c r="A795" i="6"/>
  <c r="B795" i="6"/>
  <c r="A796" i="6"/>
  <c r="B796" i="6"/>
  <c r="A797" i="6"/>
  <c r="B797" i="6"/>
  <c r="A798" i="6"/>
  <c r="B798" i="6"/>
  <c r="A799" i="6"/>
  <c r="B799" i="6"/>
  <c r="A800" i="6"/>
  <c r="B800" i="6"/>
  <c r="A801" i="6"/>
  <c r="B801" i="6"/>
  <c r="A802" i="6"/>
  <c r="B802" i="6"/>
  <c r="A803" i="6"/>
  <c r="B803" i="6"/>
  <c r="A804" i="6"/>
  <c r="B804" i="6"/>
  <c r="A805" i="6"/>
  <c r="B805" i="6"/>
  <c r="A806" i="6"/>
  <c r="B806" i="6"/>
  <c r="A807" i="6"/>
  <c r="B807" i="6"/>
  <c r="A808" i="6"/>
  <c r="B808" i="6"/>
  <c r="A809" i="6"/>
  <c r="B809" i="6"/>
  <c r="A810" i="6"/>
  <c r="B810" i="6"/>
  <c r="A811" i="6"/>
  <c r="B811" i="6"/>
  <c r="A812" i="6"/>
  <c r="B812" i="6"/>
  <c r="A813" i="6"/>
  <c r="B813" i="6"/>
  <c r="A814" i="6"/>
  <c r="B814" i="6"/>
  <c r="A815" i="6"/>
  <c r="B815" i="6"/>
  <c r="A816" i="6"/>
  <c r="B816" i="6"/>
  <c r="A817" i="6"/>
  <c r="B817" i="6"/>
  <c r="A818" i="6"/>
  <c r="B818" i="6"/>
  <c r="A819" i="6"/>
  <c r="B819" i="6"/>
  <c r="A820" i="6"/>
  <c r="B820" i="6"/>
  <c r="A821" i="6"/>
  <c r="B821" i="6"/>
  <c r="A822" i="6"/>
  <c r="B822" i="6"/>
  <c r="A823" i="6"/>
  <c r="B823" i="6"/>
  <c r="A824" i="6"/>
  <c r="B824" i="6"/>
  <c r="A825" i="6"/>
  <c r="B825" i="6"/>
  <c r="A826" i="6"/>
  <c r="B826" i="6"/>
  <c r="A827" i="6"/>
  <c r="B827" i="6"/>
  <c r="A828" i="6"/>
  <c r="B828" i="6"/>
  <c r="A829" i="6"/>
  <c r="B829" i="6"/>
  <c r="A830" i="6"/>
  <c r="B830" i="6"/>
  <c r="A831" i="6"/>
  <c r="B831" i="6"/>
  <c r="A832" i="6"/>
  <c r="B832" i="6"/>
  <c r="A833" i="6"/>
  <c r="B833" i="6"/>
  <c r="A834" i="6"/>
  <c r="B834" i="6"/>
  <c r="A835" i="6"/>
  <c r="B835" i="6"/>
  <c r="A836" i="6"/>
  <c r="B836" i="6"/>
  <c r="A837" i="6"/>
  <c r="B837" i="6"/>
  <c r="A838" i="6"/>
  <c r="B838" i="6"/>
  <c r="A839" i="6"/>
  <c r="B839" i="6"/>
  <c r="A840" i="6"/>
  <c r="B840" i="6"/>
  <c r="A841" i="6"/>
  <c r="B841" i="6"/>
  <c r="A842" i="6"/>
  <c r="B842" i="6"/>
  <c r="A843" i="6"/>
  <c r="B843" i="6"/>
  <c r="A844" i="6"/>
  <c r="B844" i="6"/>
  <c r="A845" i="6"/>
  <c r="B845" i="6"/>
  <c r="A846" i="6"/>
  <c r="B846" i="6"/>
  <c r="A847" i="6"/>
  <c r="B847" i="6"/>
  <c r="A848" i="6"/>
  <c r="B848" i="6"/>
  <c r="A849" i="6"/>
  <c r="B849" i="6"/>
  <c r="A850" i="6"/>
  <c r="B850" i="6"/>
  <c r="A851" i="6"/>
  <c r="B851" i="6"/>
  <c r="A852" i="6"/>
  <c r="B852" i="6"/>
  <c r="A853" i="6"/>
  <c r="B853" i="6"/>
  <c r="A854" i="6"/>
  <c r="B854" i="6"/>
  <c r="A855" i="6"/>
  <c r="B855" i="6"/>
  <c r="A856" i="6"/>
  <c r="B856" i="6"/>
  <c r="A857" i="6"/>
  <c r="B857" i="6"/>
  <c r="A858" i="6"/>
  <c r="B858" i="6"/>
  <c r="A859" i="6"/>
  <c r="B859" i="6"/>
  <c r="A860" i="6"/>
  <c r="B860" i="6"/>
  <c r="A861" i="6"/>
  <c r="B861" i="6"/>
  <c r="A862" i="6"/>
  <c r="B862" i="6"/>
  <c r="A863" i="6"/>
  <c r="B863" i="6"/>
  <c r="A864" i="6"/>
  <c r="B864" i="6"/>
  <c r="A865" i="6"/>
  <c r="B865" i="6"/>
  <c r="A866" i="6"/>
  <c r="B866" i="6"/>
  <c r="A867" i="6"/>
  <c r="B867" i="6"/>
  <c r="A868" i="6"/>
  <c r="B868" i="6"/>
  <c r="A869" i="6"/>
  <c r="B869" i="6"/>
  <c r="A870" i="6"/>
  <c r="B870" i="6"/>
  <c r="A871" i="6"/>
  <c r="B871" i="6"/>
  <c r="A872" i="6"/>
  <c r="B872" i="6"/>
  <c r="A873" i="6"/>
  <c r="B873" i="6"/>
  <c r="A874" i="6"/>
  <c r="B874" i="6"/>
  <c r="A875" i="6"/>
  <c r="B875" i="6"/>
  <c r="A876" i="6"/>
  <c r="B876" i="6"/>
  <c r="A877" i="6"/>
  <c r="B877" i="6"/>
  <c r="A878" i="6"/>
  <c r="B878" i="6"/>
  <c r="A879" i="6"/>
  <c r="B879" i="6"/>
  <c r="A880" i="6"/>
  <c r="B880" i="6"/>
  <c r="A881" i="6"/>
  <c r="B881" i="6"/>
  <c r="F13" i="6"/>
  <c r="E13" i="6"/>
  <c r="F10" i="6"/>
  <c r="F7" i="6"/>
  <c r="F8" i="6" s="1"/>
  <c r="F9" i="6" s="1"/>
  <c r="E14" i="6" s="1"/>
  <c r="F14" i="6" s="1"/>
  <c r="F6" i="6"/>
  <c r="F4" i="6"/>
  <c r="F3" i="6"/>
  <c r="F2" i="6"/>
  <c r="B3" i="6"/>
  <c r="B4" i="6"/>
  <c r="B5" i="6"/>
  <c r="B6" i="6"/>
  <c r="B7" i="6"/>
  <c r="B8" i="6"/>
  <c r="B9" i="6"/>
  <c r="B10" i="6"/>
  <c r="B11" i="6"/>
  <c r="B12" i="6"/>
  <c r="B13" i="6"/>
  <c r="B14" i="6"/>
  <c r="B15" i="6"/>
  <c r="B16" i="6"/>
  <c r="B17" i="6"/>
  <c r="B18" i="6"/>
  <c r="B19" i="6"/>
  <c r="B20" i="6"/>
  <c r="B21" i="6"/>
  <c r="B22" i="6"/>
  <c r="B23" i="6"/>
  <c r="B24" i="6"/>
  <c r="B25" i="6"/>
  <c r="B26" i="6"/>
  <c r="B27" i="6"/>
  <c r="B28" i="6"/>
  <c r="B29" i="6"/>
  <c r="B30" i="6"/>
  <c r="B31" i="6"/>
  <c r="B32" i="6"/>
  <c r="B33" i="6"/>
  <c r="B34" i="6"/>
  <c r="B35" i="6"/>
  <c r="B36" i="6"/>
  <c r="B37" i="6"/>
  <c r="B38" i="6"/>
  <c r="B39" i="6"/>
  <c r="B40" i="6"/>
  <c r="B41" i="6"/>
  <c r="B42" i="6"/>
  <c r="B43" i="6"/>
  <c r="B44" i="6"/>
  <c r="B45" i="6"/>
  <c r="B46" i="6"/>
  <c r="B47" i="6"/>
  <c r="B48" i="6"/>
  <c r="B49" i="6"/>
  <c r="B50" i="6"/>
  <c r="B51" i="6"/>
  <c r="B52" i="6"/>
  <c r="B53" i="6"/>
  <c r="B54" i="6"/>
  <c r="B55" i="6"/>
  <c r="B56" i="6"/>
  <c r="B57" i="6"/>
  <c r="B58" i="6"/>
  <c r="B59" i="6"/>
  <c r="B60" i="6"/>
  <c r="B61" i="6"/>
  <c r="B62" i="6"/>
  <c r="B63" i="6"/>
  <c r="B64" i="6"/>
  <c r="B65" i="6"/>
  <c r="B66" i="6"/>
  <c r="B67" i="6"/>
  <c r="B68" i="6"/>
  <c r="B69" i="6"/>
  <c r="B70" i="6"/>
  <c r="B71" i="6"/>
  <c r="B72" i="6"/>
  <c r="B73" i="6"/>
  <c r="B74" i="6"/>
  <c r="B75" i="6"/>
  <c r="B76" i="6"/>
  <c r="B77" i="6"/>
  <c r="B78" i="6"/>
  <c r="B79" i="6"/>
  <c r="B80" i="6"/>
  <c r="B81" i="6"/>
  <c r="B82" i="6"/>
  <c r="B83" i="6"/>
  <c r="B84" i="6"/>
  <c r="B85" i="6"/>
  <c r="B86" i="6"/>
  <c r="B87" i="6"/>
  <c r="B88" i="6"/>
  <c r="B89" i="6"/>
  <c r="B90" i="6"/>
  <c r="B91" i="6"/>
  <c r="B92" i="6"/>
  <c r="B93" i="6"/>
  <c r="B94" i="6"/>
  <c r="B95" i="6"/>
  <c r="B96" i="6"/>
  <c r="B97" i="6"/>
  <c r="B98" i="6"/>
  <c r="B99" i="6"/>
  <c r="B100" i="6"/>
  <c r="B101" i="6"/>
  <c r="B102" i="6"/>
  <c r="B103" i="6"/>
  <c r="B104" i="6"/>
  <c r="B105" i="6"/>
  <c r="B106" i="6"/>
  <c r="B107" i="6"/>
  <c r="B108" i="6"/>
  <c r="B109" i="6"/>
  <c r="B110" i="6"/>
  <c r="B111" i="6"/>
  <c r="B112" i="6"/>
  <c r="B113" i="6"/>
  <c r="B114" i="6"/>
  <c r="B115" i="6"/>
  <c r="B116" i="6"/>
  <c r="B117" i="6"/>
  <c r="B118" i="6"/>
  <c r="B119" i="6"/>
  <c r="B120" i="6"/>
  <c r="B121" i="6"/>
  <c r="B122" i="6"/>
  <c r="B123" i="6"/>
  <c r="B124" i="6"/>
  <c r="B125" i="6"/>
  <c r="B126" i="6"/>
  <c r="B127" i="6"/>
  <c r="B128" i="6"/>
  <c r="B129" i="6"/>
  <c r="B130" i="6"/>
  <c r="B131" i="6"/>
  <c r="B132" i="6"/>
  <c r="B133" i="6"/>
  <c r="B134" i="6"/>
  <c r="B135" i="6"/>
  <c r="B136" i="6"/>
  <c r="B137" i="6"/>
  <c r="B138" i="6"/>
  <c r="B139" i="6"/>
  <c r="B140" i="6"/>
  <c r="B141" i="6"/>
  <c r="B142" i="6"/>
  <c r="B143" i="6"/>
  <c r="B144" i="6"/>
  <c r="B145" i="6"/>
  <c r="B146" i="6"/>
  <c r="B147" i="6"/>
  <c r="B148" i="6"/>
  <c r="B149" i="6"/>
  <c r="B150" i="6"/>
  <c r="B151" i="6"/>
  <c r="B152" i="6"/>
  <c r="B153" i="6"/>
  <c r="B154" i="6"/>
  <c r="B155" i="6"/>
  <c r="B156" i="6"/>
  <c r="B157" i="6"/>
  <c r="B158" i="6"/>
  <c r="B159" i="6"/>
  <c r="B160" i="6"/>
  <c r="B161" i="6"/>
  <c r="A1" i="7" a="1"/>
  <c r="A1" i="7" s="1"/>
  <c r="E15" i="6" l="1"/>
  <c r="F15" i="6" l="1"/>
  <c r="E16" i="6"/>
  <c r="E17" i="6" l="1"/>
  <c r="F16" i="6"/>
  <c r="A24" i="6"/>
  <c r="A25" i="6"/>
  <c r="A26" i="6"/>
  <c r="A27" i="6"/>
  <c r="A28" i="6"/>
  <c r="A29" i="6"/>
  <c r="A30" i="6"/>
  <c r="A31" i="6"/>
  <c r="A32" i="6"/>
  <c r="A33" i="6"/>
  <c r="A34" i="6"/>
  <c r="A35" i="6"/>
  <c r="A36" i="6"/>
  <c r="A37" i="6"/>
  <c r="A38" i="6"/>
  <c r="A39" i="6"/>
  <c r="A40" i="6"/>
  <c r="A41" i="6"/>
  <c r="A42" i="6"/>
  <c r="A43" i="6"/>
  <c r="A44" i="6"/>
  <c r="A45" i="6"/>
  <c r="A46" i="6"/>
  <c r="A47" i="6"/>
  <c r="A48" i="6"/>
  <c r="A49" i="6"/>
  <c r="A50" i="6"/>
  <c r="A51" i="6"/>
  <c r="A52" i="6"/>
  <c r="A53" i="6"/>
  <c r="A54" i="6"/>
  <c r="A55" i="6"/>
  <c r="A56" i="6"/>
  <c r="A57" i="6"/>
  <c r="A58" i="6"/>
  <c r="A59" i="6"/>
  <c r="A60" i="6"/>
  <c r="A61" i="6"/>
  <c r="A62" i="6"/>
  <c r="A63" i="6"/>
  <c r="A64" i="6"/>
  <c r="A65" i="6"/>
  <c r="A66" i="6"/>
  <c r="A67" i="6"/>
  <c r="A68" i="6"/>
  <c r="A69" i="6"/>
  <c r="A70" i="6"/>
  <c r="A71" i="6"/>
  <c r="A72" i="6"/>
  <c r="A73" i="6"/>
  <c r="A74" i="6"/>
  <c r="A75" i="6"/>
  <c r="A76" i="6"/>
  <c r="A77" i="6"/>
  <c r="A78" i="6"/>
  <c r="A79" i="6"/>
  <c r="A80" i="6"/>
  <c r="A81" i="6"/>
  <c r="A82" i="6"/>
  <c r="A83" i="6"/>
  <c r="A84" i="6"/>
  <c r="A85" i="6"/>
  <c r="A86" i="6"/>
  <c r="A87" i="6"/>
  <c r="A88" i="6"/>
  <c r="A89" i="6"/>
  <c r="A90" i="6"/>
  <c r="A91" i="6"/>
  <c r="A92" i="6"/>
  <c r="A93" i="6"/>
  <c r="A94" i="6"/>
  <c r="A95" i="6"/>
  <c r="A96" i="6"/>
  <c r="A97" i="6"/>
  <c r="A98" i="6"/>
  <c r="A99" i="6"/>
  <c r="A100" i="6"/>
  <c r="A101" i="6"/>
  <c r="A102" i="6"/>
  <c r="A103" i="6"/>
  <c r="A104" i="6"/>
  <c r="A105" i="6"/>
  <c r="A106" i="6"/>
  <c r="A107" i="6"/>
  <c r="A108" i="6"/>
  <c r="A109" i="6"/>
  <c r="A110" i="6"/>
  <c r="A111" i="6"/>
  <c r="A112" i="6"/>
  <c r="A113" i="6"/>
  <c r="A114" i="6"/>
  <c r="A115" i="6"/>
  <c r="A116" i="6"/>
  <c r="A117" i="6"/>
  <c r="A118" i="6"/>
  <c r="A119" i="6"/>
  <c r="A120" i="6"/>
  <c r="A121" i="6"/>
  <c r="A122" i="6"/>
  <c r="A123" i="6"/>
  <c r="A124" i="6"/>
  <c r="A125" i="6"/>
  <c r="A126" i="6"/>
  <c r="A127" i="6"/>
  <c r="A128" i="6"/>
  <c r="A129" i="6"/>
  <c r="A130" i="6"/>
  <c r="A131" i="6"/>
  <c r="A132" i="6"/>
  <c r="A133" i="6"/>
  <c r="A134" i="6"/>
  <c r="A135" i="6"/>
  <c r="A136" i="6"/>
  <c r="A137" i="6"/>
  <c r="A138" i="6"/>
  <c r="A139" i="6"/>
  <c r="A140" i="6"/>
  <c r="A141" i="6"/>
  <c r="A142" i="6"/>
  <c r="A143" i="6"/>
  <c r="A144" i="6"/>
  <c r="A145" i="6"/>
  <c r="A146" i="6"/>
  <c r="A147" i="6"/>
  <c r="A148" i="6"/>
  <c r="A149" i="6"/>
  <c r="A150" i="6"/>
  <c r="A151" i="6"/>
  <c r="A152" i="6"/>
  <c r="A153" i="6"/>
  <c r="A154" i="6"/>
  <c r="A155" i="6"/>
  <c r="A156" i="6"/>
  <c r="A157" i="6"/>
  <c r="A158" i="6"/>
  <c r="A159" i="6"/>
  <c r="A160" i="6"/>
  <c r="A161" i="6"/>
  <c r="A3" i="6"/>
  <c r="A4" i="6"/>
  <c r="A5" i="6"/>
  <c r="A6" i="6"/>
  <c r="A7" i="6"/>
  <c r="A8" i="6"/>
  <c r="A9" i="6"/>
  <c r="A10" i="6"/>
  <c r="A11" i="6"/>
  <c r="A12" i="6"/>
  <c r="A13" i="6"/>
  <c r="A14" i="6"/>
  <c r="A15" i="6"/>
  <c r="A16" i="6"/>
  <c r="A17" i="6"/>
  <c r="A18" i="6"/>
  <c r="A19" i="6"/>
  <c r="A20" i="6"/>
  <c r="A21" i="6"/>
  <c r="A22" i="6"/>
  <c r="A23" i="6"/>
  <c r="B2" i="6"/>
  <c r="A2" i="6"/>
  <c r="D5" i="4" a="1"/>
  <c r="D5" i="4" s="1"/>
  <c r="B1" i="4"/>
  <c r="D2" i="4"/>
  <c r="E18" i="6" l="1"/>
  <c r="F17" i="6"/>
  <c r="E19" i="6" l="1"/>
  <c r="F18" i="6"/>
  <c r="E20" i="6" l="1"/>
  <c r="F19" i="6"/>
  <c r="D1" i="4"/>
  <c r="E21" i="6" l="1"/>
  <c r="F20" i="6"/>
  <c r="E22" i="6" l="1"/>
  <c r="F21" i="6"/>
  <c r="E23" i="6" l="1"/>
  <c r="F22" i="6"/>
  <c r="E24" i="6" l="1"/>
  <c r="F23" i="6"/>
  <c r="E25" i="6" l="1"/>
  <c r="F24" i="6"/>
  <c r="E26" i="6" l="1"/>
  <c r="F25" i="6"/>
  <c r="E27" i="6" l="1"/>
  <c r="F26" i="6"/>
  <c r="E28" i="6" l="1"/>
  <c r="F27" i="6"/>
  <c r="E29" i="6" l="1"/>
  <c r="F28" i="6"/>
  <c r="E30" i="6" l="1"/>
  <c r="F29" i="6"/>
  <c r="E31" i="6" l="1"/>
  <c r="F30" i="6"/>
  <c r="E32" i="6" l="1"/>
  <c r="F31" i="6"/>
  <c r="E33" i="6" l="1"/>
  <c r="F32" i="6"/>
  <c r="F33" i="6" l="1"/>
  <c r="G13" i="6" a="1"/>
  <c r="G17" i="6" l="1"/>
  <c r="G24" i="6"/>
  <c r="G18" i="6"/>
  <c r="G25" i="6"/>
  <c r="G23" i="6"/>
  <c r="G28" i="6"/>
  <c r="G33" i="6"/>
  <c r="G29" i="6"/>
  <c r="G27" i="6"/>
  <c r="G15" i="6"/>
  <c r="G22" i="6"/>
  <c r="G21" i="6"/>
  <c r="G13" i="6"/>
  <c r="G32" i="6"/>
  <c r="G20" i="6"/>
  <c r="G16" i="6"/>
  <c r="G14" i="6"/>
  <c r="G26" i="6"/>
  <c r="G19" i="6"/>
  <c r="G30" i="6"/>
  <c r="G31" i="6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0654221-B82F-4B23-9266-664790627A8E}" name="Excel titanic power pivot" type="100" refreshedVersion="0">
    <extLst>
      <ext xmlns:x15="http://schemas.microsoft.com/office/spreadsheetml/2010/11/main" uri="{DE250136-89BD-433C-8126-D09CA5730AF9}">
        <x15:connection id="cdc3817d-020f-4f00-bd94-ff99b968a52c"/>
      </ext>
    </extLst>
  </connection>
  <connection id="2" xr16:uid="{A8E19E56-8F66-42C1-8CF0-9B2E4BC23BB6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<sst xmlns="http://schemas.openxmlformats.org/spreadsheetml/2006/main" count="1875" uniqueCount="938">
  <si>
    <t>Survived</t>
  </si>
  <si>
    <t>Pclass</t>
  </si>
  <si>
    <t>Name</t>
  </si>
  <si>
    <t>Sex</t>
  </si>
  <si>
    <t>Age</t>
  </si>
  <si>
    <t>Siblings/Spouses Aboard</t>
  </si>
  <si>
    <t>Parents/Children Aboard</t>
  </si>
  <si>
    <t>Fare</t>
  </si>
  <si>
    <t>Mr. Owen Harris Braund</t>
  </si>
  <si>
    <t>male</t>
  </si>
  <si>
    <t>Mrs. John Bradley (Florence Briggs Thayer) Cumings</t>
  </si>
  <si>
    <t>female</t>
  </si>
  <si>
    <t>Miss. Laina Heikkinen</t>
  </si>
  <si>
    <t>Mrs. Jacques Heath (Lily May Peel) Futrelle</t>
  </si>
  <si>
    <t>Mr. William Henry Allen</t>
  </si>
  <si>
    <t>Mr. James Moran</t>
  </si>
  <si>
    <t>Mr. Timothy J McCarthy</t>
  </si>
  <si>
    <t>Master. Gosta Leonard Palsson</t>
  </si>
  <si>
    <t>Mrs. Oscar W (Elisabeth Vilhelmina Berg) Johnson</t>
  </si>
  <si>
    <t>Mrs. Nicholas (Adele Achem) Nasser</t>
  </si>
  <si>
    <t>Miss. Marguerite Rut Sandstrom</t>
  </si>
  <si>
    <t>Miss. Elizabeth Bonnell</t>
  </si>
  <si>
    <t>Mr. William Henry Saundercock</t>
  </si>
  <si>
    <t>Mr. Anders Johan Andersson</t>
  </si>
  <si>
    <t>Miss. Hulda Amanda Adolfina Vestrom</t>
  </si>
  <si>
    <t>Mrs. (Mary D Kingcome) Hewlett</t>
  </si>
  <si>
    <t>Master. Eugene Rice</t>
  </si>
  <si>
    <t>Mr. Charles Eugene Williams</t>
  </si>
  <si>
    <t>Mrs. Julius (Emelia Maria Vandemoortele) Vander Planke</t>
  </si>
  <si>
    <t>Mrs. Fatima Masselmani</t>
  </si>
  <si>
    <t>Mr. Joseph J Fynney</t>
  </si>
  <si>
    <t>Mr. Lawrence Beesley</t>
  </si>
  <si>
    <t>Miss. Anna McGowan</t>
  </si>
  <si>
    <t>Mr. William Thompson Sloper</t>
  </si>
  <si>
    <t>Miss. Torborg Danira Palsson</t>
  </si>
  <si>
    <t>Mrs. Carl Oscar (Selma Augusta Emilia Johansson) Asplund</t>
  </si>
  <si>
    <t>Mr. Farred Chehab Emir</t>
  </si>
  <si>
    <t>Mr. Charles Alexander Fortune</t>
  </si>
  <si>
    <t>Miss. Ellen O'Dwyer</t>
  </si>
  <si>
    <t>Mr. Lalio Todoroff</t>
  </si>
  <si>
    <t>Don. Manuel E Uruchurtu</t>
  </si>
  <si>
    <t>Mrs. William Augustus (Marie Eugenie) Spencer</t>
  </si>
  <si>
    <t>Miss. Mary Agatha Glynn</t>
  </si>
  <si>
    <t>Mr. Edward H Wheadon</t>
  </si>
  <si>
    <t>Mr. Edgar Joseph Meyer</t>
  </si>
  <si>
    <t>Mr. Alexander Oskar Holverson</t>
  </si>
  <si>
    <t>Mr. Hanna Mamee</t>
  </si>
  <si>
    <t>Mr. Ernest Charles Cann</t>
  </si>
  <si>
    <t>Miss. Augusta Maria Vander Planke</t>
  </si>
  <si>
    <t>Miss. Jamila Nicola-Yarred</t>
  </si>
  <si>
    <t>Mrs. Johan (Johanna Persdotter Larsson) Ahlin</t>
  </si>
  <si>
    <t>Mrs. William John Robert (Dorothy Ann Wonnacott) Turpin</t>
  </si>
  <si>
    <t>Miss. Simonne Marie Anne Andree Laroche</t>
  </si>
  <si>
    <t>Miss. Margaret Delia Devaney</t>
  </si>
  <si>
    <t>Mr. William John Rogers</t>
  </si>
  <si>
    <t>Mr. Denis Lennon</t>
  </si>
  <si>
    <t>Miss. Bridget O'Driscoll</t>
  </si>
  <si>
    <t>Mr. Youssef Samaan</t>
  </si>
  <si>
    <t>Mrs. Josef (Josefine Franchi) Arnold-Franchi</t>
  </si>
  <si>
    <t>Master. Juha Niilo Panula</t>
  </si>
  <si>
    <t>Mr. Richard Cater Nosworthy</t>
  </si>
  <si>
    <t>Mrs. Henry Sleeper (Myna Haxtun) Harper</t>
  </si>
  <si>
    <t>Mrs. Lizzie (Elizabeth Anne Wilkinson) Faunthorpe</t>
  </si>
  <si>
    <t>Mr. Engelhart Cornelius Ostby</t>
  </si>
  <si>
    <t>Mr. Hugh Woolner</t>
  </si>
  <si>
    <t>Miss. Emily Rugg</t>
  </si>
  <si>
    <t>Mr. Mansouer Novel</t>
  </si>
  <si>
    <t>Miss. Constance Mirium West</t>
  </si>
  <si>
    <t>Master. William Frederick Goodwin</t>
  </si>
  <si>
    <t>Mr. Orsen Sirayanian</t>
  </si>
  <si>
    <t>Miss. Amelie Icard</t>
  </si>
  <si>
    <t>Mr. Henry Birkhardt Harris</t>
  </si>
  <si>
    <t>Master. Harald Skoog</t>
  </si>
  <si>
    <t>Mr. Albert A Stewart</t>
  </si>
  <si>
    <t>Master. Gerios Moubarek</t>
  </si>
  <si>
    <t>Mrs. (Elizabeth Ramell) Nye</t>
  </si>
  <si>
    <t>Mr. Ernest James Crease</t>
  </si>
  <si>
    <t>Miss. Erna Alexandra Andersson</t>
  </si>
  <si>
    <t>Mr. Vincenz Kink</t>
  </si>
  <si>
    <t>Mr. Stephen Curnow Jenkin</t>
  </si>
  <si>
    <t>Miss. Lillian Amy Goodwin</t>
  </si>
  <si>
    <t>Mr. Ambrose Jr Hood</t>
  </si>
  <si>
    <t>Mr. Apostolos Chronopoulos</t>
  </si>
  <si>
    <t>Mr. Lee Bing</t>
  </si>
  <si>
    <t>Mr. Sigurd Hansen Moen</t>
  </si>
  <si>
    <t>Mr. Ivan Staneff</t>
  </si>
  <si>
    <t>Mr. Rahamin Haim Moutal</t>
  </si>
  <si>
    <t>Master. Alden Gates Caldwell</t>
  </si>
  <si>
    <t>Miss. Elizabeth Dowdell</t>
  </si>
  <si>
    <t>Mr. Achille Waelens</t>
  </si>
  <si>
    <t>Mr. Jan Baptist Sheerlinck</t>
  </si>
  <si>
    <t>Miss. Brigdet Delia McDermott</t>
  </si>
  <si>
    <t>Mr. Francisco M Carrau</t>
  </si>
  <si>
    <t>Miss. Bertha Ilett</t>
  </si>
  <si>
    <t>Mrs. Karl Alfred (Maria Mathilda Gustafsson) Backstrom</t>
  </si>
  <si>
    <t>Mr. William Neal Ford</t>
  </si>
  <si>
    <t>Mr. Selman Francis Slocovski</t>
  </si>
  <si>
    <t>Miss. Mabel Helen Fortune</t>
  </si>
  <si>
    <t>Mr. Francesco Celotti</t>
  </si>
  <si>
    <t>Mr. Emil Christmann</t>
  </si>
  <si>
    <t>Mr. Paul Edvin Andreasson</t>
  </si>
  <si>
    <t>Mr. Herbert Fuller Chaffee</t>
  </si>
  <si>
    <t>Mr. Bertram Frank Dean</t>
  </si>
  <si>
    <t>Mr. Daniel Coxon</t>
  </si>
  <si>
    <t>Mr. Charles Joseph Shorney</t>
  </si>
  <si>
    <t>Mr. George B Goldschmidt</t>
  </si>
  <si>
    <t>Mr. William Bertram Greenfield</t>
  </si>
  <si>
    <t>Mrs. John T (Ada Julia Bone) Doling</t>
  </si>
  <si>
    <t>Mr. Sinai Kantor</t>
  </si>
  <si>
    <t>Miss. Matilda Petranec</t>
  </si>
  <si>
    <t>Mr. Pastcho Petroff</t>
  </si>
  <si>
    <t>Mr. Richard Frasar White</t>
  </si>
  <si>
    <t>Mr. Gustaf Joel Johansson</t>
  </si>
  <si>
    <t>Mr. Anders Vilhelm Gustafsson</t>
  </si>
  <si>
    <t>Mr. Stoytcho Mionoff</t>
  </si>
  <si>
    <t>Miss. Anna Kristine Salkjelsvik</t>
  </si>
  <si>
    <t>Mr. Albert Johan Moss</t>
  </si>
  <si>
    <t>Mr. Tido Rekic</t>
  </si>
  <si>
    <t>Miss. Bertha Moran</t>
  </si>
  <si>
    <t>Mr. Walter Chamberlain Porter</t>
  </si>
  <si>
    <t>Miss. Hileni Zabour</t>
  </si>
  <si>
    <t>Mr. David John Barton</t>
  </si>
  <si>
    <t>Miss. Katriina Jussila</t>
  </si>
  <si>
    <t>Miss. Malake Attalah</t>
  </si>
  <si>
    <t>Mr. Edvard Pekoniemi</t>
  </si>
  <si>
    <t>Mr. Patrick Connors</t>
  </si>
  <si>
    <t>Mr. William John Robert Turpin</t>
  </si>
  <si>
    <t>Mr. Quigg Edmond Baxter</t>
  </si>
  <si>
    <t>Miss. Ellis Anna Maria Andersson</t>
  </si>
  <si>
    <t>Mr. Stanley George Hickman</t>
  </si>
  <si>
    <t>Mr. Leonard Charles Moore</t>
  </si>
  <si>
    <t>Mr. Nicholas Nasser</t>
  </si>
  <si>
    <t>Miss. Susan Webber</t>
  </si>
  <si>
    <t>Mr. Percival Wayland White</t>
  </si>
  <si>
    <t>Master. Elias Nicola-Yarred</t>
  </si>
  <si>
    <t>Mr. Martin McMahon</t>
  </si>
  <si>
    <t>Mr. Fridtjof Arne Madsen</t>
  </si>
  <si>
    <t>Miss. Anna Peter</t>
  </si>
  <si>
    <t>Mr. Johan Ekstrom</t>
  </si>
  <si>
    <t>Mr. Jozef Drazenoic</t>
  </si>
  <si>
    <t>Mr. Domingos Fernandeo Coelho</t>
  </si>
  <si>
    <t>Mrs. Alexander A (Grace Charity Laury) Robins</t>
  </si>
  <si>
    <t>Mrs. Leopold (Mathilde Francoise Pede) Weisz</t>
  </si>
  <si>
    <t>Mr. Samuel James Hayden Sobey</t>
  </si>
  <si>
    <t>Mr. Emile Richard</t>
  </si>
  <si>
    <t>Miss. Helen Monypeny Newsom</t>
  </si>
  <si>
    <t>Mr. Jacques Heath Futrelle</t>
  </si>
  <si>
    <t>Mr. Olaf Elon Osen</t>
  </si>
  <si>
    <t>Mr. Victor Giglio</t>
  </si>
  <si>
    <t>Mrs. Joseph (Sultana) Boulos</t>
  </si>
  <si>
    <t>Miss. Anna Sofia Nysten</t>
  </si>
  <si>
    <t>Mrs. Pekka Pietari (Elin Matilda Dolck) Hakkarainen</t>
  </si>
  <si>
    <t>Mr. Jeremiah Burke</t>
  </si>
  <si>
    <t>Mr. Edgardo Samuel Andrew</t>
  </si>
  <si>
    <t>Mr. Joseph Charles Nicholls</t>
  </si>
  <si>
    <t>Mr. August Edvard Andersson</t>
  </si>
  <si>
    <t>Miss. Robina Maggie Ford</t>
  </si>
  <si>
    <t>Mr. Michel Navratil</t>
  </si>
  <si>
    <t>Rev. Thomas Roussel Davids Byles</t>
  </si>
  <si>
    <t>Rev. Robert James Bateman</t>
  </si>
  <si>
    <t>Mrs. Thomas (Edith Wearne) Pears</t>
  </si>
  <si>
    <t>Mr. Alfonzo Meo</t>
  </si>
  <si>
    <t>Mr. Austin Blyler van Billiard</t>
  </si>
  <si>
    <t>Mr. Ole Martin Olsen</t>
  </si>
  <si>
    <t>Mr. Charles Duane Williams</t>
  </si>
  <si>
    <t>Miss. Katherine Gilnagh</t>
  </si>
  <si>
    <t>Mr. Harry Corn</t>
  </si>
  <si>
    <t>Mr. Mile Smiljanic</t>
  </si>
  <si>
    <t>Master. Thomas Henry Sage</t>
  </si>
  <si>
    <t>Mr. John Hatfield Cribb</t>
  </si>
  <si>
    <t>Mrs. James (Elizabeth Inglis Milne) Watt</t>
  </si>
  <si>
    <t>Mr. John Viktor Bengtsson</t>
  </si>
  <si>
    <t>Mr. Jovo Calic</t>
  </si>
  <si>
    <t>Master. Eino Viljami Panula</t>
  </si>
  <si>
    <t>Master. Frank John William Goldsmith</t>
  </si>
  <si>
    <t>Mrs. (Edith Martha Bowerman) Chibnall</t>
  </si>
  <si>
    <t>Mrs. William (Anna Bernhardina Karlsson) Skoog</t>
  </si>
  <si>
    <t>Mr. John D Baumann</t>
  </si>
  <si>
    <t>Mr. Lee Ling</t>
  </si>
  <si>
    <t>Mr. Wyckoff Van der hoef</t>
  </si>
  <si>
    <t>Master. Arthur Rice</t>
  </si>
  <si>
    <t>Miss. Eleanor Ileen Johnson</t>
  </si>
  <si>
    <t>Mr. Antti Wilhelm Sivola</t>
  </si>
  <si>
    <t>Mr. James Clinch Smith</t>
  </si>
  <si>
    <t>Mr. Klas Albin Klasen</t>
  </si>
  <si>
    <t>Master. Henry Forbes Lefebre</t>
  </si>
  <si>
    <t>Miss. Ann Elizabeth Isham</t>
  </si>
  <si>
    <t>Mr. Reginald Hale</t>
  </si>
  <si>
    <t>Mr. Lionel Leonard</t>
  </si>
  <si>
    <t>Miss. Constance Gladys Sage</t>
  </si>
  <si>
    <t>Mr. Rene Pernot</t>
  </si>
  <si>
    <t>Master. Clarence Gustaf Hugo Asplund</t>
  </si>
  <si>
    <t>Master. Richard F Becker</t>
  </si>
  <si>
    <t>Miss. Luise Gretchen Kink-Heilmann</t>
  </si>
  <si>
    <t>Mr. Hugh Roscoe Rood</t>
  </si>
  <si>
    <t>Mrs. Thomas (Johanna Godfrey) O'Brien</t>
  </si>
  <si>
    <t>Mr. Charles Hallace Romaine</t>
  </si>
  <si>
    <t>Mr. John Bourke</t>
  </si>
  <si>
    <t>Mr. Stjepan Turcin</t>
  </si>
  <si>
    <t>Mrs. (Rosa) Pinsky</t>
  </si>
  <si>
    <t>Mr. William Carbines</t>
  </si>
  <si>
    <t>Miss. Carla Christine Nielsine Andersen-Jensen</t>
  </si>
  <si>
    <t>Master. Michel M Navratil</t>
  </si>
  <si>
    <t>Mrs. James Joseph (Margaret Tobin) Brown</t>
  </si>
  <si>
    <t>Miss. Elise Lurette</t>
  </si>
  <si>
    <t>Mr. Robert Mernagh</t>
  </si>
  <si>
    <t>Mr. Karl Siegwart Andreas Olsen</t>
  </si>
  <si>
    <t>Miss. Margaret Madigan</t>
  </si>
  <si>
    <t>Miss. Henriette Yrois</t>
  </si>
  <si>
    <t>Mr. Nestor Cyriel Vande Walle</t>
  </si>
  <si>
    <t>Mr. Frederick Sage</t>
  </si>
  <si>
    <t>Mr. Jakob Alfred Johanson</t>
  </si>
  <si>
    <t>Mr. Gerious Youseff</t>
  </si>
  <si>
    <t>Mr. Gurshon Cohen</t>
  </si>
  <si>
    <t>Miss. Telma Matilda Strom</t>
  </si>
  <si>
    <t>Mr. Karl Alfred Backstrom</t>
  </si>
  <si>
    <t>Mr. Nassef Cassem Albimona</t>
  </si>
  <si>
    <t>Miss. Helen Carr</t>
  </si>
  <si>
    <t>Mr. Henry Blank</t>
  </si>
  <si>
    <t>Mr. Ahmed Ali</t>
  </si>
  <si>
    <t>Miss. Clear Annie Cameron</t>
  </si>
  <si>
    <t>Mr. John Henry Perkin</t>
  </si>
  <si>
    <t>Mr. Hans Kristensen Givard</t>
  </si>
  <si>
    <t>Mr. Philip Kiernan</t>
  </si>
  <si>
    <t>Miss. Madeleine Newell</t>
  </si>
  <si>
    <t>Miss. Eliina Honkanen</t>
  </si>
  <si>
    <t>Mr. Sidney Samuel Jacobsohn</t>
  </si>
  <si>
    <t>Miss. Albina Bazzani</t>
  </si>
  <si>
    <t>Mr. Walter Harris</t>
  </si>
  <si>
    <t>Mr. Victor Francis Sunderland</t>
  </si>
  <si>
    <t>Mr. James H Bracken</t>
  </si>
  <si>
    <t>Mr. George Henry Green</t>
  </si>
  <si>
    <t>Mr. Christo Nenkoff</t>
  </si>
  <si>
    <t>Mr. Frederick Maxfield Hoyt</t>
  </si>
  <si>
    <t>Mr. Karl Ivar Sven Berglund</t>
  </si>
  <si>
    <t>Mr. William John Mellors</t>
  </si>
  <si>
    <t>Mr. John Hall Lovell</t>
  </si>
  <si>
    <t>Mr. Arne Jonas Fahlstrom</t>
  </si>
  <si>
    <t>Miss. Mathilde Lefebre</t>
  </si>
  <si>
    <t>Mrs. Henry Birkhardt (Irene Wallach) Harris</t>
  </si>
  <si>
    <t>Mr. Bengt Edvin Larsson</t>
  </si>
  <si>
    <t>Mr. Ernst Adolf Sjostedt</t>
  </si>
  <si>
    <t>Miss. Lillian Gertrud Asplund</t>
  </si>
  <si>
    <t>Mr. Robert William Norman Leyson</t>
  </si>
  <si>
    <t>Miss. Alice Phoebe Harknett</t>
  </si>
  <si>
    <t>Mr. Stephen Hold</t>
  </si>
  <si>
    <t>Miss. Marjorie Collyer</t>
  </si>
  <si>
    <t>Mr. Frederick William Pengelly</t>
  </si>
  <si>
    <t>Mr. George Henry Hunt</t>
  </si>
  <si>
    <t>Miss. Thamine Zabour</t>
  </si>
  <si>
    <t>Miss. Katherine Murphy</t>
  </si>
  <si>
    <t>Mr. Reginald Charles Coleridge</t>
  </si>
  <si>
    <t>Mr. Matti Alexanteri Maenpaa</t>
  </si>
  <si>
    <t>Mr. Sleiman Attalah</t>
  </si>
  <si>
    <t>Dr. William Edward Minahan</t>
  </si>
  <si>
    <t>Miss. Agda Thorilda Viktoria Lindahl</t>
  </si>
  <si>
    <t>Mrs. William (Anna) Hamalainen</t>
  </si>
  <si>
    <t>Mr. Richard Leonard Beckwith</t>
  </si>
  <si>
    <t>Rev. Ernest Courtenay Carter</t>
  </si>
  <si>
    <t>Mr. James George Reed</t>
  </si>
  <si>
    <t>Mrs. Wilhelm (Elna Matilda Persson) Strom</t>
  </si>
  <si>
    <t>Mr. William Thomas Stead</t>
  </si>
  <si>
    <t>Mr. William Arthur Lobb</t>
  </si>
  <si>
    <t>Mrs. Viktor (Helena Wilhelmina) Rosblom</t>
  </si>
  <si>
    <t>Mrs. Darwis (Hanne Youssef Razi) Touma</t>
  </si>
  <si>
    <t>Mrs. Gertrude Maybelle Thorne</t>
  </si>
  <si>
    <t>Miss. Gladys Cherry</t>
  </si>
  <si>
    <t>Miss. Anna Ward</t>
  </si>
  <si>
    <t>Mrs. (Lutie Davis) Parrish</t>
  </si>
  <si>
    <t>Master. Edvin Rojj Felix Asplund</t>
  </si>
  <si>
    <t>Mr. Emil Taussig</t>
  </si>
  <si>
    <t>Mr. William Harrison</t>
  </si>
  <si>
    <t>Miss. Delia Henry</t>
  </si>
  <si>
    <t>Mr. David Reeves</t>
  </si>
  <si>
    <t>Mr. Ernesti Arvid Panula</t>
  </si>
  <si>
    <t>Mr. Ernst Ulrik Persson</t>
  </si>
  <si>
    <t>Mrs. William Thompson (Edith Junkins) Graham</t>
  </si>
  <si>
    <t>Miss. Amelia Bissette</t>
  </si>
  <si>
    <t>Mr. Alexander Cairns</t>
  </si>
  <si>
    <t>Mr. William Henry Tornquist</t>
  </si>
  <si>
    <t>Mrs. (Elizabeth Anne Maidment) Mellinger</t>
  </si>
  <si>
    <t>Mr. Charles H Natsch</t>
  </si>
  <si>
    <t>Miss. Hanora Healy</t>
  </si>
  <si>
    <t>Miss. Kornelia Theodosia Andrews</t>
  </si>
  <si>
    <t>Miss. Augusta Charlotta Lindblom</t>
  </si>
  <si>
    <t>Mr. Francis Parkes</t>
  </si>
  <si>
    <t>Master. Eric Rice</t>
  </si>
  <si>
    <t>Mrs. Stanton (Rosa Hunt) Abbott</t>
  </si>
  <si>
    <t>Mr. Frank Duane</t>
  </si>
  <si>
    <t>Mr. Nils Johan Goransson Olsson</t>
  </si>
  <si>
    <t>Mr. Alfons de Pelsmaeker</t>
  </si>
  <si>
    <t>Mr. Edward Arthur Dorking</t>
  </si>
  <si>
    <t>Mr. Richard William Smith</t>
  </si>
  <si>
    <t>Mr. Ivan Stankovic</t>
  </si>
  <si>
    <t>Mr. Theodore de Mulder</t>
  </si>
  <si>
    <t>Mr. Penko Naidenoff</t>
  </si>
  <si>
    <t>Mr. Masabumi Hosono</t>
  </si>
  <si>
    <t>Miss. Kate Connolly</t>
  </si>
  <si>
    <t>Miss. Ellen Barber</t>
  </si>
  <si>
    <t>Mrs. Dickinson H (Helen Walton) Bishop</t>
  </si>
  <si>
    <t>Mr. Rene Jacques Levy</t>
  </si>
  <si>
    <t>Miss. Aloisia Haas</t>
  </si>
  <si>
    <t>Mr. Ivan Mineff</t>
  </si>
  <si>
    <t>Mr. Ervin G Lewy</t>
  </si>
  <si>
    <t>Mr. Mansour Hanna</t>
  </si>
  <si>
    <t>Miss. Helen Loraine Allison</t>
  </si>
  <si>
    <t>Mr. Adolphe Saalfeld</t>
  </si>
  <si>
    <t>Mrs. James (Helene DeLaudeniere Chaput) Baxter</t>
  </si>
  <si>
    <t>Miss. Anna Katherine Kelly</t>
  </si>
  <si>
    <t>Mr. Bernard McCoy</t>
  </si>
  <si>
    <t>Mr. William Cahoone Jr Johnson</t>
  </si>
  <si>
    <t>Miss. Nora A Keane</t>
  </si>
  <si>
    <t>Mr. Howard Hugh Williams</t>
  </si>
  <si>
    <t>Master. Hudson Trevor Allison</t>
  </si>
  <si>
    <t>Miss. Margaret Fleming</t>
  </si>
  <si>
    <t>Mrs. Victor de Satode (Maria Josefa Perez de Soto y Vallejo) Penasco y Castellana</t>
  </si>
  <si>
    <t>Mr. Samuel Abelson</t>
  </si>
  <si>
    <t>Miss. Laura Mabel Francatelli</t>
  </si>
  <si>
    <t>Miss. Margaret Bechstein Hays</t>
  </si>
  <si>
    <t>Miss. Emily Borie Ryerson</t>
  </si>
  <si>
    <t>Mrs. William (Anna Sylfven) Lahtinen</t>
  </si>
  <si>
    <t>Mr. Ignjac Hendekovic</t>
  </si>
  <si>
    <t>Mr. Benjamin Hart</t>
  </si>
  <si>
    <t>Miss. Helmina Josefina Nilsson</t>
  </si>
  <si>
    <t>Mrs. Sinai (Miriam Sternin) Kantor</t>
  </si>
  <si>
    <t>Dr. Ernest Moraweck</t>
  </si>
  <si>
    <t>Miss. Mary Natalie Wick</t>
  </si>
  <si>
    <t>Mrs. Frederic Oakley (Margaretta Corning Stone) Spedden</t>
  </si>
  <si>
    <t>Mr. Samuel Dennis</t>
  </si>
  <si>
    <t>Mr. Yoto Danoff</t>
  </si>
  <si>
    <t>Miss. Hilda Mary Slayter</t>
  </si>
  <si>
    <t>Mrs. Albert Francis (Sylvia Mae Harbaugh) Caldwell</t>
  </si>
  <si>
    <t>Mr. George John Jr Sage</t>
  </si>
  <si>
    <t>Miss. Marie Grice Young</t>
  </si>
  <si>
    <t>Mr. Johan Hansen Nysveen</t>
  </si>
  <si>
    <t>Mrs. (Ada E Hall) Ball</t>
  </si>
  <si>
    <t>Mrs. Frank John (Emily Alice Brown) Goldsmith</t>
  </si>
  <si>
    <t>Miss. Jean Gertrude Hippach</t>
  </si>
  <si>
    <t>Miss. Agnes McCoy</t>
  </si>
  <si>
    <t>Mr. Austen Partner</t>
  </si>
  <si>
    <t>Mr. George Edward Graham</t>
  </si>
  <si>
    <t>Mr. Leo Edmondus Vander Planke</t>
  </si>
  <si>
    <t>Mrs. Henry William (Clara Heinsheimer) Frauenthal</t>
  </si>
  <si>
    <t>Mr. Mitto Denkoff</t>
  </si>
  <si>
    <t>Mr. Thomas Clinton Pears</t>
  </si>
  <si>
    <t>Miss. Elizabeth Margaret Burns</t>
  </si>
  <si>
    <t>Mr. Karl Edwart Dahl</t>
  </si>
  <si>
    <t>Mr. Stephen Weart Blackwell</t>
  </si>
  <si>
    <t>Master. Edmond Roger Navratil</t>
  </si>
  <si>
    <t>Miss. Alice Elizabeth Fortune</t>
  </si>
  <si>
    <t>Mr. Erik Gustaf Collander</t>
  </si>
  <si>
    <t>Mr. Charles Frederick Waddington Sedgwick</t>
  </si>
  <si>
    <t>Mr. Stanley Hubert Fox</t>
  </si>
  <si>
    <t>Miss. Amelia Brown</t>
  </si>
  <si>
    <t>Miss. Marion Elsie Smith</t>
  </si>
  <si>
    <t>Mrs. Thomas Henry (Mary E Finck) Davison</t>
  </si>
  <si>
    <t>Master. William Loch Coutts</t>
  </si>
  <si>
    <t>Mr. Jovan Dimic</t>
  </si>
  <si>
    <t>Mr. Nils Martin Odahl</t>
  </si>
  <si>
    <t>Mr. Fletcher Fellows Williams-Lambert</t>
  </si>
  <si>
    <t>Mr. Tannous Elias</t>
  </si>
  <si>
    <t>Mr. Josef Arnold-Franchi</t>
  </si>
  <si>
    <t>Mr. Wazli Yousif</t>
  </si>
  <si>
    <t>Mr. Leo Peter Vanden Steen</t>
  </si>
  <si>
    <t>Miss. Elsie Edith Bowerman</t>
  </si>
  <si>
    <t>Miss. Annie Clemmer Funk</t>
  </si>
  <si>
    <t>Miss. Mary McGovern</t>
  </si>
  <si>
    <t>Miss. Helen Mary Mockler</t>
  </si>
  <si>
    <t>Mr. Wilhelm Skoog</t>
  </si>
  <si>
    <t>Mr. Sebastiano del Carlo</t>
  </si>
  <si>
    <t>Mrs. (Catherine David) Barbara</t>
  </si>
  <si>
    <t>Mr. Adola Asim</t>
  </si>
  <si>
    <t>Mr. Thomas O'Brien</t>
  </si>
  <si>
    <t>Mr. Mauritz Nils Martin Adahl</t>
  </si>
  <si>
    <t>Mrs. Frank Manley (Anna Sophia Atkinson) Warren</t>
  </si>
  <si>
    <t>Mrs. (Mantoura Boulos) Moussa</t>
  </si>
  <si>
    <t>Miss. Annie Jermyn</t>
  </si>
  <si>
    <t>Mme. Leontine Pauline Aubart</t>
  </si>
  <si>
    <t>Mr. George Achilles Harder</t>
  </si>
  <si>
    <t>Mr. Jakob Alfred Wiklund</t>
  </si>
  <si>
    <t>Mr. William Thomas Beavan</t>
  </si>
  <si>
    <t>Mr. Sante Ringhini</t>
  </si>
  <si>
    <t>Miss. Stina Viola Palsson</t>
  </si>
  <si>
    <t>Mrs. Edgar Joseph (Leila Saks) Meyer</t>
  </si>
  <si>
    <t>Miss. Aurora Adelia Landergren</t>
  </si>
  <si>
    <t>Mr. Harry Elkins Widener</t>
  </si>
  <si>
    <t>Mr. Tannous Betros</t>
  </si>
  <si>
    <t>Mr. Karl Gideon Gustafsson</t>
  </si>
  <si>
    <t>Miss. Rosalie Bidois</t>
  </si>
  <si>
    <t>Miss. Maria Nakid</t>
  </si>
  <si>
    <t>Mr. Juho Tikkanen</t>
  </si>
  <si>
    <t>Mrs. Alexander Oskar (Mary Aline Towner) Holverson</t>
  </si>
  <si>
    <t>Mr. Vasil Plotcharsky</t>
  </si>
  <si>
    <t>Mr. Charles Henry Davies</t>
  </si>
  <si>
    <t>Master. Sidney Leonard Goodwin</t>
  </si>
  <si>
    <t>Miss. Kate Buss</t>
  </si>
  <si>
    <t>Mr. Matthew Sadlier</t>
  </si>
  <si>
    <t>Miss. Bertha Lehmann</t>
  </si>
  <si>
    <t>Mr. William Ernest Carter</t>
  </si>
  <si>
    <t>Mr. Carl Olof Jansson</t>
  </si>
  <si>
    <t>Mr. Johan Birger Gustafsson</t>
  </si>
  <si>
    <t>Miss. Marjorie Newell</t>
  </si>
  <si>
    <t>Mrs. Hjalmar (Agnes Charlotta Bengtsson) Sandstrom</t>
  </si>
  <si>
    <t>Mr. Erik Johansson</t>
  </si>
  <si>
    <t>Miss. Elina Olsson</t>
  </si>
  <si>
    <t>Mr. Peter David McKane</t>
  </si>
  <si>
    <t>Dr. Alfred Pain</t>
  </si>
  <si>
    <t>Mrs. William H (Jessie L) Trout</t>
  </si>
  <si>
    <t>Mr. Juha Niskanen</t>
  </si>
  <si>
    <t>Mr. John Adams</t>
  </si>
  <si>
    <t>Miss. Mari Aina Jussila</t>
  </si>
  <si>
    <t>Mr. Pekka Pietari Hakkarainen</t>
  </si>
  <si>
    <t>Miss. Marija Oreskovic</t>
  </si>
  <si>
    <t>Mr. Shadrach Gale</t>
  </si>
  <si>
    <t>Mr. Carl/Charles Peter Widegren</t>
  </si>
  <si>
    <t>Master. William Rowe Richards</t>
  </si>
  <si>
    <t>Mr. Hans Martin Monsen Birkeland</t>
  </si>
  <si>
    <t>Miss. Ida Lefebre</t>
  </si>
  <si>
    <t>Mr. Todor Sdycoff</t>
  </si>
  <si>
    <t>Mr. Henry Hart</t>
  </si>
  <si>
    <t>Miss. Daisy E Minahan</t>
  </si>
  <si>
    <t>Mr. Alfred Fleming Cunningham</t>
  </si>
  <si>
    <t>Mr. Johan Julian Sundman</t>
  </si>
  <si>
    <t>Mrs. Thomas (Annie Louise Rowley) Meek</t>
  </si>
  <si>
    <t>Mrs. James Vivian (Lulu Thorne Christian) Drew</t>
  </si>
  <si>
    <t>Miss. Lyyli Karoliina Silven</t>
  </si>
  <si>
    <t>Mr. William John Matthews</t>
  </si>
  <si>
    <t>Miss. Catharina Van Impe</t>
  </si>
  <si>
    <t>Mr. David Charters</t>
  </si>
  <si>
    <t>Mr. Leo Zimmerman</t>
  </si>
  <si>
    <t>Mrs. Ernst Gilbert (Anna Sigrid Maria Brogren) Danbom</t>
  </si>
  <si>
    <t>Mr. Viktor Richard Rosblom</t>
  </si>
  <si>
    <t>Mr. Phillippe Wiseman</t>
  </si>
  <si>
    <t>Mrs. Charles V (Ada Maria Winfield) Clarke</t>
  </si>
  <si>
    <t>Miss. Kate Florence Phillips</t>
  </si>
  <si>
    <t>Mr. James Flynn</t>
  </si>
  <si>
    <t>Mr. Berk (Berk Trembisky) Pickard</t>
  </si>
  <si>
    <t>Mr. Mauritz Hakan Bjornstrom-Steffansson</t>
  </si>
  <si>
    <t>Mrs. Percival (Florence Kate White) Thorneycroft</t>
  </si>
  <si>
    <t>Mrs. Charles Alexander (Alice Adelaide Slow) Louch</t>
  </si>
  <si>
    <t>Mr. Nikolai Erland Kallio</t>
  </si>
  <si>
    <t>Mr. William Baird Silvey</t>
  </si>
  <si>
    <t>Miss. Lucile Polk Carter</t>
  </si>
  <si>
    <t>Miss. Doolina Margaret Ford</t>
  </si>
  <si>
    <t>Mrs. Sidney (Emily Hocking) Richards</t>
  </si>
  <si>
    <t>Mr. Mark Fortune</t>
  </si>
  <si>
    <t>Mr. Johan Henrik Johannesson Kvillner</t>
  </si>
  <si>
    <t>Mrs. Benjamin (Esther Ada Bloomfield) Hart</t>
  </si>
  <si>
    <t>Mr. Leon Hampe</t>
  </si>
  <si>
    <t>Mr. Johan Emil Petterson</t>
  </si>
  <si>
    <t>Ms. Encarnacion Reynaldo</t>
  </si>
  <si>
    <t>Mr. Bernt Johannesen-Bratthammer</t>
  </si>
  <si>
    <t>Master. Washington Dodge</t>
  </si>
  <si>
    <t>Miss. Madeleine Violet Mellinger</t>
  </si>
  <si>
    <t>Mr. Frederic Kimber Seward</t>
  </si>
  <si>
    <t>Miss. Marie Catherine Baclini</t>
  </si>
  <si>
    <t>Major. Arthur Godfrey Peuchen</t>
  </si>
  <si>
    <t>Mr. Edwy Arthur West</t>
  </si>
  <si>
    <t>Mr. Ingvald Olai Olsen Hagland</t>
  </si>
  <si>
    <t>Mr. Benjamin Laventall Foreman</t>
  </si>
  <si>
    <t>Mr. Samuel L Goldenberg</t>
  </si>
  <si>
    <t>Mr. Joseph Peduzzi</t>
  </si>
  <si>
    <t>Mr. Ivan Jalsevac</t>
  </si>
  <si>
    <t>Mr. Francis Davis Millet</t>
  </si>
  <si>
    <t>Mrs. Frederick R (Marion) Kenyon</t>
  </si>
  <si>
    <t>Miss. Ellen Toomey</t>
  </si>
  <si>
    <t>Mr. Maurice O'Connor</t>
  </si>
  <si>
    <t>Mr. Harry Anderson</t>
  </si>
  <si>
    <t>Mr. William Morley</t>
  </si>
  <si>
    <t>Mr. Arthur H Gee</t>
  </si>
  <si>
    <t>Mr. Jacob Christian Milling</t>
  </si>
  <si>
    <t>Mr. Simon Maisner</t>
  </si>
  <si>
    <t>Mr. Manuel Estanslas Goncalves</t>
  </si>
  <si>
    <t>Mr. William Campbell</t>
  </si>
  <si>
    <t>Mr. John Montgomery Smart</t>
  </si>
  <si>
    <t>Mr. James Scanlan</t>
  </si>
  <si>
    <t>Miss. Helene Barbara Baclini</t>
  </si>
  <si>
    <t>Mr. Arthur Keefe</t>
  </si>
  <si>
    <t>Mr. Luka Cacic</t>
  </si>
  <si>
    <t>Mrs. Edwy Arthur (Ada Mary Worth) West</t>
  </si>
  <si>
    <t>Mrs. Amin S (Marie Marthe Thuillard) Jerwan</t>
  </si>
  <si>
    <t>Miss. Ida Sofia Strandberg</t>
  </si>
  <si>
    <t>Mr. George Quincy Clifford</t>
  </si>
  <si>
    <t>Mr. Peter Henry Renouf</t>
  </si>
  <si>
    <t>Mr. Lewis Richard Braund</t>
  </si>
  <si>
    <t>Mr. Nils August Karlsson</t>
  </si>
  <si>
    <t>Miss. Hildur E Hirvonen</t>
  </si>
  <si>
    <t>Master. Harold Victor Goodwin</t>
  </si>
  <si>
    <t>Mr. Anthony Wood Frost</t>
  </si>
  <si>
    <t>Mr. Richard Henry Rouse</t>
  </si>
  <si>
    <t>Mrs. (Hedwig) Turkula</t>
  </si>
  <si>
    <t>Mr. Dickinson H Bishop</t>
  </si>
  <si>
    <t>Miss. Jeannie Lefebre</t>
  </si>
  <si>
    <t>Mrs. Frederick Maxfield (Jane Anne Forby) Hoyt</t>
  </si>
  <si>
    <t>Mr. Edward Austin Kent</t>
  </si>
  <si>
    <t>Mr. Francis William Somerton</t>
  </si>
  <si>
    <t>Master. Eden Leslie Coutts</t>
  </si>
  <si>
    <t>Mr. Konrad Mathias Reiersen Hagland</t>
  </si>
  <si>
    <t>Mr. Einar Windelov</t>
  </si>
  <si>
    <t>Mr. Harry Markland Molson</t>
  </si>
  <si>
    <t>Mr. Ramon Artagaveytia</t>
  </si>
  <si>
    <t>Mr. Edward Roland Stanley</t>
  </si>
  <si>
    <t>Mr. Gerious Yousseff</t>
  </si>
  <si>
    <t>Miss. Elizabeth Mussey Eustis</t>
  </si>
  <si>
    <t>Mr. Frederick William Shellard</t>
  </si>
  <si>
    <t>Mrs. Hudson J C (Bessie Waldo Daniels) Allison</t>
  </si>
  <si>
    <t>Mr. Olof Svensson</t>
  </si>
  <si>
    <t>Mr. Petar Calic</t>
  </si>
  <si>
    <t>Miss. Mary Canavan</t>
  </si>
  <si>
    <t>Miss. Bridget Mary O'Sullivan</t>
  </si>
  <si>
    <t>Miss. Kristina Sofia Laitinen</t>
  </si>
  <si>
    <t>Miss. Roberta Maioni</t>
  </si>
  <si>
    <t>Mr. Victor de Satode Penasco y Castellana</t>
  </si>
  <si>
    <t>Mrs. Frederick Charles (Jane Richards) Quick</t>
  </si>
  <si>
    <t>Mr. George Bradley</t>
  </si>
  <si>
    <t>Mr. Henry Margido Olsen</t>
  </si>
  <si>
    <t>Mr. Fang Lang</t>
  </si>
  <si>
    <t>Mr. Eugene Patrick Daly</t>
  </si>
  <si>
    <t>Mr. James Webber</t>
  </si>
  <si>
    <t>Mr. James Robert McGough</t>
  </si>
  <si>
    <t>Mrs. Martin (Elizabeth L. Barrett) Rothschild</t>
  </si>
  <si>
    <t>Mr. Satio Coleff</t>
  </si>
  <si>
    <t>Mr. William Anderson Walker</t>
  </si>
  <si>
    <t>Mrs. (Amelia Milley) Lemore</t>
  </si>
  <si>
    <t>Mr. Patrick Ryan</t>
  </si>
  <si>
    <t>Mrs. William A (Florence Agnes Hughes) Angle</t>
  </si>
  <si>
    <t>Mr. Stefo Pavlovic</t>
  </si>
  <si>
    <t>Miss. Anne Perreault</t>
  </si>
  <si>
    <t>Mr. Janko Vovk</t>
  </si>
  <si>
    <t>Mr. Sarkis Lahoud</t>
  </si>
  <si>
    <t>Mrs. Louis Albert (Ida Sophia Fischer) Hippach</t>
  </si>
  <si>
    <t>Mr. Fared Kassem</t>
  </si>
  <si>
    <t>Mr. James Farrell</t>
  </si>
  <si>
    <t>Miss. Lucy Ridsdale</t>
  </si>
  <si>
    <t>Mr. John Farthing</t>
  </si>
  <si>
    <t>Mr. Johan Werner Salonen</t>
  </si>
  <si>
    <t>Mr. Richard George Hocking</t>
  </si>
  <si>
    <t>Miss. Phyllis May Quick</t>
  </si>
  <si>
    <t>Mr. Nakli Toufik</t>
  </si>
  <si>
    <t>Mr. Joseph Jr Elias</t>
  </si>
  <si>
    <t>Mrs. Catherine (Catherine Rizk) Peter</t>
  </si>
  <si>
    <t>Miss. Marija Cacic</t>
  </si>
  <si>
    <t>Miss. Eva Miriam Hart</t>
  </si>
  <si>
    <t>Major. Archibald Willingham Butt</t>
  </si>
  <si>
    <t>Miss. Bertha LeRoy</t>
  </si>
  <si>
    <t>Mr. Samuel Beard Risien</t>
  </si>
  <si>
    <t>Miss. Hedwig Margaritha Frolicher</t>
  </si>
  <si>
    <t>Miss. Harriet R Crosby</t>
  </si>
  <si>
    <t>Miss. Ingeborg Constanzia Andersson</t>
  </si>
  <si>
    <t>Miss. Sigrid Elisabeth Andersson</t>
  </si>
  <si>
    <t>Mr. Edward Beane</t>
  </si>
  <si>
    <t>Mr. Walter Donald Douglas</t>
  </si>
  <si>
    <t>Mr. Arthur Ernest Nicholson</t>
  </si>
  <si>
    <t>Mrs. Edward (Ethel Clarke) Beane</t>
  </si>
  <si>
    <t>Mr. Julian Padro y Manent</t>
  </si>
  <si>
    <t>Mr. Frank John Goldsmith</t>
  </si>
  <si>
    <t>Master. John Morgan Jr Davies</t>
  </si>
  <si>
    <t>Mr. John Borland Jr Thayer</t>
  </si>
  <si>
    <t>Mr. Percival James R Sharp</t>
  </si>
  <si>
    <t>Mr. Timothy O'Brien</t>
  </si>
  <si>
    <t>Mr. Fahim Leeni</t>
  </si>
  <si>
    <t>Miss. Velin Ohman</t>
  </si>
  <si>
    <t>Mr. George Wright</t>
  </si>
  <si>
    <t>Lady. (Lucille Christiana Sutherland)Duff Gordon</t>
  </si>
  <si>
    <t>Mr. Victor Robbins</t>
  </si>
  <si>
    <t>Mrs. Emil (Tillie Mandelbaum) Taussig</t>
  </si>
  <si>
    <t>Mrs. Guillaume Joseph (Emma) de Messemaeker</t>
  </si>
  <si>
    <t>Mr. Thomas Rowan Morrow</t>
  </si>
  <si>
    <t>Mr. Husein Sivic</t>
  </si>
  <si>
    <t>Mr. Robert Douglas Norman</t>
  </si>
  <si>
    <t>Mr. John Simmons</t>
  </si>
  <si>
    <t>Miss. (Marion Ogden) Meanwell</t>
  </si>
  <si>
    <t>Mr. Alfred J Davies</t>
  </si>
  <si>
    <t>Mr. Ilia Stoytcheff</t>
  </si>
  <si>
    <t>Mrs. Nils (Alma Cornelia Berglund) Palsson</t>
  </si>
  <si>
    <t>Mr. Tannous Doharr</t>
  </si>
  <si>
    <t>Mr. Carl Jonsson</t>
  </si>
  <si>
    <t>Mr. George Harris</t>
  </si>
  <si>
    <t>Mrs. Edward Dale (Charlotte Lamson) Appleton</t>
  </si>
  <si>
    <t>Mr. John Irwin Flynn</t>
  </si>
  <si>
    <t>Miss. Mary Kelly</t>
  </si>
  <si>
    <t>Mr. Alfred George John Rush</t>
  </si>
  <si>
    <t>Mr. George Patchett</t>
  </si>
  <si>
    <t>Miss. Ethel Garside</t>
  </si>
  <si>
    <t>Mrs. William Baird (Alice Munger) Silvey</t>
  </si>
  <si>
    <t>Mrs. Joseph (Maria Elias) Caram</t>
  </si>
  <si>
    <t>Mr. Eiriik Jussila</t>
  </si>
  <si>
    <t>Miss. Julie Rachel Christy</t>
  </si>
  <si>
    <t>Mrs. John Borland (Marian Longstreth Morris) Thayer</t>
  </si>
  <si>
    <t>Mr. William James Downton</t>
  </si>
  <si>
    <t>Mr. John Hugo Ross</t>
  </si>
  <si>
    <t>Mr. Uscher Paulner</t>
  </si>
  <si>
    <t>Miss. Ruth Taussig</t>
  </si>
  <si>
    <t>Mr. John Denzil Jarvis</t>
  </si>
  <si>
    <t>Mr. Maxmillian Frolicher-Stehli</t>
  </si>
  <si>
    <t>Mr. Eliezer Gilinski</t>
  </si>
  <si>
    <t>Mr. Joseph Murdlin</t>
  </si>
  <si>
    <t>Mr. Matti Rintamaki</t>
  </si>
  <si>
    <t>Mrs. Walter Bertram (Martha Eustis) Stephenson</t>
  </si>
  <si>
    <t>Mr. William James Elsbury</t>
  </si>
  <si>
    <t>Miss. Mary Bourke</t>
  </si>
  <si>
    <t>Mr. John Henry Chapman</t>
  </si>
  <si>
    <t>Mr. Jean Baptiste Van Impe</t>
  </si>
  <si>
    <t>Miss. Jessie Wills Leitch</t>
  </si>
  <si>
    <t>Mr. Alfred Johnson</t>
  </si>
  <si>
    <t>Mr. Hanna Boulos</t>
  </si>
  <si>
    <t>Sir. Cosmo Edmund Duff Gordon</t>
  </si>
  <si>
    <t>Mrs. Sidney Samuel (Amy Frances Christy) Jacobsohn</t>
  </si>
  <si>
    <t>Mr. Petco Slabenoff</t>
  </si>
  <si>
    <t>Mr. Charles H Harrington</t>
  </si>
  <si>
    <t>Mr. Ernst William Torber</t>
  </si>
  <si>
    <t>Mr. Harry Homer</t>
  </si>
  <si>
    <t>Mr. Edvard Bengtsson Lindell</t>
  </si>
  <si>
    <t>Mr. Milan Karaic</t>
  </si>
  <si>
    <t>Mr. Robert Williams Daniel</t>
  </si>
  <si>
    <t>Mrs. Joseph (Juliette Marie Louise Lafargue) Laroche</t>
  </si>
  <si>
    <t>Miss. Elizabeth W Shutes</t>
  </si>
  <si>
    <t>Mrs. Anders Johan (Alfrida Konstantia Brogren) Andersson</t>
  </si>
  <si>
    <t>Mr. Jose Neto Jardin</t>
  </si>
  <si>
    <t>Miss. Margaret Jane Murphy</t>
  </si>
  <si>
    <t>Mr. John Horgan</t>
  </si>
  <si>
    <t>Mr. William Alfred Brocklebank</t>
  </si>
  <si>
    <t>Miss. Alice Herman</t>
  </si>
  <si>
    <t>Mr. Ernst Gilbert Danbom</t>
  </si>
  <si>
    <t>Mrs. William Arthur (Cordelia K Stanlick) Lobb</t>
  </si>
  <si>
    <t>Miss. Marion Louise Becker</t>
  </si>
  <si>
    <t>Mr. Lawrence Gavey</t>
  </si>
  <si>
    <t>Mr. Antoni Yasbeck</t>
  </si>
  <si>
    <t>Mr. Edwin Nelson Jr Kimball</t>
  </si>
  <si>
    <t>Mr. Sahid Nakid</t>
  </si>
  <si>
    <t>Mr. Henry Damsgaard Hansen</t>
  </si>
  <si>
    <t>Mr. David John Bowen</t>
  </si>
  <si>
    <t>Mr. Frederick Sutton</t>
  </si>
  <si>
    <t>Rev. Charles Leonard Kirkland</t>
  </si>
  <si>
    <t>Miss. Gretchen Fiske Longley</t>
  </si>
  <si>
    <t>Mr. Guentcho Bostandyeff</t>
  </si>
  <si>
    <t>Mr. Patrick D O'Connell</t>
  </si>
  <si>
    <t>Mr. Algernon Henry Wilson Barkworth</t>
  </si>
  <si>
    <t>Mr. Johan Svensson Lundahl</t>
  </si>
  <si>
    <t>Dr. Max Stahelin-Maeglin</t>
  </si>
  <si>
    <t>Mr. William Henry Marsh Parr</t>
  </si>
  <si>
    <t>Miss. Mabel Skoog</t>
  </si>
  <si>
    <t>Miss. Mary Davis</t>
  </si>
  <si>
    <t>Mr. Antti Gustaf Leinonen</t>
  </si>
  <si>
    <t>Mr. Harvey Collyer</t>
  </si>
  <si>
    <t>Mrs. Juha (Maria Emilia Ojala) Panula</t>
  </si>
  <si>
    <t>Mr. Percival Thorneycroft</t>
  </si>
  <si>
    <t>Mr. Hans Peder Jensen</t>
  </si>
  <si>
    <t>Mlle. Emma Sagesser</t>
  </si>
  <si>
    <t>Miss. Margit Elizabeth Skoog</t>
  </si>
  <si>
    <t>Mr. Choong Foo</t>
  </si>
  <si>
    <t>Miss. Eugenie Baclini</t>
  </si>
  <si>
    <t>Mr. Henry Sleeper Harper</t>
  </si>
  <si>
    <t>Mr. Liudevit Cor</t>
  </si>
  <si>
    <t>Col. Oberst Alfons Simonius-Blumer</t>
  </si>
  <si>
    <t>Mr. Edward Willey</t>
  </si>
  <si>
    <t>Miss. Amy Zillah Elsie Stanley</t>
  </si>
  <si>
    <t>Mr. Mito Mitkoff</t>
  </si>
  <si>
    <t>Miss. Elsie Doling</t>
  </si>
  <si>
    <t>Mr. Johannes Halvorsen Kalvik</t>
  </si>
  <si>
    <t>Miss. Hanora O'Leary</t>
  </si>
  <si>
    <t>Miss. Hanora Hegarty</t>
  </si>
  <si>
    <t>Mr. Leonard Mark Hickman</t>
  </si>
  <si>
    <t>Mr. Alexander Radeff</t>
  </si>
  <si>
    <t>Mrs. John (Catherine) Bourke</t>
  </si>
  <si>
    <t>Mr. George Floyd Eitemiller</t>
  </si>
  <si>
    <t>Mr. Arthur Webster Newell</t>
  </si>
  <si>
    <t>Dr. Henry William Frauenthal</t>
  </si>
  <si>
    <t>Mr. Mohamed Badt</t>
  </si>
  <si>
    <t>Mr. Edward Pomeroy Colley</t>
  </si>
  <si>
    <t>Mr. Peju Coleff</t>
  </si>
  <si>
    <t>Mr. Eino William Lindqvist</t>
  </si>
  <si>
    <t>Mr. Lewis Hickman</t>
  </si>
  <si>
    <t>Mr. Reginald Fenton Butler</t>
  </si>
  <si>
    <t>Mr. Knud Paust Rommetvedt</t>
  </si>
  <si>
    <t>Mr. Jacob Cook</t>
  </si>
  <si>
    <t>Mrs. Elmer Zebley (Juliet Cummins Wright) Taylor</t>
  </si>
  <si>
    <t>Mrs. Thomas William Solomon (Elizabeth Catherine Ford) Brown</t>
  </si>
  <si>
    <t>Mr. Thornton Davidson</t>
  </si>
  <si>
    <t>Mr. Henry Michael Mitchell</t>
  </si>
  <si>
    <t>Mr. Charles Wilhelms</t>
  </si>
  <si>
    <t>Mr. Ennis Hastings Watson</t>
  </si>
  <si>
    <t>Mr. Gustaf Hjalmar Edvardsson</t>
  </si>
  <si>
    <t>Mr. Frederick Charles Sawyer</t>
  </si>
  <si>
    <t>Miss. Anna Sofia Turja</t>
  </si>
  <si>
    <t>Mrs. Frederick (Augusta Tyler) Goodwin</t>
  </si>
  <si>
    <t>Mr. Thomas Drake Martinez Cardeza</t>
  </si>
  <si>
    <t>Miss. Katie Peters</t>
  </si>
  <si>
    <t>Mr. Hammad Hassab</t>
  </si>
  <si>
    <t>Mr. Thor Anderson Olsvigen</t>
  </si>
  <si>
    <t>Mr. Charles Edward Goodwin</t>
  </si>
  <si>
    <t>Mr. Thomas William Solomon Brown</t>
  </si>
  <si>
    <t>Mr. Joseph Philippe Lemercier Laroche</t>
  </si>
  <si>
    <t>Mr. Jaako Arnold Panula</t>
  </si>
  <si>
    <t>Mr. Branko Dakic</t>
  </si>
  <si>
    <t>Mr. Eberhard Thelander Fischer</t>
  </si>
  <si>
    <t>Miss. Georgette Alexandra Madill</t>
  </si>
  <si>
    <t>Mr. Albert Adrian Dick</t>
  </si>
  <si>
    <t>Miss. Manca Karun</t>
  </si>
  <si>
    <t>Mr. Ali Lam</t>
  </si>
  <si>
    <t>Mr. Khalil Saad</t>
  </si>
  <si>
    <t>Col. John Weir</t>
  </si>
  <si>
    <t>Mr. Charles Henry Chapman</t>
  </si>
  <si>
    <t>Mr. James Kelly</t>
  </si>
  <si>
    <t>Miss. Katherine Mullens</t>
  </si>
  <si>
    <t>Mr. John Borland Thayer</t>
  </si>
  <si>
    <t>Mr. Adolf Mathias Nicolai Olsen Humblen</t>
  </si>
  <si>
    <t>Mrs. John Jacob (Madeleine Talmadge Force) Astor</t>
  </si>
  <si>
    <t>Mr. Spencer Victor Silverthorne</t>
  </si>
  <si>
    <t>Miss. Saiide Barbara</t>
  </si>
  <si>
    <t>Mr. Martin Gallagher</t>
  </si>
  <si>
    <t>Mr. Henrik Juul Hansen</t>
  </si>
  <si>
    <t>Mr. Henry Samuel Morley</t>
  </si>
  <si>
    <t>Mrs. Florence Kelly</t>
  </si>
  <si>
    <t>Mr. Edward Pennington Calderhead</t>
  </si>
  <si>
    <t>Miss. Alice Cleaver</t>
  </si>
  <si>
    <t>Master. Halim Gonios Moubarek</t>
  </si>
  <si>
    <t>Mlle. Berthe Antonine Mayne</t>
  </si>
  <si>
    <t>Mr. Herman Klaber</t>
  </si>
  <si>
    <t>Mr. Elmer Zebley Taylor</t>
  </si>
  <si>
    <t>Mr. August Viktor Larsson</t>
  </si>
  <si>
    <t>Mr. Samuel Greenberg</t>
  </si>
  <si>
    <t>Mr. Peter Andreas Lauritz Andersen Soholt</t>
  </si>
  <si>
    <t>Miss. Caroline Louise Endres</t>
  </si>
  <si>
    <t>Miss. Edwina Celia Troutt</t>
  </si>
  <si>
    <t>Mr. Malkolm Joackim Johnson</t>
  </si>
  <si>
    <t>Miss. Annie Jessie Harper</t>
  </si>
  <si>
    <t>Mr. Svend Lauritz Jensen</t>
  </si>
  <si>
    <t>Mr. William Henry Gillespie</t>
  </si>
  <si>
    <t>Mr. Henry Price Hodges</t>
  </si>
  <si>
    <t>Mr. Norman Campbell Chambers</t>
  </si>
  <si>
    <t>Mr. Luka Oreskovic</t>
  </si>
  <si>
    <t>Mrs. Peter Henry (Lillian Jefferys) Renouf</t>
  </si>
  <si>
    <t>Miss. Margareth Mannion</t>
  </si>
  <si>
    <t>Mr. Kurt Arnold Gottfrid Bryhl</t>
  </si>
  <si>
    <t>Miss. Pieta Sofia Ilmakangas</t>
  </si>
  <si>
    <t>Miss. Elisabeth Walton Allen</t>
  </si>
  <si>
    <t>Mr. Houssein G N Hassan</t>
  </si>
  <si>
    <t>Mr. Robert J Knight</t>
  </si>
  <si>
    <t>Mr. William John Berriman</t>
  </si>
  <si>
    <t>Mr. Moses Aaron Troupiansky</t>
  </si>
  <si>
    <t>Mr. Leslie Williams</t>
  </si>
  <si>
    <t>Mrs. Edward (Margaret Ann Watson) Ford</t>
  </si>
  <si>
    <t>Mr. Gustave J Lesurer</t>
  </si>
  <si>
    <t>Mr. Kanio Ivanoff</t>
  </si>
  <si>
    <t>Mr. Minko Nankoff</t>
  </si>
  <si>
    <t>Mr. Walter James Hawksford</t>
  </si>
  <si>
    <t>Mr. Tyrell William Cavendish</t>
  </si>
  <si>
    <t>Miss. Susan Parker Ryerson</t>
  </si>
  <si>
    <t>Mr. Neal McNamee</t>
  </si>
  <si>
    <t>Mr. Juho Stranden</t>
  </si>
  <si>
    <t>Capt. Edward Gifford Crosby</t>
  </si>
  <si>
    <t>Mr. Rossmore Edward Abbott</t>
  </si>
  <si>
    <t>Miss. Anna Sinkkonen</t>
  </si>
  <si>
    <t>Mr. Daniel Warner Marvin</t>
  </si>
  <si>
    <t>Mr. Michael Connaghton</t>
  </si>
  <si>
    <t>Miss. Joan Wells</t>
  </si>
  <si>
    <t>Master. Meier Moor</t>
  </si>
  <si>
    <t>Mr. Johannes Joseph Vande Velde</t>
  </si>
  <si>
    <t>Mr. Lalio Jonkoff</t>
  </si>
  <si>
    <t>Mrs. Samuel (Jane Laver) Herman</t>
  </si>
  <si>
    <t>Master. Viljo Hamalainen</t>
  </si>
  <si>
    <t>Mr. August Sigfrid Carlsson</t>
  </si>
  <si>
    <t>Mr. Percy Andrew Bailey</t>
  </si>
  <si>
    <t>Mr. Thomas Leonard Theobald</t>
  </si>
  <si>
    <t>the Countess. of (Lucy Noel Martha Dyer-Edwards) Rothes</t>
  </si>
  <si>
    <t>Mr. John Garfirth</t>
  </si>
  <si>
    <t>Mr. Iisakki Antino Aijo Nirva</t>
  </si>
  <si>
    <t>Mr. Hanna Assi Barah</t>
  </si>
  <si>
    <t>Mrs. William Ernest (Lucile Polk) Carter</t>
  </si>
  <si>
    <t>Mr. Hans Linus Eklund</t>
  </si>
  <si>
    <t>Mrs. John C (Anna Andrews) Hogeboom</t>
  </si>
  <si>
    <t>Dr. Arthur Jackson Brewe</t>
  </si>
  <si>
    <t>Miss. Mary Mangan</t>
  </si>
  <si>
    <t>Mr. Daniel J Moran</t>
  </si>
  <si>
    <t>Mr. Daniel Danielsen Gronnestad</t>
  </si>
  <si>
    <t>Mr. Rene Aime Lievens</t>
  </si>
  <si>
    <t>Mr. Niels Peder Jensen</t>
  </si>
  <si>
    <t>Mrs. (Mary) Mack</t>
  </si>
  <si>
    <t>Mr. Dibo Elias</t>
  </si>
  <si>
    <t>Mrs. Elizabeth (Eliza Needs) Hocking</t>
  </si>
  <si>
    <t>Mr. Pehr Fabian Oliver Malkolm Myhrman</t>
  </si>
  <si>
    <t>Mr. Roger Tobin</t>
  </si>
  <si>
    <t>Miss. Virginia Ethel Emanuel</t>
  </si>
  <si>
    <t>Mr. Thomas J Kilgannon</t>
  </si>
  <si>
    <t>Mrs. Edward Scott (Elisabeth Walton McMillan) Robert</t>
  </si>
  <si>
    <t>Miss. Banoura Ayoub</t>
  </si>
  <si>
    <t>Mrs. Albert Adrian (Vera Gillespie) Dick</t>
  </si>
  <si>
    <t>Mr. Milton Clyde Long</t>
  </si>
  <si>
    <t>Mr. Andrew G Johnston</t>
  </si>
  <si>
    <t>Mr. William Ali</t>
  </si>
  <si>
    <t>Mr. Abraham (David Lishin) Harmer</t>
  </si>
  <si>
    <t>Miss. Anna Sofia Sjoblom</t>
  </si>
  <si>
    <t>Master. George Hugh Rice</t>
  </si>
  <si>
    <t>Master. Bertram Vere Dean</t>
  </si>
  <si>
    <t>Mr. Benjamin Guggenheim</t>
  </si>
  <si>
    <t>Mr. Andrew Keane</t>
  </si>
  <si>
    <t>Mr. Alfred Gaskell</t>
  </si>
  <si>
    <t>Miss. Stella Anna Sage</t>
  </si>
  <si>
    <t>Mr. William Fisher Hoyt</t>
  </si>
  <si>
    <t>Mr. Ristiu Dantcheff</t>
  </si>
  <si>
    <t>Mr. Richard Otter</t>
  </si>
  <si>
    <t>Dr. Alice (Farnham) Leader</t>
  </si>
  <si>
    <t>Mrs. Mara Osman</t>
  </si>
  <si>
    <t>Mr. Yousseff Ibrahim Shawah</t>
  </si>
  <si>
    <t>Mrs. Jean Baptiste (Rosalie Paula Govaert) Van Impe</t>
  </si>
  <si>
    <t>Mr. Martin Ponesell</t>
  </si>
  <si>
    <t>Mrs. Harvey (Charlotte Annie Tate) Collyer</t>
  </si>
  <si>
    <t>Master. William Thornton II Carter</t>
  </si>
  <si>
    <t>Master. Assad Alexander Thomas</t>
  </si>
  <si>
    <t>Mr. Oskar Arvid Hedman</t>
  </si>
  <si>
    <t>Mr. Karl Johan Johansson</t>
  </si>
  <si>
    <t>Mr. Thomas Jr Andrews</t>
  </si>
  <si>
    <t>Miss. Ellen Natalia Pettersson</t>
  </si>
  <si>
    <t>Mr. August Meyer</t>
  </si>
  <si>
    <t>Mrs. Norman Campbell (Bertha Griggs) Chambers</t>
  </si>
  <si>
    <t>Mr. William Alexander</t>
  </si>
  <si>
    <t>Mr. James Lester</t>
  </si>
  <si>
    <t>Mr. Richard James Slemen</t>
  </si>
  <si>
    <t>Miss. Ebba Iris Alfrida Andersson</t>
  </si>
  <si>
    <t>Mr. Ernest Portage Tomlin</t>
  </si>
  <si>
    <t>Mr. Richard Fry</t>
  </si>
  <si>
    <t>Miss. Wendla Maria Heininen</t>
  </si>
  <si>
    <t>Mr. Albert Mallet</t>
  </si>
  <si>
    <t>Mr. John Fredrik Alexander Holm</t>
  </si>
  <si>
    <t>Master. Karl Thorsten Skoog</t>
  </si>
  <si>
    <t>Mrs. Charles Melville (Clara Jennings Gregg) Hays</t>
  </si>
  <si>
    <t>Mr. Nikola Lulic</t>
  </si>
  <si>
    <t>Jonkheer. John George Reuchlin</t>
  </si>
  <si>
    <t>Mrs. (Beila) Moor</t>
  </si>
  <si>
    <t>Master. Urho Abraham Panula</t>
  </si>
  <si>
    <t>Mr. John Flynn</t>
  </si>
  <si>
    <t>Mr. Len Lam</t>
  </si>
  <si>
    <t>Master. Andre Mallet</t>
  </si>
  <si>
    <t>Mr. Thomas Joseph McCormack</t>
  </si>
  <si>
    <t>Mrs. George Nelson (Martha Evelyn) Stone</t>
  </si>
  <si>
    <t>Mrs. Antoni (Selini Alexander) Yasbeck</t>
  </si>
  <si>
    <t>Master. George Sibley Richards</t>
  </si>
  <si>
    <t>Mr. Amin Saad</t>
  </si>
  <si>
    <t>Mr. Albert Augustsson</t>
  </si>
  <si>
    <t>Mr. Owen George Allum</t>
  </si>
  <si>
    <t>Miss. Sara Rebecca Compton</t>
  </si>
  <si>
    <t>Mr. Jakob Pasic</t>
  </si>
  <si>
    <t>Mr. Maurice Sirota</t>
  </si>
  <si>
    <t>Mr. Chang Chip</t>
  </si>
  <si>
    <t>Mr. Pierre Marechal</t>
  </si>
  <si>
    <t>Mr. Ilmari Rudolf Alhomaki</t>
  </si>
  <si>
    <t>Mr. Thomas Charles Mudd</t>
  </si>
  <si>
    <t>Miss. Augusta Serepeca</t>
  </si>
  <si>
    <t>Mr. Peter L Lemberopolous</t>
  </si>
  <si>
    <t>Mr. Jeso Culumovic</t>
  </si>
  <si>
    <t>Mr. Anthony Abbing</t>
  </si>
  <si>
    <t>Mr. Douglas Bullen Sage</t>
  </si>
  <si>
    <t>Mr. Marin Markoff</t>
  </si>
  <si>
    <t>Rev. John Harper</t>
  </si>
  <si>
    <t>Mrs. Samuel L (Edwiga Grabowska) Goldenberg</t>
  </si>
  <si>
    <t>Master. Sigvard Harald Elias Andersson</t>
  </si>
  <si>
    <t>Mr. Johan Svensson</t>
  </si>
  <si>
    <t>Miss. Nourelain Boulos</t>
  </si>
  <si>
    <t>Miss. Mary Conover Lines</t>
  </si>
  <si>
    <t>Mrs. Ernest Courtenay (Lilian Hughes) Carter</t>
  </si>
  <si>
    <t>Mrs. Sam (Leah Rosen) Aks</t>
  </si>
  <si>
    <t>Mrs. George Dennick (Mary Hitchcock) Wick</t>
  </si>
  <si>
    <t>Mr. Peter Denis Daly</t>
  </si>
  <si>
    <t>Mrs. Solomon (Latifa Qurban) Baclini</t>
  </si>
  <si>
    <t>Mr. Raihed Razi</t>
  </si>
  <si>
    <t>Mr. Claus Peter Hansen</t>
  </si>
  <si>
    <t>Mr. Frederick Edward Giles</t>
  </si>
  <si>
    <t>Mrs. Frederick Joel (Margaret Welles Barron) Swift</t>
  </si>
  <si>
    <t>Miss. Dorothy Edith Sage</t>
  </si>
  <si>
    <t>Mr. John William Gill</t>
  </si>
  <si>
    <t>Mrs. (Karolina) Bystrom</t>
  </si>
  <si>
    <t>Miss. Asuncion Duran y More</t>
  </si>
  <si>
    <t>Mr. Washington Augustus II Roebling</t>
  </si>
  <si>
    <t>Mr. Philemon van Melkebeke</t>
  </si>
  <si>
    <t>Master. Harold Theodor Johnson</t>
  </si>
  <si>
    <t>Mr. Cerin Balkic</t>
  </si>
  <si>
    <t>Mrs. Richard Leonard (Sallie Monypeny) Beckwith</t>
  </si>
  <si>
    <t>Mr. Frans Olof Carlsson</t>
  </si>
  <si>
    <t>Mr. Victor Vander Cruyssen</t>
  </si>
  <si>
    <t>Mrs. Samuel (Hannah Wizosky) Abelson</t>
  </si>
  <si>
    <t>Miss. Adele Kiamie Najib</t>
  </si>
  <si>
    <t>Mr. Alfred Ossian Gustafsson</t>
  </si>
  <si>
    <t>Mr. Nedelio Petroff</t>
  </si>
  <si>
    <t>Mr. Kristo Laleff</t>
  </si>
  <si>
    <t>Mrs. Thomas Jr (Lily Alexenia Wilson) Potter</t>
  </si>
  <si>
    <t>Mrs. William (Imanita Parrish Hall) Shelley</t>
  </si>
  <si>
    <t>Mr. Johann Markun</t>
  </si>
  <si>
    <t>Miss. Gerda Ulrika Dahlberg</t>
  </si>
  <si>
    <t>Mr. Frederick James Banfield</t>
  </si>
  <si>
    <t>Mr. Henry Jr Sutehall</t>
  </si>
  <si>
    <t>Mrs. William (Margaret Norton) Rice</t>
  </si>
  <si>
    <t>Rev. Juozas Montvila</t>
  </si>
  <si>
    <t>Miss. Margaret Edith Graham</t>
  </si>
  <si>
    <t>Miss. Catherine Helen Johnston</t>
  </si>
  <si>
    <t>Mr. Karl Howell Behr</t>
  </si>
  <si>
    <t>Mr. Patrick Dooley</t>
  </si>
  <si>
    <t>Row Labels</t>
  </si>
  <si>
    <t>Grand Total</t>
  </si>
  <si>
    <t>Column Labels</t>
  </si>
  <si>
    <t>Count of Sex</t>
  </si>
  <si>
    <t>Name:</t>
  </si>
  <si>
    <t>Age:</t>
  </si>
  <si>
    <t>Palsson</t>
  </si>
  <si>
    <t>Parent/Child</t>
  </si>
  <si>
    <t>Siblings/Spouse</t>
  </si>
  <si>
    <t>Titanic Names</t>
  </si>
  <si>
    <t>Titanic Ages</t>
  </si>
  <si>
    <t>Mean</t>
  </si>
  <si>
    <t>Standard Error</t>
  </si>
  <si>
    <t>Median</t>
  </si>
  <si>
    <t>Mode</t>
  </si>
  <si>
    <t>Standard Deviation</t>
  </si>
  <si>
    <t>Sample Variance</t>
  </si>
  <si>
    <t>Kurtosis</t>
  </si>
  <si>
    <t>Skewness</t>
  </si>
  <si>
    <t>Range</t>
  </si>
  <si>
    <t>Minimum</t>
  </si>
  <si>
    <t>Maximum</t>
  </si>
  <si>
    <t>Sum</t>
  </si>
  <si>
    <t>Count</t>
  </si>
  <si>
    <t>Data is considered to be normal if skewness is between -2 to 2 and kurtosis is between -7 to 7</t>
  </si>
  <si>
    <t>Mean:</t>
  </si>
  <si>
    <t>Median:</t>
  </si>
  <si>
    <t>Mode:</t>
  </si>
  <si>
    <t>Std Dev:</t>
  </si>
  <si>
    <t>Min:</t>
  </si>
  <si>
    <t>Max:</t>
  </si>
  <si>
    <t>Range:</t>
  </si>
  <si>
    <t>Bin Int:</t>
  </si>
  <si>
    <t>N:</t>
  </si>
  <si>
    <t>Freq</t>
  </si>
  <si>
    <t>Freq uses an array formula: Ctr + Shift + Enter</t>
  </si>
  <si>
    <t>Normal Distribution</t>
  </si>
  <si>
    <t>False for values being cumulative</t>
  </si>
  <si>
    <t>BINX</t>
  </si>
  <si>
    <t>BIN</t>
  </si>
  <si>
    <t>Notes: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</si>
</sst>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18" fillId="0" borderId="10" xfId="0" applyFont="1" applyBorder="1" applyAlignment="1">
      <alignment horizontal="center"/>
    </xf>
    <xf numFmtId="0" fontId="18" fillId="0" borderId="11" xfId="0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164" fontId="0" fillId="0" borderId="0" xfId="0" applyNumberFormat="1"/>
    <xf numFmtId="0" fontId="0" fillId="0" borderId="0" xfId="0" applyNumberFormat="1"/>
    <xf numFmtId="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powerPivotData" Target="model/item.data"/><Relationship Id="rId18" Type="http://schemas.openxmlformats.org/officeDocument/2006/relationships/customXml" Target="../customXml/item4.xml"/><Relationship Id="rId26" Type="http://schemas.openxmlformats.org/officeDocument/2006/relationships/customXml" Target="../customXml/item12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7.xml"/><Relationship Id="rId7" Type="http://schemas.openxmlformats.org/officeDocument/2006/relationships/pivotCacheDefinition" Target="pivotCache/pivotCacheDefinition1.xml"/><Relationship Id="rId12" Type="http://schemas.openxmlformats.org/officeDocument/2006/relationships/sheetMetadata" Target="metadata.xml"/><Relationship Id="rId17" Type="http://schemas.openxmlformats.org/officeDocument/2006/relationships/customXml" Target="../customXml/item3.xml"/><Relationship Id="rId25" Type="http://schemas.openxmlformats.org/officeDocument/2006/relationships/customXml" Target="../customXml/item11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20" Type="http://schemas.openxmlformats.org/officeDocument/2006/relationships/customXml" Target="../customXml/item6.xml"/><Relationship Id="rId29" Type="http://schemas.openxmlformats.org/officeDocument/2006/relationships/customXml" Target="../customXml/item15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24" Type="http://schemas.openxmlformats.org/officeDocument/2006/relationships/customXml" Target="../customXml/item10.xml"/><Relationship Id="rId32" Type="http://schemas.openxmlformats.org/officeDocument/2006/relationships/customXml" Target="../customXml/item18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23" Type="http://schemas.openxmlformats.org/officeDocument/2006/relationships/customXml" Target="../customXml/item9.xml"/><Relationship Id="rId28" Type="http://schemas.openxmlformats.org/officeDocument/2006/relationships/customXml" Target="../customXml/item14.xml"/><Relationship Id="rId10" Type="http://schemas.openxmlformats.org/officeDocument/2006/relationships/styles" Target="styles.xml"/><Relationship Id="rId19" Type="http://schemas.openxmlformats.org/officeDocument/2006/relationships/customXml" Target="../customXml/item5.xml"/><Relationship Id="rId31" Type="http://schemas.openxmlformats.org/officeDocument/2006/relationships/customXml" Target="../customXml/item17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Relationship Id="rId14" Type="http://schemas.openxmlformats.org/officeDocument/2006/relationships/calcChain" Target="calcChain.xml"/><Relationship Id="rId22" Type="http://schemas.openxmlformats.org/officeDocument/2006/relationships/customXml" Target="../customXml/item8.xml"/><Relationship Id="rId27" Type="http://schemas.openxmlformats.org/officeDocument/2006/relationships/customXml" Target="../customXml/item13.xml"/><Relationship Id="rId30" Type="http://schemas.openxmlformats.org/officeDocument/2006/relationships/customXml" Target="../customXml/item16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[titanic.xlsx]PivotChart!PivotTable2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PivotChart!$B$3:$B$4</c:f>
              <c:strCache>
                <c:ptCount val="1"/>
                <c:pt idx="0">
                  <c:v>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PivotChart!$A$5:$A$7</c:f>
              <c:strCache>
                <c:ptCount val="2"/>
                <c:pt idx="0">
                  <c:v>0</c:v>
                </c:pt>
                <c:pt idx="1">
                  <c:v>1</c:v>
                </c:pt>
              </c:strCache>
            </c:strRef>
          </c:cat>
          <c:val>
            <c:numRef>
              <c:f>PivotChart!$B$5:$B$7</c:f>
              <c:numCache>
                <c:formatCode>General</c:formatCode>
                <c:ptCount val="2"/>
                <c:pt idx="0">
                  <c:v>3</c:v>
                </c:pt>
                <c:pt idx="1">
                  <c:v>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C54-4006-8DAC-9D4BF26C09A2}"/>
            </c:ext>
          </c:extLst>
        </c:ser>
        <c:ser>
          <c:idx val="1"/>
          <c:order val="1"/>
          <c:tx>
            <c:strRef>
              <c:f>PivotChart!$C$3:$C$4</c:f>
              <c:strCache>
                <c:ptCount val="1"/>
                <c:pt idx="0">
                  <c:v>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PivotChart!$A$5:$A$7</c:f>
              <c:strCache>
                <c:ptCount val="2"/>
                <c:pt idx="0">
                  <c:v>0</c:v>
                </c:pt>
                <c:pt idx="1">
                  <c:v>1</c:v>
                </c:pt>
              </c:strCache>
            </c:strRef>
          </c:cat>
          <c:val>
            <c:numRef>
              <c:f>PivotChart!$C$5:$C$7</c:f>
              <c:numCache>
                <c:formatCode>General</c:formatCode>
                <c:ptCount val="2"/>
                <c:pt idx="0">
                  <c:v>6</c:v>
                </c:pt>
                <c:pt idx="1">
                  <c:v>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C54-4006-8DAC-9D4BF26C09A2}"/>
            </c:ext>
          </c:extLst>
        </c:ser>
        <c:ser>
          <c:idx val="2"/>
          <c:order val="2"/>
          <c:tx>
            <c:strRef>
              <c:f>PivotChart!$D$3:$D$4</c:f>
              <c:strCache>
                <c:ptCount val="1"/>
                <c:pt idx="0">
                  <c:v>3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PivotChart!$A$5:$A$7</c:f>
              <c:strCache>
                <c:ptCount val="2"/>
                <c:pt idx="0">
                  <c:v>0</c:v>
                </c:pt>
                <c:pt idx="1">
                  <c:v>1</c:v>
                </c:pt>
              </c:strCache>
            </c:strRef>
          </c:cat>
          <c:val>
            <c:numRef>
              <c:f>PivotChart!$D$5:$D$7</c:f>
              <c:numCache>
                <c:formatCode>General</c:formatCode>
                <c:ptCount val="2"/>
                <c:pt idx="0">
                  <c:v>72</c:v>
                </c:pt>
                <c:pt idx="1">
                  <c:v>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C54-4006-8DAC-9D4BF26C09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69039231"/>
        <c:axId val="1988149663"/>
      </c:barChart>
      <c:catAx>
        <c:axId val="19690392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8149663"/>
        <c:crosses val="autoZero"/>
        <c:auto val="1"/>
        <c:lblAlgn val="ctr"/>
        <c:lblOffset val="100"/>
        <c:noMultiLvlLbl val="0"/>
      </c:catAx>
      <c:valAx>
        <c:axId val="19881496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90392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Age KDE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KDE</c:v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dPt>
            <c:idx val="6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02-F0B6-4ED1-8378-840723E52DF8}"/>
              </c:ext>
            </c:extLst>
          </c:dPt>
          <c:xVal>
            <c:numRef>
              <c:f>KDE!$H$13:$H$33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xVal>
          <c:yVal>
            <c:numRef>
              <c:f>KDE!$J$13:$J$33</c:f>
              <c:numCache>
                <c:formatCode>General</c:formatCode>
                <c:ptCount val="21"/>
                <c:pt idx="0">
                  <c:v>1.0031949001749276</c:v>
                </c:pt>
                <c:pt idx="1">
                  <c:v>42.005531700956396</c:v>
                </c:pt>
                <c:pt idx="2">
                  <c:v>19.008845918121001</c:v>
                </c:pt>
                <c:pt idx="3">
                  <c:v>16.013065016310485</c:v>
                </c:pt>
                <c:pt idx="4">
                  <c:v>35.017822138623266</c:v>
                </c:pt>
                <c:pt idx="5">
                  <c:v>107.02245393693319</c:v>
                </c:pt>
                <c:pt idx="6">
                  <c:v>134.02612811023437</c:v>
                </c:pt>
                <c:pt idx="7">
                  <c:v>106.0280805959748</c:v>
                </c:pt>
                <c:pt idx="8">
                  <c:v>101.02787324050639</c:v>
                </c:pt>
                <c:pt idx="9">
                  <c:v>81.025553560642834</c:v>
                </c:pt>
                <c:pt idx="10">
                  <c:v>60.02163705777717</c:v>
                </c:pt>
                <c:pt idx="11">
                  <c:v>44.016921069378448</c:v>
                </c:pt>
                <c:pt idx="12">
                  <c:v>44.012221942256389</c:v>
                </c:pt>
                <c:pt idx="13">
                  <c:v>31.008153338420616</c:v>
                </c:pt>
                <c:pt idx="14">
                  <c:v>18.005023582402288</c:v>
                </c:pt>
                <c:pt idx="15">
                  <c:v>15.002858738377373</c:v>
                </c:pt>
                <c:pt idx="16">
                  <c:v>13.001502512568189</c:v>
                </c:pt>
                <c:pt idx="17">
                  <c:v>5.000729364523095</c:v>
                </c:pt>
                <c:pt idx="18">
                  <c:v>6.0003270046863593</c:v>
                </c:pt>
                <c:pt idx="19">
                  <c:v>1.0001354085658243</c:v>
                </c:pt>
                <c:pt idx="20">
                  <c:v>5.1787043730991726E-5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0B6-4ED1-8378-840723E52DF8}"/>
            </c:ext>
          </c:extLst>
        </c:ser>
        <c:ser>
          <c:idx val="1"/>
          <c:order val="1"/>
          <c:tx>
            <c:v>Histogram</c:v>
          </c:tx>
          <c:spPr>
            <a:ln w="19050" cap="rnd">
              <a:noFill/>
              <a:round/>
            </a:ln>
            <a:effectLst/>
          </c:spPr>
          <c:marker>
            <c:symbol val="none"/>
          </c:marker>
          <c:errBars>
            <c:errDir val="y"/>
            <c:errBarType val="minus"/>
            <c:errValType val="percentage"/>
            <c:noEndCap val="1"/>
            <c:val val="100"/>
            <c:spPr>
              <a:noFill/>
              <a:ln w="152400" cap="flat" cmpd="sng" algn="ctr">
                <a:solidFill>
                  <a:schemeClr val="accent1"/>
                </a:solidFill>
                <a:round/>
              </a:ln>
              <a:effectLst/>
            </c:spPr>
          </c:errBars>
          <c:xVal>
            <c:strRef>
              <c:f>KDE!$F$14:$F$33</c:f>
              <c:strCache>
                <c:ptCount val="20"/>
                <c:pt idx="0">
                  <c:v>4.4</c:v>
                </c:pt>
                <c:pt idx="1">
                  <c:v>8.4</c:v>
                </c:pt>
                <c:pt idx="2">
                  <c:v>12.4</c:v>
                </c:pt>
                <c:pt idx="3">
                  <c:v>16.3</c:v>
                </c:pt>
                <c:pt idx="4">
                  <c:v>20.3</c:v>
                </c:pt>
                <c:pt idx="5">
                  <c:v>24.3</c:v>
                </c:pt>
                <c:pt idx="6">
                  <c:v>28.3</c:v>
                </c:pt>
                <c:pt idx="7">
                  <c:v>32.3</c:v>
                </c:pt>
                <c:pt idx="8">
                  <c:v>36.2</c:v>
                </c:pt>
                <c:pt idx="9">
                  <c:v>40.2</c:v>
                </c:pt>
                <c:pt idx="10">
                  <c:v>44.2</c:v>
                </c:pt>
                <c:pt idx="11">
                  <c:v>48.2</c:v>
                </c:pt>
                <c:pt idx="12">
                  <c:v>52.1</c:v>
                </c:pt>
                <c:pt idx="13">
                  <c:v>56.1</c:v>
                </c:pt>
                <c:pt idx="14">
                  <c:v>60.1</c:v>
                </c:pt>
                <c:pt idx="15">
                  <c:v>64.1</c:v>
                </c:pt>
                <c:pt idx="16">
                  <c:v>68.1</c:v>
                </c:pt>
                <c:pt idx="17">
                  <c:v>72</c:v>
                </c:pt>
                <c:pt idx="18">
                  <c:v>76</c:v>
                </c:pt>
                <c:pt idx="19">
                  <c:v>80</c:v>
                </c:pt>
              </c:strCache>
            </c:strRef>
          </c:xVal>
          <c:yVal>
            <c:numRef>
              <c:f>KDE!$G$14:$G$33</c:f>
              <c:numCache>
                <c:formatCode>General</c:formatCode>
                <c:ptCount val="20"/>
                <c:pt idx="0">
                  <c:v>42</c:v>
                </c:pt>
                <c:pt idx="1">
                  <c:v>19</c:v>
                </c:pt>
                <c:pt idx="2">
                  <c:v>16</c:v>
                </c:pt>
                <c:pt idx="3">
                  <c:v>35</c:v>
                </c:pt>
                <c:pt idx="4">
                  <c:v>107</c:v>
                </c:pt>
                <c:pt idx="5">
                  <c:v>134</c:v>
                </c:pt>
                <c:pt idx="6">
                  <c:v>106</c:v>
                </c:pt>
                <c:pt idx="7">
                  <c:v>101</c:v>
                </c:pt>
                <c:pt idx="8">
                  <c:v>81</c:v>
                </c:pt>
                <c:pt idx="9">
                  <c:v>60</c:v>
                </c:pt>
                <c:pt idx="10">
                  <c:v>44</c:v>
                </c:pt>
                <c:pt idx="11">
                  <c:v>44</c:v>
                </c:pt>
                <c:pt idx="12">
                  <c:v>31</c:v>
                </c:pt>
                <c:pt idx="13">
                  <c:v>18</c:v>
                </c:pt>
                <c:pt idx="14">
                  <c:v>15</c:v>
                </c:pt>
                <c:pt idx="15">
                  <c:v>13</c:v>
                </c:pt>
                <c:pt idx="16">
                  <c:v>5</c:v>
                </c:pt>
                <c:pt idx="17">
                  <c:v>6</c:v>
                </c:pt>
                <c:pt idx="18">
                  <c:v>1</c:v>
                </c:pt>
                <c:pt idx="19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F0B6-4ED1-8378-840723E52D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04436512"/>
        <c:axId val="1904436992"/>
      </c:scatterChart>
      <c:valAx>
        <c:axId val="19044365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Bins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4436992"/>
        <c:crosses val="autoZero"/>
        <c:crossBetween val="midCat"/>
      </c:valAx>
      <c:valAx>
        <c:axId val="19044369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Freq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443651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_xlchart.v1.0</cx:f>
      </cx:numDim>
    </cx:data>
  </cx:chartData>
  <cx:chart>
    <cx:title pos="t" align="ctr" overlay="0">
      <cx:tx>
        <cx:txData>
          <cx:v>Age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Age</a:t>
          </a:r>
        </a:p>
      </cx:txPr>
    </cx:title>
    <cx:plotArea>
      <cx:plotAreaRegion>
        <cx:series layoutId="clusteredColumn" uniqueId="{AF954A27-D343-4E96-B1CA-624DC9B4CAE1}" formatIdx="0">
          <cx:tx>
            <cx:txData>
              <cx:f/>
              <cx:v>Histogram</cx:v>
            </cx:txData>
          </cx:tx>
          <cx:dataId val="0"/>
          <cx:layoutPr>
            <cx:binning intervalClosed="r"/>
          </cx:layoutPr>
        </cx:series>
      </cx:plotAreaRegion>
      <cx:axis id="0">
        <cx:catScaling gapWidth="0"/>
        <cx:title>
          <cx:tx>
            <cx:txData>
              <cx:v>Bins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 panose="020F0502020204030204"/>
                </a:rPr>
                <a:t>Bins</a:t>
              </a:r>
            </a:p>
          </cx:txPr>
        </cx:title>
        <cx:tickLabels/>
      </cx:axis>
      <cx:axis id="1">
        <cx:valScaling/>
        <cx:title>
          <cx:tx>
            <cx:txData>
              <cx:v>Age Freq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 panose="020F0502020204030204"/>
                </a:rPr>
                <a:t>Age Freq</a:t>
              </a:r>
            </a:p>
          </cx:txPr>
        </cx:title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15240</xdr:colOff>
      <xdr:row>0</xdr:row>
      <xdr:rowOff>0</xdr:rowOff>
    </xdr:from>
    <xdr:to>
      <xdr:col>13</xdr:col>
      <xdr:colOff>320040</xdr:colOff>
      <xdr:row>15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7506926-CBCC-F5D0-86BB-AF0F994B6A3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601980</xdr:colOff>
      <xdr:row>34</xdr:row>
      <xdr:rowOff>72390</xdr:rowOff>
    </xdr:from>
    <xdr:to>
      <xdr:col>12</xdr:col>
      <xdr:colOff>297180</xdr:colOff>
      <xdr:row>49</xdr:row>
      <xdr:rowOff>72390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4" name="Chart 3">
              <a:extLst>
                <a:ext uri="{FF2B5EF4-FFF2-40B4-BE49-F238E27FC236}">
                  <a16:creationId xmlns:a16="http://schemas.microsoft.com/office/drawing/2014/main" id="{E0F898D8-51F6-F0CC-0CC9-ADAF79C29B0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156960" y="6290310"/>
              <a:ext cx="51816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3</xdr:col>
      <xdr:colOff>601980</xdr:colOff>
      <xdr:row>50</xdr:row>
      <xdr:rowOff>110490</xdr:rowOff>
    </xdr:from>
    <xdr:to>
      <xdr:col>11</xdr:col>
      <xdr:colOff>297180</xdr:colOff>
      <xdr:row>65</xdr:row>
      <xdr:rowOff>110490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421D2A39-3722-ED68-A2C6-B77CBB71228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liff Whitworth" refreshedDate="45000.708781134257" createdVersion="8" refreshedVersion="8" minRefreshableVersion="3" recordCount="887" xr:uid="{00000000-000A-0000-FFFF-FFFF06000000}">
  <cacheSource type="worksheet">
    <worksheetSource name="Titanic"/>
  </cacheSource>
  <cacheFields count="8">
    <cacheField name="Survived" numFmtId="0">
      <sharedItems containsSemiMixedTypes="0" containsString="0" containsNumber="1" containsInteger="1" minValue="0" maxValue="1" count="2">
        <n v="0"/>
        <n v="1"/>
      </sharedItems>
    </cacheField>
    <cacheField name="Pclass" numFmtId="0">
      <sharedItems containsSemiMixedTypes="0" containsString="0" containsNumber="1" containsInteger="1" minValue="1" maxValue="3" count="3">
        <n v="3"/>
        <n v="1"/>
        <n v="2"/>
      </sharedItems>
    </cacheField>
    <cacheField name="Name" numFmtId="0">
      <sharedItems/>
    </cacheField>
    <cacheField name="Sex" numFmtId="0">
      <sharedItems count="2">
        <s v="male"/>
        <s v="female"/>
      </sharedItems>
    </cacheField>
    <cacheField name="Age" numFmtId="0">
      <sharedItems containsSemiMixedTypes="0" containsString="0" containsNumber="1" minValue="0.42" maxValue="80"/>
    </cacheField>
    <cacheField name="Siblings/Spouses Aboard" numFmtId="0">
      <sharedItems containsSemiMixedTypes="0" containsString="0" containsNumber="1" containsInteger="1" minValue="0" maxValue="8"/>
    </cacheField>
    <cacheField name="Parents/Children Aboard" numFmtId="0">
      <sharedItems containsSemiMixedTypes="0" containsString="0" containsNumber="1" containsInteger="1" minValue="0" maxValue="6"/>
    </cacheField>
    <cacheField name="Fare" numFmtId="0">
      <sharedItems containsSemiMixedTypes="0" containsString="0" containsNumber="1" minValue="0" maxValue="512.3292000000000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887">
  <r>
    <x v="0"/>
    <x v="0"/>
    <s v="Mr. Owen Harris Braund"/>
    <x v="0"/>
    <n v="22"/>
    <n v="1"/>
    <n v="0"/>
    <n v="7.25"/>
  </r>
  <r>
    <x v="1"/>
    <x v="1"/>
    <s v="Mrs. John Bradley (Florence Briggs Thayer) Cumings"/>
    <x v="1"/>
    <n v="38"/>
    <n v="1"/>
    <n v="0"/>
    <n v="71.283299999999997"/>
  </r>
  <r>
    <x v="1"/>
    <x v="0"/>
    <s v="Miss. Laina Heikkinen"/>
    <x v="1"/>
    <n v="26"/>
    <n v="0"/>
    <n v="0"/>
    <n v="7.9249999999999998"/>
  </r>
  <r>
    <x v="1"/>
    <x v="1"/>
    <s v="Mrs. Jacques Heath (Lily May Peel) Futrelle"/>
    <x v="1"/>
    <n v="35"/>
    <n v="1"/>
    <n v="0"/>
    <n v="53.1"/>
  </r>
  <r>
    <x v="0"/>
    <x v="0"/>
    <s v="Mr. William Henry Allen"/>
    <x v="0"/>
    <n v="35"/>
    <n v="0"/>
    <n v="0"/>
    <n v="8.0500000000000007"/>
  </r>
  <r>
    <x v="0"/>
    <x v="0"/>
    <s v="Mr. James Moran"/>
    <x v="0"/>
    <n v="27"/>
    <n v="0"/>
    <n v="0"/>
    <n v="8.4582999999999995"/>
  </r>
  <r>
    <x v="0"/>
    <x v="1"/>
    <s v="Mr. Timothy J McCarthy"/>
    <x v="0"/>
    <n v="54"/>
    <n v="0"/>
    <n v="0"/>
    <n v="51.862499999999997"/>
  </r>
  <r>
    <x v="0"/>
    <x v="0"/>
    <s v="Master. Gosta Leonard Palsson"/>
    <x v="0"/>
    <n v="2"/>
    <n v="3"/>
    <n v="1"/>
    <n v="21.074999999999999"/>
  </r>
  <r>
    <x v="1"/>
    <x v="0"/>
    <s v="Mrs. Oscar W (Elisabeth Vilhelmina Berg) Johnson"/>
    <x v="1"/>
    <n v="27"/>
    <n v="0"/>
    <n v="2"/>
    <n v="11.1333"/>
  </r>
  <r>
    <x v="1"/>
    <x v="2"/>
    <s v="Mrs. Nicholas (Adele Achem) Nasser"/>
    <x v="1"/>
    <n v="14"/>
    <n v="1"/>
    <n v="0"/>
    <n v="30.070799999999998"/>
  </r>
  <r>
    <x v="1"/>
    <x v="0"/>
    <s v="Miss. Marguerite Rut Sandstrom"/>
    <x v="1"/>
    <n v="4"/>
    <n v="1"/>
    <n v="1"/>
    <n v="16.7"/>
  </r>
  <r>
    <x v="1"/>
    <x v="1"/>
    <s v="Miss. Elizabeth Bonnell"/>
    <x v="1"/>
    <n v="58"/>
    <n v="0"/>
    <n v="0"/>
    <n v="26.55"/>
  </r>
  <r>
    <x v="0"/>
    <x v="0"/>
    <s v="Mr. William Henry Saundercock"/>
    <x v="0"/>
    <n v="20"/>
    <n v="0"/>
    <n v="0"/>
    <n v="8.0500000000000007"/>
  </r>
  <r>
    <x v="0"/>
    <x v="0"/>
    <s v="Mr. Anders Johan Andersson"/>
    <x v="0"/>
    <n v="39"/>
    <n v="1"/>
    <n v="5"/>
    <n v="31.274999999999999"/>
  </r>
  <r>
    <x v="0"/>
    <x v="0"/>
    <s v="Miss. Hulda Amanda Adolfina Vestrom"/>
    <x v="1"/>
    <n v="14"/>
    <n v="0"/>
    <n v="0"/>
    <n v="7.8541999999999996"/>
  </r>
  <r>
    <x v="1"/>
    <x v="2"/>
    <s v="Mrs. (Mary D Kingcome) Hewlett"/>
    <x v="1"/>
    <n v="55"/>
    <n v="0"/>
    <n v="0"/>
    <n v="16"/>
  </r>
  <r>
    <x v="0"/>
    <x v="0"/>
    <s v="Master. Eugene Rice"/>
    <x v="0"/>
    <n v="2"/>
    <n v="4"/>
    <n v="1"/>
    <n v="29.125"/>
  </r>
  <r>
    <x v="1"/>
    <x v="2"/>
    <s v="Mr. Charles Eugene Williams"/>
    <x v="0"/>
    <n v="23"/>
    <n v="0"/>
    <n v="0"/>
    <n v="13"/>
  </r>
  <r>
    <x v="0"/>
    <x v="0"/>
    <s v="Mrs. Julius (Emelia Maria Vandemoortele) Vander Planke"/>
    <x v="1"/>
    <n v="31"/>
    <n v="1"/>
    <n v="0"/>
    <n v="18"/>
  </r>
  <r>
    <x v="1"/>
    <x v="0"/>
    <s v="Mrs. Fatima Masselmani"/>
    <x v="1"/>
    <n v="22"/>
    <n v="0"/>
    <n v="0"/>
    <n v="7.2249999999999996"/>
  </r>
  <r>
    <x v="0"/>
    <x v="2"/>
    <s v="Mr. Joseph J Fynney"/>
    <x v="0"/>
    <n v="35"/>
    <n v="0"/>
    <n v="0"/>
    <n v="26"/>
  </r>
  <r>
    <x v="1"/>
    <x v="2"/>
    <s v="Mr. Lawrence Beesley"/>
    <x v="0"/>
    <n v="34"/>
    <n v="0"/>
    <n v="0"/>
    <n v="13"/>
  </r>
  <r>
    <x v="1"/>
    <x v="0"/>
    <s v="Miss. Anna McGowan"/>
    <x v="1"/>
    <n v="15"/>
    <n v="0"/>
    <n v="0"/>
    <n v="8.0291999999999994"/>
  </r>
  <r>
    <x v="1"/>
    <x v="1"/>
    <s v="Mr. William Thompson Sloper"/>
    <x v="0"/>
    <n v="28"/>
    <n v="0"/>
    <n v="0"/>
    <n v="35.5"/>
  </r>
  <r>
    <x v="0"/>
    <x v="0"/>
    <s v="Miss. Torborg Danira Palsson"/>
    <x v="1"/>
    <n v="8"/>
    <n v="3"/>
    <n v="1"/>
    <n v="21.074999999999999"/>
  </r>
  <r>
    <x v="1"/>
    <x v="0"/>
    <s v="Mrs. Carl Oscar (Selma Augusta Emilia Johansson) Asplund"/>
    <x v="1"/>
    <n v="38"/>
    <n v="1"/>
    <n v="5"/>
    <n v="31.387499999999999"/>
  </r>
  <r>
    <x v="0"/>
    <x v="0"/>
    <s v="Mr. Farred Chehab Emir"/>
    <x v="0"/>
    <n v="26"/>
    <n v="0"/>
    <n v="0"/>
    <n v="7.2249999999999996"/>
  </r>
  <r>
    <x v="0"/>
    <x v="1"/>
    <s v="Mr. Charles Alexander Fortune"/>
    <x v="0"/>
    <n v="19"/>
    <n v="3"/>
    <n v="2"/>
    <n v="263"/>
  </r>
  <r>
    <x v="1"/>
    <x v="0"/>
    <s v="Miss. Ellen O'Dwyer"/>
    <x v="1"/>
    <n v="24"/>
    <n v="0"/>
    <n v="0"/>
    <n v="7.8792"/>
  </r>
  <r>
    <x v="0"/>
    <x v="0"/>
    <s v="Mr. Lalio Todoroff"/>
    <x v="0"/>
    <n v="23"/>
    <n v="0"/>
    <n v="0"/>
    <n v="7.8958000000000004"/>
  </r>
  <r>
    <x v="0"/>
    <x v="1"/>
    <s v="Don. Manuel E Uruchurtu"/>
    <x v="0"/>
    <n v="40"/>
    <n v="0"/>
    <n v="0"/>
    <n v="27.720800000000001"/>
  </r>
  <r>
    <x v="1"/>
    <x v="1"/>
    <s v="Mrs. William Augustus (Marie Eugenie) Spencer"/>
    <x v="1"/>
    <n v="48"/>
    <n v="1"/>
    <n v="0"/>
    <n v="146.52080000000001"/>
  </r>
  <r>
    <x v="1"/>
    <x v="0"/>
    <s v="Miss. Mary Agatha Glynn"/>
    <x v="1"/>
    <n v="18"/>
    <n v="0"/>
    <n v="0"/>
    <n v="7.75"/>
  </r>
  <r>
    <x v="0"/>
    <x v="2"/>
    <s v="Mr. Edward H Wheadon"/>
    <x v="0"/>
    <n v="66"/>
    <n v="0"/>
    <n v="0"/>
    <n v="10.5"/>
  </r>
  <r>
    <x v="0"/>
    <x v="1"/>
    <s v="Mr. Edgar Joseph Meyer"/>
    <x v="0"/>
    <n v="28"/>
    <n v="1"/>
    <n v="0"/>
    <n v="82.1708"/>
  </r>
  <r>
    <x v="0"/>
    <x v="1"/>
    <s v="Mr. Alexander Oskar Holverson"/>
    <x v="0"/>
    <n v="42"/>
    <n v="1"/>
    <n v="0"/>
    <n v="52"/>
  </r>
  <r>
    <x v="1"/>
    <x v="0"/>
    <s v="Mr. Hanna Mamee"/>
    <x v="0"/>
    <n v="18"/>
    <n v="0"/>
    <n v="0"/>
    <n v="7.2291999999999996"/>
  </r>
  <r>
    <x v="0"/>
    <x v="0"/>
    <s v="Mr. Ernest Charles Cann"/>
    <x v="0"/>
    <n v="21"/>
    <n v="0"/>
    <n v="0"/>
    <n v="8.0500000000000007"/>
  </r>
  <r>
    <x v="0"/>
    <x v="0"/>
    <s v="Miss. Augusta Maria Vander Planke"/>
    <x v="1"/>
    <n v="18"/>
    <n v="2"/>
    <n v="0"/>
    <n v="18"/>
  </r>
  <r>
    <x v="1"/>
    <x v="0"/>
    <s v="Miss. Jamila Nicola-Yarred"/>
    <x v="1"/>
    <n v="14"/>
    <n v="1"/>
    <n v="0"/>
    <n v="11.2417"/>
  </r>
  <r>
    <x v="0"/>
    <x v="0"/>
    <s v="Mrs. Johan (Johanna Persdotter Larsson) Ahlin"/>
    <x v="1"/>
    <n v="40"/>
    <n v="1"/>
    <n v="0"/>
    <n v="9.4749999999999996"/>
  </r>
  <r>
    <x v="0"/>
    <x v="2"/>
    <s v="Mrs. William John Robert (Dorothy Ann Wonnacott) Turpin"/>
    <x v="1"/>
    <n v="27"/>
    <n v="1"/>
    <n v="0"/>
    <n v="21"/>
  </r>
  <r>
    <x v="1"/>
    <x v="2"/>
    <s v="Miss. Simonne Marie Anne Andree Laroche"/>
    <x v="1"/>
    <n v="3"/>
    <n v="1"/>
    <n v="2"/>
    <n v="41.5792"/>
  </r>
  <r>
    <x v="1"/>
    <x v="0"/>
    <s v="Miss. Margaret Delia Devaney"/>
    <x v="1"/>
    <n v="19"/>
    <n v="0"/>
    <n v="0"/>
    <n v="7.8792"/>
  </r>
  <r>
    <x v="0"/>
    <x v="0"/>
    <s v="Mr. William John Rogers"/>
    <x v="0"/>
    <n v="30"/>
    <n v="0"/>
    <n v="0"/>
    <n v="8.0500000000000007"/>
  </r>
  <r>
    <x v="0"/>
    <x v="0"/>
    <s v="Mr. Denis Lennon"/>
    <x v="0"/>
    <n v="20"/>
    <n v="1"/>
    <n v="0"/>
    <n v="15.5"/>
  </r>
  <r>
    <x v="1"/>
    <x v="0"/>
    <s v="Miss. Bridget O'Driscoll"/>
    <x v="1"/>
    <n v="27"/>
    <n v="0"/>
    <n v="0"/>
    <n v="7.75"/>
  </r>
  <r>
    <x v="0"/>
    <x v="0"/>
    <s v="Mr. Youssef Samaan"/>
    <x v="0"/>
    <n v="16"/>
    <n v="2"/>
    <n v="0"/>
    <n v="21.679200000000002"/>
  </r>
  <r>
    <x v="0"/>
    <x v="0"/>
    <s v="Mrs. Josef (Josefine Franchi) Arnold-Franchi"/>
    <x v="1"/>
    <n v="18"/>
    <n v="1"/>
    <n v="0"/>
    <n v="17.8"/>
  </r>
  <r>
    <x v="0"/>
    <x v="0"/>
    <s v="Master. Juha Niilo Panula"/>
    <x v="0"/>
    <n v="7"/>
    <n v="4"/>
    <n v="1"/>
    <n v="39.6875"/>
  </r>
  <r>
    <x v="0"/>
    <x v="0"/>
    <s v="Mr. Richard Cater Nosworthy"/>
    <x v="0"/>
    <n v="21"/>
    <n v="0"/>
    <n v="0"/>
    <n v="7.8"/>
  </r>
  <r>
    <x v="1"/>
    <x v="1"/>
    <s v="Mrs. Henry Sleeper (Myna Haxtun) Harper"/>
    <x v="1"/>
    <n v="49"/>
    <n v="1"/>
    <n v="0"/>
    <n v="76.729200000000006"/>
  </r>
  <r>
    <x v="1"/>
    <x v="2"/>
    <s v="Mrs. Lizzie (Elizabeth Anne Wilkinson) Faunthorpe"/>
    <x v="1"/>
    <n v="29"/>
    <n v="1"/>
    <n v="0"/>
    <n v="26"/>
  </r>
  <r>
    <x v="0"/>
    <x v="1"/>
    <s v="Mr. Engelhart Cornelius Ostby"/>
    <x v="0"/>
    <n v="65"/>
    <n v="0"/>
    <n v="1"/>
    <n v="61.979199999999999"/>
  </r>
  <r>
    <x v="1"/>
    <x v="1"/>
    <s v="Mr. Hugh Woolner"/>
    <x v="0"/>
    <n v="46"/>
    <n v="0"/>
    <n v="0"/>
    <n v="35.5"/>
  </r>
  <r>
    <x v="1"/>
    <x v="2"/>
    <s v="Miss. Emily Rugg"/>
    <x v="1"/>
    <n v="21"/>
    <n v="0"/>
    <n v="0"/>
    <n v="10.5"/>
  </r>
  <r>
    <x v="0"/>
    <x v="0"/>
    <s v="Mr. Mansouer Novel"/>
    <x v="0"/>
    <n v="28.5"/>
    <n v="0"/>
    <n v="0"/>
    <n v="7.2291999999999996"/>
  </r>
  <r>
    <x v="1"/>
    <x v="2"/>
    <s v="Miss. Constance Mirium West"/>
    <x v="1"/>
    <n v="5"/>
    <n v="1"/>
    <n v="2"/>
    <n v="27.75"/>
  </r>
  <r>
    <x v="0"/>
    <x v="0"/>
    <s v="Master. William Frederick Goodwin"/>
    <x v="0"/>
    <n v="11"/>
    <n v="5"/>
    <n v="2"/>
    <n v="46.9"/>
  </r>
  <r>
    <x v="0"/>
    <x v="0"/>
    <s v="Mr. Orsen Sirayanian"/>
    <x v="0"/>
    <n v="22"/>
    <n v="0"/>
    <n v="0"/>
    <n v="7.2291999999999996"/>
  </r>
  <r>
    <x v="1"/>
    <x v="1"/>
    <s v="Miss. Amelie Icard"/>
    <x v="1"/>
    <n v="38"/>
    <n v="0"/>
    <n v="0"/>
    <n v="80"/>
  </r>
  <r>
    <x v="0"/>
    <x v="1"/>
    <s v="Mr. Henry Birkhardt Harris"/>
    <x v="0"/>
    <n v="45"/>
    <n v="1"/>
    <n v="0"/>
    <n v="83.474999999999994"/>
  </r>
  <r>
    <x v="0"/>
    <x v="0"/>
    <s v="Master. Harald Skoog"/>
    <x v="0"/>
    <n v="4"/>
    <n v="3"/>
    <n v="2"/>
    <n v="27.9"/>
  </r>
  <r>
    <x v="0"/>
    <x v="1"/>
    <s v="Mr. Albert A Stewart"/>
    <x v="0"/>
    <n v="64"/>
    <n v="0"/>
    <n v="0"/>
    <n v="27.720800000000001"/>
  </r>
  <r>
    <x v="1"/>
    <x v="0"/>
    <s v="Master. Gerios Moubarek"/>
    <x v="0"/>
    <n v="7"/>
    <n v="1"/>
    <n v="1"/>
    <n v="15.245799999999999"/>
  </r>
  <r>
    <x v="1"/>
    <x v="2"/>
    <s v="Mrs. (Elizabeth Ramell) Nye"/>
    <x v="1"/>
    <n v="29"/>
    <n v="0"/>
    <n v="0"/>
    <n v="10.5"/>
  </r>
  <r>
    <x v="0"/>
    <x v="0"/>
    <s v="Mr. Ernest James Crease"/>
    <x v="0"/>
    <n v="19"/>
    <n v="0"/>
    <n v="0"/>
    <n v="8.1583000000000006"/>
  </r>
  <r>
    <x v="1"/>
    <x v="0"/>
    <s v="Miss. Erna Alexandra Andersson"/>
    <x v="1"/>
    <n v="17"/>
    <n v="4"/>
    <n v="2"/>
    <n v="7.9249999999999998"/>
  </r>
  <r>
    <x v="0"/>
    <x v="0"/>
    <s v="Mr. Vincenz Kink"/>
    <x v="0"/>
    <n v="26"/>
    <n v="2"/>
    <n v="0"/>
    <n v="8.6624999999999996"/>
  </r>
  <r>
    <x v="0"/>
    <x v="2"/>
    <s v="Mr. Stephen Curnow Jenkin"/>
    <x v="0"/>
    <n v="32"/>
    <n v="0"/>
    <n v="0"/>
    <n v="10.5"/>
  </r>
  <r>
    <x v="0"/>
    <x v="0"/>
    <s v="Miss. Lillian Amy Goodwin"/>
    <x v="1"/>
    <n v="16"/>
    <n v="5"/>
    <n v="2"/>
    <n v="46.9"/>
  </r>
  <r>
    <x v="0"/>
    <x v="2"/>
    <s v="Mr. Ambrose Jr Hood"/>
    <x v="0"/>
    <n v="21"/>
    <n v="0"/>
    <n v="0"/>
    <n v="73.5"/>
  </r>
  <r>
    <x v="0"/>
    <x v="0"/>
    <s v="Mr. Apostolos Chronopoulos"/>
    <x v="0"/>
    <n v="26"/>
    <n v="1"/>
    <n v="0"/>
    <n v="14.4542"/>
  </r>
  <r>
    <x v="1"/>
    <x v="0"/>
    <s v="Mr. Lee Bing"/>
    <x v="0"/>
    <n v="32"/>
    <n v="0"/>
    <n v="0"/>
    <n v="56.495800000000003"/>
  </r>
  <r>
    <x v="0"/>
    <x v="0"/>
    <s v="Mr. Sigurd Hansen Moen"/>
    <x v="0"/>
    <n v="25"/>
    <n v="0"/>
    <n v="0"/>
    <n v="7.65"/>
  </r>
  <r>
    <x v="0"/>
    <x v="0"/>
    <s v="Mr. Ivan Staneff"/>
    <x v="0"/>
    <n v="23"/>
    <n v="0"/>
    <n v="0"/>
    <n v="7.8958000000000004"/>
  </r>
  <r>
    <x v="0"/>
    <x v="0"/>
    <s v="Mr. Rahamin Haim Moutal"/>
    <x v="0"/>
    <n v="28"/>
    <n v="0"/>
    <n v="0"/>
    <n v="8.0500000000000007"/>
  </r>
  <r>
    <x v="1"/>
    <x v="2"/>
    <s v="Master. Alden Gates Caldwell"/>
    <x v="0"/>
    <n v="0.83"/>
    <n v="0"/>
    <n v="2"/>
    <n v="29"/>
  </r>
  <r>
    <x v="1"/>
    <x v="0"/>
    <s v="Miss. Elizabeth Dowdell"/>
    <x v="1"/>
    <n v="30"/>
    <n v="0"/>
    <n v="0"/>
    <n v="12.475"/>
  </r>
  <r>
    <x v="0"/>
    <x v="0"/>
    <s v="Mr. Achille Waelens"/>
    <x v="0"/>
    <n v="22"/>
    <n v="0"/>
    <n v="0"/>
    <n v="9"/>
  </r>
  <r>
    <x v="1"/>
    <x v="0"/>
    <s v="Mr. Jan Baptist Sheerlinck"/>
    <x v="0"/>
    <n v="29"/>
    <n v="0"/>
    <n v="0"/>
    <n v="9.5"/>
  </r>
  <r>
    <x v="1"/>
    <x v="0"/>
    <s v="Miss. Brigdet Delia McDermott"/>
    <x v="1"/>
    <n v="31"/>
    <n v="0"/>
    <n v="0"/>
    <n v="7.7874999999999996"/>
  </r>
  <r>
    <x v="0"/>
    <x v="1"/>
    <s v="Mr. Francisco M Carrau"/>
    <x v="0"/>
    <n v="28"/>
    <n v="0"/>
    <n v="0"/>
    <n v="47.1"/>
  </r>
  <r>
    <x v="1"/>
    <x v="2"/>
    <s v="Miss. Bertha Ilett"/>
    <x v="1"/>
    <n v="17"/>
    <n v="0"/>
    <n v="0"/>
    <n v="10.5"/>
  </r>
  <r>
    <x v="1"/>
    <x v="0"/>
    <s v="Mrs. Karl Alfred (Maria Mathilda Gustafsson) Backstrom"/>
    <x v="1"/>
    <n v="33"/>
    <n v="3"/>
    <n v="0"/>
    <n v="15.85"/>
  </r>
  <r>
    <x v="0"/>
    <x v="0"/>
    <s v="Mr. William Neal Ford"/>
    <x v="0"/>
    <n v="16"/>
    <n v="1"/>
    <n v="3"/>
    <n v="34.375"/>
  </r>
  <r>
    <x v="0"/>
    <x v="0"/>
    <s v="Mr. Selman Francis Slocovski"/>
    <x v="0"/>
    <n v="20"/>
    <n v="0"/>
    <n v="0"/>
    <n v="8.0500000000000007"/>
  </r>
  <r>
    <x v="1"/>
    <x v="1"/>
    <s v="Miss. Mabel Helen Fortune"/>
    <x v="1"/>
    <n v="23"/>
    <n v="3"/>
    <n v="2"/>
    <n v="263"/>
  </r>
  <r>
    <x v="0"/>
    <x v="0"/>
    <s v="Mr. Francesco Celotti"/>
    <x v="0"/>
    <n v="24"/>
    <n v="0"/>
    <n v="0"/>
    <n v="8.0500000000000007"/>
  </r>
  <r>
    <x v="0"/>
    <x v="0"/>
    <s v="Mr. Emil Christmann"/>
    <x v="0"/>
    <n v="29"/>
    <n v="0"/>
    <n v="0"/>
    <n v="8.0500000000000007"/>
  </r>
  <r>
    <x v="0"/>
    <x v="0"/>
    <s v="Mr. Paul Edvin Andreasson"/>
    <x v="0"/>
    <n v="20"/>
    <n v="0"/>
    <n v="0"/>
    <n v="7.8541999999999996"/>
  </r>
  <r>
    <x v="0"/>
    <x v="1"/>
    <s v="Mr. Herbert Fuller Chaffee"/>
    <x v="0"/>
    <n v="46"/>
    <n v="1"/>
    <n v="0"/>
    <n v="61.174999999999997"/>
  </r>
  <r>
    <x v="0"/>
    <x v="0"/>
    <s v="Mr. Bertram Frank Dean"/>
    <x v="0"/>
    <n v="26"/>
    <n v="1"/>
    <n v="2"/>
    <n v="20.574999999999999"/>
  </r>
  <r>
    <x v="0"/>
    <x v="0"/>
    <s v="Mr. Daniel Coxon"/>
    <x v="0"/>
    <n v="59"/>
    <n v="0"/>
    <n v="0"/>
    <n v="7.25"/>
  </r>
  <r>
    <x v="0"/>
    <x v="0"/>
    <s v="Mr. Charles Joseph Shorney"/>
    <x v="0"/>
    <n v="22"/>
    <n v="0"/>
    <n v="0"/>
    <n v="8.0500000000000007"/>
  </r>
  <r>
    <x v="0"/>
    <x v="1"/>
    <s v="Mr. George B Goldschmidt"/>
    <x v="0"/>
    <n v="71"/>
    <n v="0"/>
    <n v="0"/>
    <n v="34.654200000000003"/>
  </r>
  <r>
    <x v="1"/>
    <x v="1"/>
    <s v="Mr. William Bertram Greenfield"/>
    <x v="0"/>
    <n v="23"/>
    <n v="0"/>
    <n v="1"/>
    <n v="63.3583"/>
  </r>
  <r>
    <x v="1"/>
    <x v="2"/>
    <s v="Mrs. John T (Ada Julia Bone) Doling"/>
    <x v="1"/>
    <n v="34"/>
    <n v="0"/>
    <n v="1"/>
    <n v="23"/>
  </r>
  <r>
    <x v="0"/>
    <x v="2"/>
    <s v="Mr. Sinai Kantor"/>
    <x v="0"/>
    <n v="34"/>
    <n v="1"/>
    <n v="0"/>
    <n v="26"/>
  </r>
  <r>
    <x v="0"/>
    <x v="0"/>
    <s v="Miss. Matilda Petranec"/>
    <x v="1"/>
    <n v="28"/>
    <n v="0"/>
    <n v="0"/>
    <n v="7.8958000000000004"/>
  </r>
  <r>
    <x v="0"/>
    <x v="0"/>
    <s v="Mr. Pastcho Petroff"/>
    <x v="0"/>
    <n v="29"/>
    <n v="0"/>
    <n v="0"/>
    <n v="7.8958000000000004"/>
  </r>
  <r>
    <x v="0"/>
    <x v="1"/>
    <s v="Mr. Richard Frasar White"/>
    <x v="0"/>
    <n v="21"/>
    <n v="0"/>
    <n v="1"/>
    <n v="77.287499999999994"/>
  </r>
  <r>
    <x v="0"/>
    <x v="0"/>
    <s v="Mr. Gustaf Joel Johansson"/>
    <x v="0"/>
    <n v="33"/>
    <n v="0"/>
    <n v="0"/>
    <n v="8.6541999999999994"/>
  </r>
  <r>
    <x v="0"/>
    <x v="0"/>
    <s v="Mr. Anders Vilhelm Gustafsson"/>
    <x v="0"/>
    <n v="37"/>
    <n v="2"/>
    <n v="0"/>
    <n v="7.9249999999999998"/>
  </r>
  <r>
    <x v="0"/>
    <x v="0"/>
    <s v="Mr. Stoytcho Mionoff"/>
    <x v="0"/>
    <n v="28"/>
    <n v="0"/>
    <n v="0"/>
    <n v="7.8958000000000004"/>
  </r>
  <r>
    <x v="1"/>
    <x v="0"/>
    <s v="Miss. Anna Kristine Salkjelsvik"/>
    <x v="1"/>
    <n v="21"/>
    <n v="0"/>
    <n v="0"/>
    <n v="7.65"/>
  </r>
  <r>
    <x v="1"/>
    <x v="0"/>
    <s v="Mr. Albert Johan Moss"/>
    <x v="0"/>
    <n v="29"/>
    <n v="0"/>
    <n v="0"/>
    <n v="7.7750000000000004"/>
  </r>
  <r>
    <x v="0"/>
    <x v="0"/>
    <s v="Mr. Tido Rekic"/>
    <x v="0"/>
    <n v="38"/>
    <n v="0"/>
    <n v="0"/>
    <n v="7.8958000000000004"/>
  </r>
  <r>
    <x v="1"/>
    <x v="0"/>
    <s v="Miss. Bertha Moran"/>
    <x v="1"/>
    <n v="28"/>
    <n v="1"/>
    <n v="0"/>
    <n v="24.15"/>
  </r>
  <r>
    <x v="0"/>
    <x v="1"/>
    <s v="Mr. Walter Chamberlain Porter"/>
    <x v="0"/>
    <n v="47"/>
    <n v="0"/>
    <n v="0"/>
    <n v="52"/>
  </r>
  <r>
    <x v="0"/>
    <x v="0"/>
    <s v="Miss. Hileni Zabour"/>
    <x v="1"/>
    <n v="14.5"/>
    <n v="1"/>
    <n v="0"/>
    <n v="14.4542"/>
  </r>
  <r>
    <x v="0"/>
    <x v="0"/>
    <s v="Mr. David John Barton"/>
    <x v="0"/>
    <n v="22"/>
    <n v="0"/>
    <n v="0"/>
    <n v="8.0500000000000007"/>
  </r>
  <r>
    <x v="0"/>
    <x v="0"/>
    <s v="Miss. Katriina Jussila"/>
    <x v="1"/>
    <n v="20"/>
    <n v="1"/>
    <n v="0"/>
    <n v="9.8249999999999993"/>
  </r>
  <r>
    <x v="0"/>
    <x v="0"/>
    <s v="Miss. Malake Attalah"/>
    <x v="1"/>
    <n v="17"/>
    <n v="0"/>
    <n v="0"/>
    <n v="14.458299999999999"/>
  </r>
  <r>
    <x v="0"/>
    <x v="0"/>
    <s v="Mr. Edvard Pekoniemi"/>
    <x v="0"/>
    <n v="21"/>
    <n v="0"/>
    <n v="0"/>
    <n v="7.9249999999999998"/>
  </r>
  <r>
    <x v="0"/>
    <x v="0"/>
    <s v="Mr. Patrick Connors"/>
    <x v="0"/>
    <n v="70.5"/>
    <n v="0"/>
    <n v="0"/>
    <n v="7.75"/>
  </r>
  <r>
    <x v="0"/>
    <x v="2"/>
    <s v="Mr. William John Robert Turpin"/>
    <x v="0"/>
    <n v="29"/>
    <n v="1"/>
    <n v="0"/>
    <n v="21"/>
  </r>
  <r>
    <x v="0"/>
    <x v="1"/>
    <s v="Mr. Quigg Edmond Baxter"/>
    <x v="0"/>
    <n v="24"/>
    <n v="0"/>
    <n v="1"/>
    <n v="247.52080000000001"/>
  </r>
  <r>
    <x v="0"/>
    <x v="0"/>
    <s v="Miss. Ellis Anna Maria Andersson"/>
    <x v="1"/>
    <n v="2"/>
    <n v="4"/>
    <n v="2"/>
    <n v="31.274999999999999"/>
  </r>
  <r>
    <x v="0"/>
    <x v="2"/>
    <s v="Mr. Stanley George Hickman"/>
    <x v="0"/>
    <n v="21"/>
    <n v="2"/>
    <n v="0"/>
    <n v="73.5"/>
  </r>
  <r>
    <x v="0"/>
    <x v="0"/>
    <s v="Mr. Leonard Charles Moore"/>
    <x v="0"/>
    <n v="19"/>
    <n v="0"/>
    <n v="0"/>
    <n v="8.0500000000000007"/>
  </r>
  <r>
    <x v="0"/>
    <x v="2"/>
    <s v="Mr. Nicholas Nasser"/>
    <x v="0"/>
    <n v="32.5"/>
    <n v="1"/>
    <n v="0"/>
    <n v="30.070799999999998"/>
  </r>
  <r>
    <x v="1"/>
    <x v="2"/>
    <s v="Miss. Susan Webber"/>
    <x v="1"/>
    <n v="32.5"/>
    <n v="0"/>
    <n v="0"/>
    <n v="13"/>
  </r>
  <r>
    <x v="0"/>
    <x v="1"/>
    <s v="Mr. Percival Wayland White"/>
    <x v="0"/>
    <n v="54"/>
    <n v="0"/>
    <n v="1"/>
    <n v="77.287499999999994"/>
  </r>
  <r>
    <x v="1"/>
    <x v="0"/>
    <s v="Master. Elias Nicola-Yarred"/>
    <x v="0"/>
    <n v="12"/>
    <n v="1"/>
    <n v="0"/>
    <n v="11.2417"/>
  </r>
  <r>
    <x v="0"/>
    <x v="0"/>
    <s v="Mr. Martin McMahon"/>
    <x v="0"/>
    <n v="19"/>
    <n v="0"/>
    <n v="0"/>
    <n v="7.75"/>
  </r>
  <r>
    <x v="1"/>
    <x v="0"/>
    <s v="Mr. Fridtjof Arne Madsen"/>
    <x v="0"/>
    <n v="24"/>
    <n v="0"/>
    <n v="0"/>
    <n v="7.1417000000000002"/>
  </r>
  <r>
    <x v="1"/>
    <x v="0"/>
    <s v="Miss. Anna Peter"/>
    <x v="1"/>
    <n v="2"/>
    <n v="1"/>
    <n v="1"/>
    <n v="22.3583"/>
  </r>
  <r>
    <x v="0"/>
    <x v="0"/>
    <s v="Mr. Johan Ekstrom"/>
    <x v="0"/>
    <n v="45"/>
    <n v="0"/>
    <n v="0"/>
    <n v="6.9749999999999996"/>
  </r>
  <r>
    <x v="0"/>
    <x v="0"/>
    <s v="Mr. Jozef Drazenoic"/>
    <x v="0"/>
    <n v="33"/>
    <n v="0"/>
    <n v="0"/>
    <n v="7.8958000000000004"/>
  </r>
  <r>
    <x v="0"/>
    <x v="0"/>
    <s v="Mr. Domingos Fernandeo Coelho"/>
    <x v="0"/>
    <n v="20"/>
    <n v="0"/>
    <n v="0"/>
    <n v="7.05"/>
  </r>
  <r>
    <x v="0"/>
    <x v="0"/>
    <s v="Mrs. Alexander A (Grace Charity Laury) Robins"/>
    <x v="1"/>
    <n v="47"/>
    <n v="1"/>
    <n v="0"/>
    <n v="14.5"/>
  </r>
  <r>
    <x v="1"/>
    <x v="2"/>
    <s v="Mrs. Leopold (Mathilde Francoise Pede) Weisz"/>
    <x v="1"/>
    <n v="29"/>
    <n v="1"/>
    <n v="0"/>
    <n v="26"/>
  </r>
  <r>
    <x v="0"/>
    <x v="2"/>
    <s v="Mr. Samuel James Hayden Sobey"/>
    <x v="0"/>
    <n v="25"/>
    <n v="0"/>
    <n v="0"/>
    <n v="13"/>
  </r>
  <r>
    <x v="0"/>
    <x v="2"/>
    <s v="Mr. Emile Richard"/>
    <x v="0"/>
    <n v="23"/>
    <n v="0"/>
    <n v="0"/>
    <n v="15.0458"/>
  </r>
  <r>
    <x v="1"/>
    <x v="1"/>
    <s v="Miss. Helen Monypeny Newsom"/>
    <x v="1"/>
    <n v="19"/>
    <n v="0"/>
    <n v="2"/>
    <n v="26.283300000000001"/>
  </r>
  <r>
    <x v="0"/>
    <x v="1"/>
    <s v="Mr. Jacques Heath Futrelle"/>
    <x v="0"/>
    <n v="37"/>
    <n v="1"/>
    <n v="0"/>
    <n v="53.1"/>
  </r>
  <r>
    <x v="0"/>
    <x v="0"/>
    <s v="Mr. Olaf Elon Osen"/>
    <x v="0"/>
    <n v="16"/>
    <n v="0"/>
    <n v="0"/>
    <n v="9.2166999999999994"/>
  </r>
  <r>
    <x v="0"/>
    <x v="1"/>
    <s v="Mr. Victor Giglio"/>
    <x v="0"/>
    <n v="24"/>
    <n v="0"/>
    <n v="0"/>
    <n v="79.2"/>
  </r>
  <r>
    <x v="0"/>
    <x v="0"/>
    <s v="Mrs. Joseph (Sultana) Boulos"/>
    <x v="1"/>
    <n v="40"/>
    <n v="0"/>
    <n v="2"/>
    <n v="15.245799999999999"/>
  </r>
  <r>
    <x v="1"/>
    <x v="0"/>
    <s v="Miss. Anna Sofia Nysten"/>
    <x v="1"/>
    <n v="22"/>
    <n v="0"/>
    <n v="0"/>
    <n v="7.75"/>
  </r>
  <r>
    <x v="1"/>
    <x v="0"/>
    <s v="Mrs. Pekka Pietari (Elin Matilda Dolck) Hakkarainen"/>
    <x v="1"/>
    <n v="24"/>
    <n v="1"/>
    <n v="0"/>
    <n v="15.85"/>
  </r>
  <r>
    <x v="0"/>
    <x v="0"/>
    <s v="Mr. Jeremiah Burke"/>
    <x v="0"/>
    <n v="19"/>
    <n v="0"/>
    <n v="0"/>
    <n v="6.75"/>
  </r>
  <r>
    <x v="0"/>
    <x v="2"/>
    <s v="Mr. Edgardo Samuel Andrew"/>
    <x v="0"/>
    <n v="18"/>
    <n v="0"/>
    <n v="0"/>
    <n v="11.5"/>
  </r>
  <r>
    <x v="0"/>
    <x v="2"/>
    <s v="Mr. Joseph Charles Nicholls"/>
    <x v="0"/>
    <n v="19"/>
    <n v="1"/>
    <n v="1"/>
    <n v="36.75"/>
  </r>
  <r>
    <x v="1"/>
    <x v="0"/>
    <s v="Mr. August Edvard Andersson"/>
    <x v="0"/>
    <n v="27"/>
    <n v="0"/>
    <n v="0"/>
    <n v="7.7957999999999998"/>
  </r>
  <r>
    <x v="0"/>
    <x v="0"/>
    <s v="Miss. Robina Maggie Ford"/>
    <x v="1"/>
    <n v="9"/>
    <n v="2"/>
    <n v="2"/>
    <n v="34.375"/>
  </r>
  <r>
    <x v="0"/>
    <x v="2"/>
    <s v="Mr. Michel Navratil"/>
    <x v="0"/>
    <n v="36.5"/>
    <n v="0"/>
    <n v="2"/>
    <n v="26"/>
  </r>
  <r>
    <x v="0"/>
    <x v="2"/>
    <s v="Rev. Thomas Roussel Davids Byles"/>
    <x v="0"/>
    <n v="42"/>
    <n v="0"/>
    <n v="0"/>
    <n v="13"/>
  </r>
  <r>
    <x v="0"/>
    <x v="2"/>
    <s v="Rev. Robert James Bateman"/>
    <x v="0"/>
    <n v="51"/>
    <n v="0"/>
    <n v="0"/>
    <n v="12.525"/>
  </r>
  <r>
    <x v="1"/>
    <x v="1"/>
    <s v="Mrs. Thomas (Edith Wearne) Pears"/>
    <x v="1"/>
    <n v="22"/>
    <n v="1"/>
    <n v="0"/>
    <n v="66.599999999999994"/>
  </r>
  <r>
    <x v="0"/>
    <x v="0"/>
    <s v="Mr. Alfonzo Meo"/>
    <x v="0"/>
    <n v="55.5"/>
    <n v="0"/>
    <n v="0"/>
    <n v="8.0500000000000007"/>
  </r>
  <r>
    <x v="0"/>
    <x v="0"/>
    <s v="Mr. Austin Blyler van Billiard"/>
    <x v="0"/>
    <n v="40.5"/>
    <n v="0"/>
    <n v="2"/>
    <n v="14.5"/>
  </r>
  <r>
    <x v="0"/>
    <x v="0"/>
    <s v="Mr. Ole Martin Olsen"/>
    <x v="0"/>
    <n v="27"/>
    <n v="0"/>
    <n v="0"/>
    <n v="7.3125"/>
  </r>
  <r>
    <x v="0"/>
    <x v="1"/>
    <s v="Mr. Charles Duane Williams"/>
    <x v="0"/>
    <n v="51"/>
    <n v="0"/>
    <n v="1"/>
    <n v="61.379199999999997"/>
  </r>
  <r>
    <x v="1"/>
    <x v="0"/>
    <s v="Miss. Katherine Gilnagh"/>
    <x v="1"/>
    <n v="16"/>
    <n v="0"/>
    <n v="0"/>
    <n v="7.7332999999999998"/>
  </r>
  <r>
    <x v="0"/>
    <x v="0"/>
    <s v="Mr. Harry Corn"/>
    <x v="0"/>
    <n v="30"/>
    <n v="0"/>
    <n v="0"/>
    <n v="8.0500000000000007"/>
  </r>
  <r>
    <x v="0"/>
    <x v="0"/>
    <s v="Mr. Mile Smiljanic"/>
    <x v="0"/>
    <n v="37"/>
    <n v="0"/>
    <n v="0"/>
    <n v="8.6624999999999996"/>
  </r>
  <r>
    <x v="0"/>
    <x v="0"/>
    <s v="Master. Thomas Henry Sage"/>
    <x v="0"/>
    <n v="5"/>
    <n v="8"/>
    <n v="2"/>
    <n v="69.55"/>
  </r>
  <r>
    <x v="0"/>
    <x v="0"/>
    <s v="Mr. John Hatfield Cribb"/>
    <x v="0"/>
    <n v="44"/>
    <n v="0"/>
    <n v="1"/>
    <n v="16.100000000000001"/>
  </r>
  <r>
    <x v="1"/>
    <x v="2"/>
    <s v="Mrs. James (Elizabeth Inglis Milne) Watt"/>
    <x v="1"/>
    <n v="40"/>
    <n v="0"/>
    <n v="0"/>
    <n v="15.75"/>
  </r>
  <r>
    <x v="0"/>
    <x v="0"/>
    <s v="Mr. John Viktor Bengtsson"/>
    <x v="0"/>
    <n v="26"/>
    <n v="0"/>
    <n v="0"/>
    <n v="7.7750000000000004"/>
  </r>
  <r>
    <x v="0"/>
    <x v="0"/>
    <s v="Mr. Jovo Calic"/>
    <x v="0"/>
    <n v="17"/>
    <n v="0"/>
    <n v="0"/>
    <n v="8.6624999999999996"/>
  </r>
  <r>
    <x v="0"/>
    <x v="0"/>
    <s v="Master. Eino Viljami Panula"/>
    <x v="0"/>
    <n v="1"/>
    <n v="4"/>
    <n v="1"/>
    <n v="39.6875"/>
  </r>
  <r>
    <x v="1"/>
    <x v="0"/>
    <s v="Master. Frank John William Goldsmith"/>
    <x v="0"/>
    <n v="9"/>
    <n v="0"/>
    <n v="2"/>
    <n v="20.524999999999999"/>
  </r>
  <r>
    <x v="1"/>
    <x v="1"/>
    <s v="Mrs. (Edith Martha Bowerman) Chibnall"/>
    <x v="1"/>
    <n v="48"/>
    <n v="0"/>
    <n v="1"/>
    <n v="55"/>
  </r>
  <r>
    <x v="0"/>
    <x v="0"/>
    <s v="Mrs. William (Anna Bernhardina Karlsson) Skoog"/>
    <x v="1"/>
    <n v="45"/>
    <n v="1"/>
    <n v="4"/>
    <n v="27.9"/>
  </r>
  <r>
    <x v="0"/>
    <x v="1"/>
    <s v="Mr. John D Baumann"/>
    <x v="0"/>
    <n v="60"/>
    <n v="0"/>
    <n v="0"/>
    <n v="25.925000000000001"/>
  </r>
  <r>
    <x v="0"/>
    <x v="0"/>
    <s v="Mr. Lee Ling"/>
    <x v="0"/>
    <n v="28"/>
    <n v="0"/>
    <n v="0"/>
    <n v="56.495800000000003"/>
  </r>
  <r>
    <x v="0"/>
    <x v="1"/>
    <s v="Mr. Wyckoff Van der hoef"/>
    <x v="0"/>
    <n v="61"/>
    <n v="0"/>
    <n v="0"/>
    <n v="33.5"/>
  </r>
  <r>
    <x v="0"/>
    <x v="0"/>
    <s v="Master. Arthur Rice"/>
    <x v="0"/>
    <n v="4"/>
    <n v="4"/>
    <n v="1"/>
    <n v="29.125"/>
  </r>
  <r>
    <x v="1"/>
    <x v="0"/>
    <s v="Miss. Eleanor Ileen Johnson"/>
    <x v="1"/>
    <n v="1"/>
    <n v="1"/>
    <n v="1"/>
    <n v="11.1333"/>
  </r>
  <r>
    <x v="0"/>
    <x v="0"/>
    <s v="Mr. Antti Wilhelm Sivola"/>
    <x v="0"/>
    <n v="21"/>
    <n v="0"/>
    <n v="0"/>
    <n v="7.9249999999999998"/>
  </r>
  <r>
    <x v="0"/>
    <x v="1"/>
    <s v="Mr. James Clinch Smith"/>
    <x v="0"/>
    <n v="56"/>
    <n v="0"/>
    <n v="0"/>
    <n v="30.695799999999998"/>
  </r>
  <r>
    <x v="0"/>
    <x v="0"/>
    <s v="Mr. Klas Albin Klasen"/>
    <x v="0"/>
    <n v="18"/>
    <n v="1"/>
    <n v="1"/>
    <n v="7.8541999999999996"/>
  </r>
  <r>
    <x v="0"/>
    <x v="0"/>
    <s v="Master. Henry Forbes Lefebre"/>
    <x v="0"/>
    <n v="5"/>
    <n v="3"/>
    <n v="1"/>
    <n v="25.466699999999999"/>
  </r>
  <r>
    <x v="0"/>
    <x v="1"/>
    <s v="Miss. Ann Elizabeth Isham"/>
    <x v="1"/>
    <n v="50"/>
    <n v="0"/>
    <n v="0"/>
    <n v="28.712499999999999"/>
  </r>
  <r>
    <x v="0"/>
    <x v="2"/>
    <s v="Mr. Reginald Hale"/>
    <x v="0"/>
    <n v="30"/>
    <n v="0"/>
    <n v="0"/>
    <n v="13"/>
  </r>
  <r>
    <x v="0"/>
    <x v="0"/>
    <s v="Mr. Lionel Leonard"/>
    <x v="0"/>
    <n v="36"/>
    <n v="0"/>
    <n v="0"/>
    <n v="0"/>
  </r>
  <r>
    <x v="0"/>
    <x v="0"/>
    <s v="Miss. Constance Gladys Sage"/>
    <x v="1"/>
    <n v="8"/>
    <n v="8"/>
    <n v="2"/>
    <n v="69.55"/>
  </r>
  <r>
    <x v="0"/>
    <x v="2"/>
    <s v="Mr. Rene Pernot"/>
    <x v="0"/>
    <n v="39"/>
    <n v="0"/>
    <n v="0"/>
    <n v="15.05"/>
  </r>
  <r>
    <x v="0"/>
    <x v="0"/>
    <s v="Master. Clarence Gustaf Hugo Asplund"/>
    <x v="0"/>
    <n v="9"/>
    <n v="4"/>
    <n v="2"/>
    <n v="31.387499999999999"/>
  </r>
  <r>
    <x v="1"/>
    <x v="2"/>
    <s v="Master. Richard F Becker"/>
    <x v="0"/>
    <n v="1"/>
    <n v="2"/>
    <n v="1"/>
    <n v="39"/>
  </r>
  <r>
    <x v="1"/>
    <x v="0"/>
    <s v="Miss. Luise Gretchen Kink-Heilmann"/>
    <x v="1"/>
    <n v="4"/>
    <n v="0"/>
    <n v="2"/>
    <n v="22.024999999999999"/>
  </r>
  <r>
    <x v="0"/>
    <x v="1"/>
    <s v="Mr. Hugh Roscoe Rood"/>
    <x v="0"/>
    <n v="39"/>
    <n v="0"/>
    <n v="0"/>
    <n v="50"/>
  </r>
  <r>
    <x v="1"/>
    <x v="0"/>
    <s v="Mrs. Thomas (Johanna Godfrey) O'Brien"/>
    <x v="1"/>
    <n v="26"/>
    <n v="1"/>
    <n v="0"/>
    <n v="15.5"/>
  </r>
  <r>
    <x v="1"/>
    <x v="1"/>
    <s v="Mr. Charles Hallace Romaine"/>
    <x v="0"/>
    <n v="45"/>
    <n v="0"/>
    <n v="0"/>
    <n v="26.55"/>
  </r>
  <r>
    <x v="0"/>
    <x v="0"/>
    <s v="Mr. John Bourke"/>
    <x v="0"/>
    <n v="40"/>
    <n v="1"/>
    <n v="1"/>
    <n v="15.5"/>
  </r>
  <r>
    <x v="0"/>
    <x v="0"/>
    <s v="Mr. Stjepan Turcin"/>
    <x v="0"/>
    <n v="36"/>
    <n v="0"/>
    <n v="0"/>
    <n v="7.8958000000000004"/>
  </r>
  <r>
    <x v="1"/>
    <x v="2"/>
    <s v="Mrs. (Rosa) Pinsky"/>
    <x v="1"/>
    <n v="32"/>
    <n v="0"/>
    <n v="0"/>
    <n v="13"/>
  </r>
  <r>
    <x v="0"/>
    <x v="2"/>
    <s v="Mr. William Carbines"/>
    <x v="0"/>
    <n v="19"/>
    <n v="0"/>
    <n v="0"/>
    <n v="13"/>
  </r>
  <r>
    <x v="1"/>
    <x v="0"/>
    <s v="Miss. Carla Christine Nielsine Andersen-Jensen"/>
    <x v="1"/>
    <n v="19"/>
    <n v="1"/>
    <n v="0"/>
    <n v="7.8541999999999996"/>
  </r>
  <r>
    <x v="1"/>
    <x v="2"/>
    <s v="Master. Michel M Navratil"/>
    <x v="0"/>
    <n v="3"/>
    <n v="1"/>
    <n v="1"/>
    <n v="26"/>
  </r>
  <r>
    <x v="1"/>
    <x v="1"/>
    <s v="Mrs. James Joseph (Margaret Tobin) Brown"/>
    <x v="1"/>
    <n v="44"/>
    <n v="0"/>
    <n v="0"/>
    <n v="27.720800000000001"/>
  </r>
  <r>
    <x v="1"/>
    <x v="1"/>
    <s v="Miss. Elise Lurette"/>
    <x v="1"/>
    <n v="58"/>
    <n v="0"/>
    <n v="0"/>
    <n v="146.52080000000001"/>
  </r>
  <r>
    <x v="0"/>
    <x v="0"/>
    <s v="Mr. Robert Mernagh"/>
    <x v="0"/>
    <n v="28"/>
    <n v="0"/>
    <n v="0"/>
    <n v="7.75"/>
  </r>
  <r>
    <x v="0"/>
    <x v="0"/>
    <s v="Mr. Karl Siegwart Andreas Olsen"/>
    <x v="0"/>
    <n v="42"/>
    <n v="0"/>
    <n v="1"/>
    <n v="8.4041999999999994"/>
  </r>
  <r>
    <x v="1"/>
    <x v="0"/>
    <s v="Miss. Margaret Madigan"/>
    <x v="1"/>
    <n v="21"/>
    <n v="0"/>
    <n v="0"/>
    <n v="7.75"/>
  </r>
  <r>
    <x v="0"/>
    <x v="2"/>
    <s v="Miss. Henriette Yrois"/>
    <x v="1"/>
    <n v="24"/>
    <n v="0"/>
    <n v="0"/>
    <n v="13"/>
  </r>
  <r>
    <x v="0"/>
    <x v="0"/>
    <s v="Mr. Nestor Cyriel Vande Walle"/>
    <x v="0"/>
    <n v="28"/>
    <n v="0"/>
    <n v="0"/>
    <n v="9.5"/>
  </r>
  <r>
    <x v="0"/>
    <x v="0"/>
    <s v="Mr. Frederick Sage"/>
    <x v="0"/>
    <n v="17"/>
    <n v="8"/>
    <n v="2"/>
    <n v="69.55"/>
  </r>
  <r>
    <x v="0"/>
    <x v="0"/>
    <s v="Mr. Jakob Alfred Johanson"/>
    <x v="0"/>
    <n v="34"/>
    <n v="0"/>
    <n v="0"/>
    <n v="6.4958"/>
  </r>
  <r>
    <x v="0"/>
    <x v="0"/>
    <s v="Mr. Gerious Youseff"/>
    <x v="0"/>
    <n v="45.5"/>
    <n v="0"/>
    <n v="0"/>
    <n v="7.2249999999999996"/>
  </r>
  <r>
    <x v="1"/>
    <x v="0"/>
    <s v="Mr. Gurshon Cohen"/>
    <x v="0"/>
    <n v="18"/>
    <n v="0"/>
    <n v="0"/>
    <n v="8.0500000000000007"/>
  </r>
  <r>
    <x v="0"/>
    <x v="0"/>
    <s v="Miss. Telma Matilda Strom"/>
    <x v="1"/>
    <n v="2"/>
    <n v="0"/>
    <n v="1"/>
    <n v="10.4625"/>
  </r>
  <r>
    <x v="0"/>
    <x v="0"/>
    <s v="Mr. Karl Alfred Backstrom"/>
    <x v="0"/>
    <n v="32"/>
    <n v="1"/>
    <n v="0"/>
    <n v="15.85"/>
  </r>
  <r>
    <x v="1"/>
    <x v="0"/>
    <s v="Mr. Nassef Cassem Albimona"/>
    <x v="0"/>
    <n v="26"/>
    <n v="0"/>
    <n v="0"/>
    <n v="18.787500000000001"/>
  </r>
  <r>
    <x v="1"/>
    <x v="0"/>
    <s v="Miss. Helen Carr"/>
    <x v="1"/>
    <n v="16"/>
    <n v="0"/>
    <n v="0"/>
    <n v="7.75"/>
  </r>
  <r>
    <x v="1"/>
    <x v="1"/>
    <s v="Mr. Henry Blank"/>
    <x v="0"/>
    <n v="40"/>
    <n v="0"/>
    <n v="0"/>
    <n v="31"/>
  </r>
  <r>
    <x v="0"/>
    <x v="0"/>
    <s v="Mr. Ahmed Ali"/>
    <x v="0"/>
    <n v="24"/>
    <n v="0"/>
    <n v="0"/>
    <n v="7.05"/>
  </r>
  <r>
    <x v="1"/>
    <x v="2"/>
    <s v="Miss. Clear Annie Cameron"/>
    <x v="1"/>
    <n v="35"/>
    <n v="0"/>
    <n v="0"/>
    <n v="21"/>
  </r>
  <r>
    <x v="0"/>
    <x v="0"/>
    <s v="Mr. John Henry Perkin"/>
    <x v="0"/>
    <n v="22"/>
    <n v="0"/>
    <n v="0"/>
    <n v="7.25"/>
  </r>
  <r>
    <x v="0"/>
    <x v="2"/>
    <s v="Mr. Hans Kristensen Givard"/>
    <x v="0"/>
    <n v="30"/>
    <n v="0"/>
    <n v="0"/>
    <n v="13"/>
  </r>
  <r>
    <x v="0"/>
    <x v="0"/>
    <s v="Mr. Philip Kiernan"/>
    <x v="0"/>
    <n v="22"/>
    <n v="1"/>
    <n v="0"/>
    <n v="7.75"/>
  </r>
  <r>
    <x v="1"/>
    <x v="1"/>
    <s v="Miss. Madeleine Newell"/>
    <x v="1"/>
    <n v="31"/>
    <n v="1"/>
    <n v="0"/>
    <n v="113.27500000000001"/>
  </r>
  <r>
    <x v="1"/>
    <x v="0"/>
    <s v="Miss. Eliina Honkanen"/>
    <x v="1"/>
    <n v="27"/>
    <n v="0"/>
    <n v="0"/>
    <n v="7.9249999999999998"/>
  </r>
  <r>
    <x v="0"/>
    <x v="2"/>
    <s v="Mr. Sidney Samuel Jacobsohn"/>
    <x v="0"/>
    <n v="42"/>
    <n v="1"/>
    <n v="0"/>
    <n v="27"/>
  </r>
  <r>
    <x v="1"/>
    <x v="1"/>
    <s v="Miss. Albina Bazzani"/>
    <x v="1"/>
    <n v="32"/>
    <n v="0"/>
    <n v="0"/>
    <n v="76.291700000000006"/>
  </r>
  <r>
    <x v="0"/>
    <x v="2"/>
    <s v="Mr. Walter Harris"/>
    <x v="0"/>
    <n v="30"/>
    <n v="0"/>
    <n v="0"/>
    <n v="10.5"/>
  </r>
  <r>
    <x v="1"/>
    <x v="0"/>
    <s v="Mr. Victor Francis Sunderland"/>
    <x v="0"/>
    <n v="16"/>
    <n v="0"/>
    <n v="0"/>
    <n v="8.0500000000000007"/>
  </r>
  <r>
    <x v="0"/>
    <x v="2"/>
    <s v="Mr. James H Bracken"/>
    <x v="0"/>
    <n v="27"/>
    <n v="0"/>
    <n v="0"/>
    <n v="13"/>
  </r>
  <r>
    <x v="0"/>
    <x v="0"/>
    <s v="Mr. George Henry Green"/>
    <x v="0"/>
    <n v="51"/>
    <n v="0"/>
    <n v="0"/>
    <n v="8.0500000000000007"/>
  </r>
  <r>
    <x v="0"/>
    <x v="0"/>
    <s v="Mr. Christo Nenkoff"/>
    <x v="0"/>
    <n v="22"/>
    <n v="0"/>
    <n v="0"/>
    <n v="7.8958000000000004"/>
  </r>
  <r>
    <x v="1"/>
    <x v="1"/>
    <s v="Mr. Frederick Maxfield Hoyt"/>
    <x v="0"/>
    <n v="38"/>
    <n v="1"/>
    <n v="0"/>
    <n v="90"/>
  </r>
  <r>
    <x v="0"/>
    <x v="0"/>
    <s v="Mr. Karl Ivar Sven Berglund"/>
    <x v="0"/>
    <n v="22"/>
    <n v="0"/>
    <n v="0"/>
    <n v="9.35"/>
  </r>
  <r>
    <x v="1"/>
    <x v="2"/>
    <s v="Mr. William John Mellors"/>
    <x v="0"/>
    <n v="19"/>
    <n v="0"/>
    <n v="0"/>
    <n v="10.5"/>
  </r>
  <r>
    <x v="0"/>
    <x v="0"/>
    <s v="Mr. John Hall Lovell"/>
    <x v="0"/>
    <n v="20.5"/>
    <n v="0"/>
    <n v="0"/>
    <n v="7.25"/>
  </r>
  <r>
    <x v="0"/>
    <x v="2"/>
    <s v="Mr. Arne Jonas Fahlstrom"/>
    <x v="0"/>
    <n v="18"/>
    <n v="0"/>
    <n v="0"/>
    <n v="13"/>
  </r>
  <r>
    <x v="0"/>
    <x v="0"/>
    <s v="Miss. Mathilde Lefebre"/>
    <x v="1"/>
    <n v="12"/>
    <n v="3"/>
    <n v="1"/>
    <n v="25.466699999999999"/>
  </r>
  <r>
    <x v="1"/>
    <x v="1"/>
    <s v="Mrs. Henry Birkhardt (Irene Wallach) Harris"/>
    <x v="1"/>
    <n v="35"/>
    <n v="1"/>
    <n v="0"/>
    <n v="83.474999999999994"/>
  </r>
  <r>
    <x v="0"/>
    <x v="0"/>
    <s v="Mr. Bengt Edvin Larsson"/>
    <x v="0"/>
    <n v="29"/>
    <n v="0"/>
    <n v="0"/>
    <n v="7.7750000000000004"/>
  </r>
  <r>
    <x v="0"/>
    <x v="2"/>
    <s v="Mr. Ernst Adolf Sjostedt"/>
    <x v="0"/>
    <n v="59"/>
    <n v="0"/>
    <n v="0"/>
    <n v="13.5"/>
  </r>
  <r>
    <x v="1"/>
    <x v="0"/>
    <s v="Miss. Lillian Gertrud Asplund"/>
    <x v="1"/>
    <n v="5"/>
    <n v="4"/>
    <n v="2"/>
    <n v="31.387499999999999"/>
  </r>
  <r>
    <x v="0"/>
    <x v="2"/>
    <s v="Mr. Robert William Norman Leyson"/>
    <x v="0"/>
    <n v="24"/>
    <n v="0"/>
    <n v="0"/>
    <n v="10.5"/>
  </r>
  <r>
    <x v="0"/>
    <x v="0"/>
    <s v="Miss. Alice Phoebe Harknett"/>
    <x v="1"/>
    <n v="21"/>
    <n v="0"/>
    <n v="0"/>
    <n v="7.55"/>
  </r>
  <r>
    <x v="0"/>
    <x v="2"/>
    <s v="Mr. Stephen Hold"/>
    <x v="0"/>
    <n v="44"/>
    <n v="1"/>
    <n v="0"/>
    <n v="26"/>
  </r>
  <r>
    <x v="1"/>
    <x v="2"/>
    <s v="Miss. Marjorie Collyer"/>
    <x v="1"/>
    <n v="8"/>
    <n v="0"/>
    <n v="2"/>
    <n v="26.25"/>
  </r>
  <r>
    <x v="0"/>
    <x v="2"/>
    <s v="Mr. Frederick William Pengelly"/>
    <x v="0"/>
    <n v="19"/>
    <n v="0"/>
    <n v="0"/>
    <n v="10.5"/>
  </r>
  <r>
    <x v="0"/>
    <x v="2"/>
    <s v="Mr. George Henry Hunt"/>
    <x v="0"/>
    <n v="33"/>
    <n v="0"/>
    <n v="0"/>
    <n v="12.275"/>
  </r>
  <r>
    <x v="0"/>
    <x v="0"/>
    <s v="Miss. Thamine Zabour"/>
    <x v="1"/>
    <n v="19"/>
    <n v="1"/>
    <n v="0"/>
    <n v="14.4542"/>
  </r>
  <r>
    <x v="1"/>
    <x v="0"/>
    <s v="Miss. Katherine Murphy"/>
    <x v="1"/>
    <n v="18"/>
    <n v="1"/>
    <n v="0"/>
    <n v="15.5"/>
  </r>
  <r>
    <x v="0"/>
    <x v="2"/>
    <s v="Mr. Reginald Charles Coleridge"/>
    <x v="0"/>
    <n v="29"/>
    <n v="0"/>
    <n v="0"/>
    <n v="10.5"/>
  </r>
  <r>
    <x v="0"/>
    <x v="0"/>
    <s v="Mr. Matti Alexanteri Maenpaa"/>
    <x v="0"/>
    <n v="22"/>
    <n v="0"/>
    <n v="0"/>
    <n v="7.125"/>
  </r>
  <r>
    <x v="0"/>
    <x v="0"/>
    <s v="Mr. Sleiman Attalah"/>
    <x v="0"/>
    <n v="30"/>
    <n v="0"/>
    <n v="0"/>
    <n v="7.2249999999999996"/>
  </r>
  <r>
    <x v="0"/>
    <x v="1"/>
    <s v="Dr. William Edward Minahan"/>
    <x v="0"/>
    <n v="44"/>
    <n v="2"/>
    <n v="0"/>
    <n v="90"/>
  </r>
  <r>
    <x v="0"/>
    <x v="0"/>
    <s v="Miss. Agda Thorilda Viktoria Lindahl"/>
    <x v="1"/>
    <n v="25"/>
    <n v="0"/>
    <n v="0"/>
    <n v="7.7750000000000004"/>
  </r>
  <r>
    <x v="1"/>
    <x v="2"/>
    <s v="Mrs. William (Anna) Hamalainen"/>
    <x v="1"/>
    <n v="24"/>
    <n v="0"/>
    <n v="2"/>
    <n v="14.5"/>
  </r>
  <r>
    <x v="1"/>
    <x v="1"/>
    <s v="Mr. Richard Leonard Beckwith"/>
    <x v="0"/>
    <n v="37"/>
    <n v="1"/>
    <n v="1"/>
    <n v="52.554200000000002"/>
  </r>
  <r>
    <x v="0"/>
    <x v="2"/>
    <s v="Rev. Ernest Courtenay Carter"/>
    <x v="0"/>
    <n v="54"/>
    <n v="1"/>
    <n v="0"/>
    <n v="26"/>
  </r>
  <r>
    <x v="0"/>
    <x v="0"/>
    <s v="Mr. James George Reed"/>
    <x v="0"/>
    <n v="18"/>
    <n v="0"/>
    <n v="0"/>
    <n v="7.25"/>
  </r>
  <r>
    <x v="0"/>
    <x v="0"/>
    <s v="Mrs. Wilhelm (Elna Matilda Persson) Strom"/>
    <x v="1"/>
    <n v="29"/>
    <n v="1"/>
    <n v="1"/>
    <n v="10.4625"/>
  </r>
  <r>
    <x v="0"/>
    <x v="1"/>
    <s v="Mr. William Thomas Stead"/>
    <x v="0"/>
    <n v="62"/>
    <n v="0"/>
    <n v="0"/>
    <n v="26.55"/>
  </r>
  <r>
    <x v="0"/>
    <x v="0"/>
    <s v="Mr. William Arthur Lobb"/>
    <x v="0"/>
    <n v="30"/>
    <n v="1"/>
    <n v="0"/>
    <n v="16.100000000000001"/>
  </r>
  <r>
    <x v="0"/>
    <x v="0"/>
    <s v="Mrs. Viktor (Helena Wilhelmina) Rosblom"/>
    <x v="1"/>
    <n v="41"/>
    <n v="0"/>
    <n v="2"/>
    <n v="20.212499999999999"/>
  </r>
  <r>
    <x v="1"/>
    <x v="0"/>
    <s v="Mrs. Darwis (Hanne Youssef Razi) Touma"/>
    <x v="1"/>
    <n v="29"/>
    <n v="0"/>
    <n v="2"/>
    <n v="15.245799999999999"/>
  </r>
  <r>
    <x v="1"/>
    <x v="1"/>
    <s v="Mrs. Gertrude Maybelle Thorne"/>
    <x v="1"/>
    <n v="38"/>
    <n v="0"/>
    <n v="0"/>
    <n v="79.2"/>
  </r>
  <r>
    <x v="1"/>
    <x v="1"/>
    <s v="Miss. Gladys Cherry"/>
    <x v="1"/>
    <n v="30"/>
    <n v="0"/>
    <n v="0"/>
    <n v="86.5"/>
  </r>
  <r>
    <x v="1"/>
    <x v="1"/>
    <s v="Miss. Anna Ward"/>
    <x v="1"/>
    <n v="35"/>
    <n v="0"/>
    <n v="0"/>
    <n v="512.32920000000001"/>
  </r>
  <r>
    <x v="1"/>
    <x v="2"/>
    <s v="Mrs. (Lutie Davis) Parrish"/>
    <x v="1"/>
    <n v="50"/>
    <n v="0"/>
    <n v="1"/>
    <n v="26"/>
  </r>
  <r>
    <x v="1"/>
    <x v="0"/>
    <s v="Master. Edvin Rojj Felix Asplund"/>
    <x v="0"/>
    <n v="3"/>
    <n v="4"/>
    <n v="2"/>
    <n v="31.387499999999999"/>
  </r>
  <r>
    <x v="0"/>
    <x v="1"/>
    <s v="Mr. Emil Taussig"/>
    <x v="0"/>
    <n v="52"/>
    <n v="1"/>
    <n v="1"/>
    <n v="79.650000000000006"/>
  </r>
  <r>
    <x v="0"/>
    <x v="1"/>
    <s v="Mr. William Harrison"/>
    <x v="0"/>
    <n v="40"/>
    <n v="0"/>
    <n v="0"/>
    <n v="0"/>
  </r>
  <r>
    <x v="0"/>
    <x v="0"/>
    <s v="Miss. Delia Henry"/>
    <x v="1"/>
    <n v="21"/>
    <n v="0"/>
    <n v="0"/>
    <n v="7.75"/>
  </r>
  <r>
    <x v="0"/>
    <x v="2"/>
    <s v="Mr. David Reeves"/>
    <x v="0"/>
    <n v="36"/>
    <n v="0"/>
    <n v="0"/>
    <n v="10.5"/>
  </r>
  <r>
    <x v="0"/>
    <x v="0"/>
    <s v="Mr. Ernesti Arvid Panula"/>
    <x v="0"/>
    <n v="16"/>
    <n v="4"/>
    <n v="1"/>
    <n v="39.6875"/>
  </r>
  <r>
    <x v="1"/>
    <x v="0"/>
    <s v="Mr. Ernst Ulrik Persson"/>
    <x v="0"/>
    <n v="25"/>
    <n v="1"/>
    <n v="0"/>
    <n v="7.7750000000000004"/>
  </r>
  <r>
    <x v="1"/>
    <x v="1"/>
    <s v="Mrs. William Thompson (Edith Junkins) Graham"/>
    <x v="1"/>
    <n v="58"/>
    <n v="0"/>
    <n v="1"/>
    <n v="153.46250000000001"/>
  </r>
  <r>
    <x v="1"/>
    <x v="1"/>
    <s v="Miss. Amelia Bissette"/>
    <x v="1"/>
    <n v="35"/>
    <n v="0"/>
    <n v="0"/>
    <n v="135.63329999999999"/>
  </r>
  <r>
    <x v="0"/>
    <x v="1"/>
    <s v="Mr. Alexander Cairns"/>
    <x v="0"/>
    <n v="28"/>
    <n v="0"/>
    <n v="0"/>
    <n v="31"/>
  </r>
  <r>
    <x v="1"/>
    <x v="0"/>
    <s v="Mr. William Henry Tornquist"/>
    <x v="0"/>
    <n v="25"/>
    <n v="0"/>
    <n v="0"/>
    <n v="0"/>
  </r>
  <r>
    <x v="1"/>
    <x v="2"/>
    <s v="Mrs. (Elizabeth Anne Maidment) Mellinger"/>
    <x v="1"/>
    <n v="41"/>
    <n v="0"/>
    <n v="1"/>
    <n v="19.5"/>
  </r>
  <r>
    <x v="0"/>
    <x v="1"/>
    <s v="Mr. Charles H Natsch"/>
    <x v="0"/>
    <n v="37"/>
    <n v="0"/>
    <n v="1"/>
    <n v="29.7"/>
  </r>
  <r>
    <x v="1"/>
    <x v="0"/>
    <s v="Miss. Hanora Healy"/>
    <x v="1"/>
    <n v="33"/>
    <n v="0"/>
    <n v="0"/>
    <n v="7.75"/>
  </r>
  <r>
    <x v="1"/>
    <x v="1"/>
    <s v="Miss. Kornelia Theodosia Andrews"/>
    <x v="1"/>
    <n v="63"/>
    <n v="1"/>
    <n v="0"/>
    <n v="77.958299999999994"/>
  </r>
  <r>
    <x v="0"/>
    <x v="0"/>
    <s v="Miss. Augusta Charlotta Lindblom"/>
    <x v="1"/>
    <n v="45"/>
    <n v="0"/>
    <n v="0"/>
    <n v="7.75"/>
  </r>
  <r>
    <x v="0"/>
    <x v="2"/>
    <s v="Mr. Francis Parkes"/>
    <x v="0"/>
    <n v="21"/>
    <n v="0"/>
    <n v="0"/>
    <n v="0"/>
  </r>
  <r>
    <x v="0"/>
    <x v="0"/>
    <s v="Master. Eric Rice"/>
    <x v="0"/>
    <n v="7"/>
    <n v="4"/>
    <n v="1"/>
    <n v="29.125"/>
  </r>
  <r>
    <x v="1"/>
    <x v="0"/>
    <s v="Mrs. Stanton (Rosa Hunt) Abbott"/>
    <x v="1"/>
    <n v="35"/>
    <n v="1"/>
    <n v="1"/>
    <n v="20.25"/>
  </r>
  <r>
    <x v="0"/>
    <x v="0"/>
    <s v="Mr. Frank Duane"/>
    <x v="0"/>
    <n v="65"/>
    <n v="0"/>
    <n v="0"/>
    <n v="7.75"/>
  </r>
  <r>
    <x v="0"/>
    <x v="0"/>
    <s v="Mr. Nils Johan Goransson Olsson"/>
    <x v="0"/>
    <n v="28"/>
    <n v="0"/>
    <n v="0"/>
    <n v="7.8541999999999996"/>
  </r>
  <r>
    <x v="0"/>
    <x v="0"/>
    <s v="Mr. Alfons de Pelsmaeker"/>
    <x v="0"/>
    <n v="16"/>
    <n v="0"/>
    <n v="0"/>
    <n v="9.5"/>
  </r>
  <r>
    <x v="1"/>
    <x v="0"/>
    <s v="Mr. Edward Arthur Dorking"/>
    <x v="0"/>
    <n v="19"/>
    <n v="0"/>
    <n v="0"/>
    <n v="8.0500000000000007"/>
  </r>
  <r>
    <x v="0"/>
    <x v="1"/>
    <s v="Mr. Richard William Smith"/>
    <x v="0"/>
    <n v="57"/>
    <n v="0"/>
    <n v="0"/>
    <n v="26"/>
  </r>
  <r>
    <x v="0"/>
    <x v="0"/>
    <s v="Mr. Ivan Stankovic"/>
    <x v="0"/>
    <n v="33"/>
    <n v="0"/>
    <n v="0"/>
    <n v="8.6624999999999996"/>
  </r>
  <r>
    <x v="1"/>
    <x v="0"/>
    <s v="Mr. Theodore de Mulder"/>
    <x v="0"/>
    <n v="30"/>
    <n v="0"/>
    <n v="0"/>
    <n v="9.5"/>
  </r>
  <r>
    <x v="0"/>
    <x v="0"/>
    <s v="Mr. Penko Naidenoff"/>
    <x v="0"/>
    <n v="22"/>
    <n v="0"/>
    <n v="0"/>
    <n v="7.8958000000000004"/>
  </r>
  <r>
    <x v="1"/>
    <x v="2"/>
    <s v="Mr. Masabumi Hosono"/>
    <x v="0"/>
    <n v="42"/>
    <n v="0"/>
    <n v="0"/>
    <n v="13"/>
  </r>
  <r>
    <x v="1"/>
    <x v="0"/>
    <s v="Miss. Kate Connolly"/>
    <x v="1"/>
    <n v="22"/>
    <n v="0"/>
    <n v="0"/>
    <n v="7.75"/>
  </r>
  <r>
    <x v="1"/>
    <x v="1"/>
    <s v="Miss. Ellen Barber"/>
    <x v="1"/>
    <n v="26"/>
    <n v="0"/>
    <n v="0"/>
    <n v="78.849999999999994"/>
  </r>
  <r>
    <x v="1"/>
    <x v="1"/>
    <s v="Mrs. Dickinson H (Helen Walton) Bishop"/>
    <x v="1"/>
    <n v="19"/>
    <n v="1"/>
    <n v="0"/>
    <n v="91.0792"/>
  </r>
  <r>
    <x v="0"/>
    <x v="2"/>
    <s v="Mr. Rene Jacques Levy"/>
    <x v="0"/>
    <n v="36"/>
    <n v="0"/>
    <n v="0"/>
    <n v="12.875"/>
  </r>
  <r>
    <x v="0"/>
    <x v="0"/>
    <s v="Miss. Aloisia Haas"/>
    <x v="1"/>
    <n v="24"/>
    <n v="0"/>
    <n v="0"/>
    <n v="8.85"/>
  </r>
  <r>
    <x v="0"/>
    <x v="0"/>
    <s v="Mr. Ivan Mineff"/>
    <x v="0"/>
    <n v="24"/>
    <n v="0"/>
    <n v="0"/>
    <n v="7.8958000000000004"/>
  </r>
  <r>
    <x v="0"/>
    <x v="1"/>
    <s v="Mr. Ervin G Lewy"/>
    <x v="0"/>
    <n v="30"/>
    <n v="0"/>
    <n v="0"/>
    <n v="27.720800000000001"/>
  </r>
  <r>
    <x v="0"/>
    <x v="0"/>
    <s v="Mr. Mansour Hanna"/>
    <x v="0"/>
    <n v="23.5"/>
    <n v="0"/>
    <n v="0"/>
    <n v="7.2291999999999996"/>
  </r>
  <r>
    <x v="0"/>
    <x v="1"/>
    <s v="Miss. Helen Loraine Allison"/>
    <x v="1"/>
    <n v="2"/>
    <n v="1"/>
    <n v="2"/>
    <n v="151.55000000000001"/>
  </r>
  <r>
    <x v="1"/>
    <x v="1"/>
    <s v="Mr. Adolphe Saalfeld"/>
    <x v="0"/>
    <n v="47"/>
    <n v="0"/>
    <n v="0"/>
    <n v="30.5"/>
  </r>
  <r>
    <x v="1"/>
    <x v="1"/>
    <s v="Mrs. James (Helene DeLaudeniere Chaput) Baxter"/>
    <x v="1"/>
    <n v="50"/>
    <n v="0"/>
    <n v="1"/>
    <n v="247.52080000000001"/>
  </r>
  <r>
    <x v="1"/>
    <x v="0"/>
    <s v="Miss. Anna Katherine Kelly"/>
    <x v="1"/>
    <n v="20"/>
    <n v="0"/>
    <n v="0"/>
    <n v="7.75"/>
  </r>
  <r>
    <x v="1"/>
    <x v="0"/>
    <s v="Mr. Bernard McCoy"/>
    <x v="0"/>
    <n v="24"/>
    <n v="2"/>
    <n v="0"/>
    <n v="23.25"/>
  </r>
  <r>
    <x v="0"/>
    <x v="0"/>
    <s v="Mr. William Cahoone Jr Johnson"/>
    <x v="0"/>
    <n v="19"/>
    <n v="0"/>
    <n v="0"/>
    <n v="0"/>
  </r>
  <r>
    <x v="1"/>
    <x v="2"/>
    <s v="Miss. Nora A Keane"/>
    <x v="1"/>
    <n v="46"/>
    <n v="0"/>
    <n v="0"/>
    <n v="12.35"/>
  </r>
  <r>
    <x v="0"/>
    <x v="0"/>
    <s v="Mr. Howard Hugh Williams"/>
    <x v="0"/>
    <n v="28"/>
    <n v="0"/>
    <n v="0"/>
    <n v="8.0500000000000007"/>
  </r>
  <r>
    <x v="1"/>
    <x v="1"/>
    <s v="Master. Hudson Trevor Allison"/>
    <x v="0"/>
    <n v="0.92"/>
    <n v="1"/>
    <n v="2"/>
    <n v="151.55000000000001"/>
  </r>
  <r>
    <x v="1"/>
    <x v="1"/>
    <s v="Miss. Margaret Fleming"/>
    <x v="1"/>
    <n v="42"/>
    <n v="0"/>
    <n v="0"/>
    <n v="110.88330000000001"/>
  </r>
  <r>
    <x v="1"/>
    <x v="1"/>
    <s v="Mrs. Victor de Satode (Maria Josefa Perez de Soto y Vallejo) Penasco y Castellana"/>
    <x v="1"/>
    <n v="17"/>
    <n v="1"/>
    <n v="0"/>
    <n v="108.9"/>
  </r>
  <r>
    <x v="0"/>
    <x v="2"/>
    <s v="Mr. Samuel Abelson"/>
    <x v="0"/>
    <n v="30"/>
    <n v="1"/>
    <n v="0"/>
    <n v="24"/>
  </r>
  <r>
    <x v="1"/>
    <x v="1"/>
    <s v="Miss. Laura Mabel Francatelli"/>
    <x v="1"/>
    <n v="30"/>
    <n v="0"/>
    <n v="0"/>
    <n v="56.929200000000002"/>
  </r>
  <r>
    <x v="1"/>
    <x v="1"/>
    <s v="Miss. Margaret Bechstein Hays"/>
    <x v="1"/>
    <n v="24"/>
    <n v="0"/>
    <n v="0"/>
    <n v="83.158299999999997"/>
  </r>
  <r>
    <x v="1"/>
    <x v="1"/>
    <s v="Miss. Emily Borie Ryerson"/>
    <x v="1"/>
    <n v="18"/>
    <n v="2"/>
    <n v="2"/>
    <n v="262.375"/>
  </r>
  <r>
    <x v="0"/>
    <x v="2"/>
    <s v="Mrs. William (Anna Sylfven) Lahtinen"/>
    <x v="1"/>
    <n v="26"/>
    <n v="1"/>
    <n v="1"/>
    <n v="26"/>
  </r>
  <r>
    <x v="0"/>
    <x v="0"/>
    <s v="Mr. Ignjac Hendekovic"/>
    <x v="0"/>
    <n v="28"/>
    <n v="0"/>
    <n v="0"/>
    <n v="7.8958000000000004"/>
  </r>
  <r>
    <x v="0"/>
    <x v="2"/>
    <s v="Mr. Benjamin Hart"/>
    <x v="0"/>
    <n v="43"/>
    <n v="1"/>
    <n v="1"/>
    <n v="26.25"/>
  </r>
  <r>
    <x v="1"/>
    <x v="0"/>
    <s v="Miss. Helmina Josefina Nilsson"/>
    <x v="1"/>
    <n v="26"/>
    <n v="0"/>
    <n v="0"/>
    <n v="7.8541999999999996"/>
  </r>
  <r>
    <x v="1"/>
    <x v="2"/>
    <s v="Mrs. Sinai (Miriam Sternin) Kantor"/>
    <x v="1"/>
    <n v="24"/>
    <n v="1"/>
    <n v="0"/>
    <n v="26"/>
  </r>
  <r>
    <x v="0"/>
    <x v="2"/>
    <s v="Dr. Ernest Moraweck"/>
    <x v="0"/>
    <n v="54"/>
    <n v="0"/>
    <n v="0"/>
    <n v="14"/>
  </r>
  <r>
    <x v="1"/>
    <x v="1"/>
    <s v="Miss. Mary Natalie Wick"/>
    <x v="1"/>
    <n v="31"/>
    <n v="0"/>
    <n v="2"/>
    <n v="164.86670000000001"/>
  </r>
  <r>
    <x v="1"/>
    <x v="1"/>
    <s v="Mrs. Frederic Oakley (Margaretta Corning Stone) Spedden"/>
    <x v="1"/>
    <n v="40"/>
    <n v="1"/>
    <n v="1"/>
    <n v="134.5"/>
  </r>
  <r>
    <x v="0"/>
    <x v="0"/>
    <s v="Mr. Samuel Dennis"/>
    <x v="0"/>
    <n v="22"/>
    <n v="0"/>
    <n v="0"/>
    <n v="7.25"/>
  </r>
  <r>
    <x v="0"/>
    <x v="0"/>
    <s v="Mr. Yoto Danoff"/>
    <x v="0"/>
    <n v="27"/>
    <n v="0"/>
    <n v="0"/>
    <n v="7.8958000000000004"/>
  </r>
  <r>
    <x v="1"/>
    <x v="2"/>
    <s v="Miss. Hilda Mary Slayter"/>
    <x v="1"/>
    <n v="30"/>
    <n v="0"/>
    <n v="0"/>
    <n v="12.35"/>
  </r>
  <r>
    <x v="1"/>
    <x v="2"/>
    <s v="Mrs. Albert Francis (Sylvia Mae Harbaugh) Caldwell"/>
    <x v="1"/>
    <n v="22"/>
    <n v="1"/>
    <n v="1"/>
    <n v="29"/>
  </r>
  <r>
    <x v="0"/>
    <x v="0"/>
    <s v="Mr. George John Jr Sage"/>
    <x v="0"/>
    <n v="20"/>
    <n v="8"/>
    <n v="2"/>
    <n v="69.55"/>
  </r>
  <r>
    <x v="1"/>
    <x v="1"/>
    <s v="Miss. Marie Grice Young"/>
    <x v="1"/>
    <n v="36"/>
    <n v="0"/>
    <n v="0"/>
    <n v="135.63329999999999"/>
  </r>
  <r>
    <x v="0"/>
    <x v="0"/>
    <s v="Mr. Johan Hansen Nysveen"/>
    <x v="0"/>
    <n v="61"/>
    <n v="0"/>
    <n v="0"/>
    <n v="6.2374999999999998"/>
  </r>
  <r>
    <x v="1"/>
    <x v="2"/>
    <s v="Mrs. (Ada E Hall) Ball"/>
    <x v="1"/>
    <n v="36"/>
    <n v="0"/>
    <n v="0"/>
    <n v="13"/>
  </r>
  <r>
    <x v="1"/>
    <x v="0"/>
    <s v="Mrs. Frank John (Emily Alice Brown) Goldsmith"/>
    <x v="1"/>
    <n v="31"/>
    <n v="1"/>
    <n v="1"/>
    <n v="20.524999999999999"/>
  </r>
  <r>
    <x v="1"/>
    <x v="1"/>
    <s v="Miss. Jean Gertrude Hippach"/>
    <x v="1"/>
    <n v="16"/>
    <n v="0"/>
    <n v="1"/>
    <n v="57.979199999999999"/>
  </r>
  <r>
    <x v="1"/>
    <x v="0"/>
    <s v="Miss. Agnes McCoy"/>
    <x v="1"/>
    <n v="28"/>
    <n v="2"/>
    <n v="0"/>
    <n v="23.25"/>
  </r>
  <r>
    <x v="0"/>
    <x v="1"/>
    <s v="Mr. Austen Partner"/>
    <x v="0"/>
    <n v="45.5"/>
    <n v="0"/>
    <n v="0"/>
    <n v="28.5"/>
  </r>
  <r>
    <x v="0"/>
    <x v="1"/>
    <s v="Mr. George Edward Graham"/>
    <x v="0"/>
    <n v="38"/>
    <n v="0"/>
    <n v="1"/>
    <n v="153.46250000000001"/>
  </r>
  <r>
    <x v="0"/>
    <x v="0"/>
    <s v="Mr. Leo Edmondus Vander Planke"/>
    <x v="0"/>
    <n v="16"/>
    <n v="2"/>
    <n v="0"/>
    <n v="18"/>
  </r>
  <r>
    <x v="1"/>
    <x v="1"/>
    <s v="Mrs. Henry William (Clara Heinsheimer) Frauenthal"/>
    <x v="1"/>
    <n v="42"/>
    <n v="1"/>
    <n v="0"/>
    <n v="133.65"/>
  </r>
  <r>
    <x v="0"/>
    <x v="0"/>
    <s v="Mr. Mitto Denkoff"/>
    <x v="0"/>
    <n v="30"/>
    <n v="0"/>
    <n v="0"/>
    <n v="7.8958000000000004"/>
  </r>
  <r>
    <x v="0"/>
    <x v="1"/>
    <s v="Mr. Thomas Clinton Pears"/>
    <x v="0"/>
    <n v="29"/>
    <n v="1"/>
    <n v="0"/>
    <n v="66.599999999999994"/>
  </r>
  <r>
    <x v="1"/>
    <x v="1"/>
    <s v="Miss. Elizabeth Margaret Burns"/>
    <x v="1"/>
    <n v="41"/>
    <n v="0"/>
    <n v="0"/>
    <n v="134.5"/>
  </r>
  <r>
    <x v="1"/>
    <x v="0"/>
    <s v="Mr. Karl Edwart Dahl"/>
    <x v="0"/>
    <n v="45"/>
    <n v="0"/>
    <n v="0"/>
    <n v="8.0500000000000007"/>
  </r>
  <r>
    <x v="0"/>
    <x v="1"/>
    <s v="Mr. Stephen Weart Blackwell"/>
    <x v="0"/>
    <n v="45"/>
    <n v="0"/>
    <n v="0"/>
    <n v="35.5"/>
  </r>
  <r>
    <x v="1"/>
    <x v="2"/>
    <s v="Master. Edmond Roger Navratil"/>
    <x v="0"/>
    <n v="2"/>
    <n v="1"/>
    <n v="1"/>
    <n v="26"/>
  </r>
  <r>
    <x v="1"/>
    <x v="1"/>
    <s v="Miss. Alice Elizabeth Fortune"/>
    <x v="1"/>
    <n v="24"/>
    <n v="3"/>
    <n v="2"/>
    <n v="263"/>
  </r>
  <r>
    <x v="0"/>
    <x v="2"/>
    <s v="Mr. Erik Gustaf Collander"/>
    <x v="0"/>
    <n v="28"/>
    <n v="0"/>
    <n v="0"/>
    <n v="13"/>
  </r>
  <r>
    <x v="0"/>
    <x v="2"/>
    <s v="Mr. Charles Frederick Waddington Sedgwick"/>
    <x v="0"/>
    <n v="25"/>
    <n v="0"/>
    <n v="0"/>
    <n v="13"/>
  </r>
  <r>
    <x v="0"/>
    <x v="2"/>
    <s v="Mr. Stanley Hubert Fox"/>
    <x v="0"/>
    <n v="36"/>
    <n v="0"/>
    <n v="0"/>
    <n v="13"/>
  </r>
  <r>
    <x v="1"/>
    <x v="2"/>
    <s v="Miss. Amelia Brown"/>
    <x v="1"/>
    <n v="24"/>
    <n v="0"/>
    <n v="0"/>
    <n v="13"/>
  </r>
  <r>
    <x v="1"/>
    <x v="2"/>
    <s v="Miss. Marion Elsie Smith"/>
    <x v="1"/>
    <n v="40"/>
    <n v="0"/>
    <n v="0"/>
    <n v="13"/>
  </r>
  <r>
    <x v="1"/>
    <x v="0"/>
    <s v="Mrs. Thomas Henry (Mary E Finck) Davison"/>
    <x v="1"/>
    <n v="34"/>
    <n v="1"/>
    <n v="0"/>
    <n v="16.100000000000001"/>
  </r>
  <r>
    <x v="1"/>
    <x v="0"/>
    <s v="Master. William Loch Coutts"/>
    <x v="0"/>
    <n v="3"/>
    <n v="1"/>
    <n v="1"/>
    <n v="15.9"/>
  </r>
  <r>
    <x v="0"/>
    <x v="0"/>
    <s v="Mr. Jovan Dimic"/>
    <x v="0"/>
    <n v="42"/>
    <n v="0"/>
    <n v="0"/>
    <n v="8.6624999999999996"/>
  </r>
  <r>
    <x v="0"/>
    <x v="0"/>
    <s v="Mr. Nils Martin Odahl"/>
    <x v="0"/>
    <n v="23"/>
    <n v="0"/>
    <n v="0"/>
    <n v="9.2249999999999996"/>
  </r>
  <r>
    <x v="0"/>
    <x v="1"/>
    <s v="Mr. Fletcher Fellows Williams-Lambert"/>
    <x v="0"/>
    <n v="43"/>
    <n v="0"/>
    <n v="0"/>
    <n v="35"/>
  </r>
  <r>
    <x v="0"/>
    <x v="0"/>
    <s v="Mr. Tannous Elias"/>
    <x v="0"/>
    <n v="15"/>
    <n v="1"/>
    <n v="1"/>
    <n v="7.2291999999999996"/>
  </r>
  <r>
    <x v="0"/>
    <x v="0"/>
    <s v="Mr. Josef Arnold-Franchi"/>
    <x v="0"/>
    <n v="25"/>
    <n v="1"/>
    <n v="0"/>
    <n v="17.8"/>
  </r>
  <r>
    <x v="0"/>
    <x v="0"/>
    <s v="Mr. Wazli Yousif"/>
    <x v="0"/>
    <n v="23"/>
    <n v="0"/>
    <n v="0"/>
    <n v="7.2249999999999996"/>
  </r>
  <r>
    <x v="0"/>
    <x v="0"/>
    <s v="Mr. Leo Peter Vanden Steen"/>
    <x v="0"/>
    <n v="28"/>
    <n v="0"/>
    <n v="0"/>
    <n v="9.5"/>
  </r>
  <r>
    <x v="1"/>
    <x v="1"/>
    <s v="Miss. Elsie Edith Bowerman"/>
    <x v="1"/>
    <n v="22"/>
    <n v="0"/>
    <n v="1"/>
    <n v="55"/>
  </r>
  <r>
    <x v="0"/>
    <x v="2"/>
    <s v="Miss. Annie Clemmer Funk"/>
    <x v="1"/>
    <n v="38"/>
    <n v="0"/>
    <n v="0"/>
    <n v="13"/>
  </r>
  <r>
    <x v="1"/>
    <x v="0"/>
    <s v="Miss. Mary McGovern"/>
    <x v="1"/>
    <n v="22"/>
    <n v="0"/>
    <n v="0"/>
    <n v="7.8792"/>
  </r>
  <r>
    <x v="1"/>
    <x v="0"/>
    <s v="Miss. Helen Mary Mockler"/>
    <x v="1"/>
    <n v="23"/>
    <n v="0"/>
    <n v="0"/>
    <n v="7.8792"/>
  </r>
  <r>
    <x v="0"/>
    <x v="0"/>
    <s v="Mr. Wilhelm Skoog"/>
    <x v="0"/>
    <n v="40"/>
    <n v="1"/>
    <n v="4"/>
    <n v="27.9"/>
  </r>
  <r>
    <x v="0"/>
    <x v="2"/>
    <s v="Mr. Sebastiano del Carlo"/>
    <x v="0"/>
    <n v="29"/>
    <n v="1"/>
    <n v="0"/>
    <n v="27.720800000000001"/>
  </r>
  <r>
    <x v="0"/>
    <x v="0"/>
    <s v="Mrs. (Catherine David) Barbara"/>
    <x v="1"/>
    <n v="45"/>
    <n v="0"/>
    <n v="1"/>
    <n v="14.4542"/>
  </r>
  <r>
    <x v="0"/>
    <x v="0"/>
    <s v="Mr. Adola Asim"/>
    <x v="0"/>
    <n v="35"/>
    <n v="0"/>
    <n v="0"/>
    <n v="7.05"/>
  </r>
  <r>
    <x v="0"/>
    <x v="0"/>
    <s v="Mr. Thomas O'Brien"/>
    <x v="0"/>
    <n v="27"/>
    <n v="1"/>
    <n v="0"/>
    <n v="15.5"/>
  </r>
  <r>
    <x v="0"/>
    <x v="0"/>
    <s v="Mr. Mauritz Nils Martin Adahl"/>
    <x v="0"/>
    <n v="30"/>
    <n v="0"/>
    <n v="0"/>
    <n v="7.25"/>
  </r>
  <r>
    <x v="1"/>
    <x v="1"/>
    <s v="Mrs. Frank Manley (Anna Sophia Atkinson) Warren"/>
    <x v="1"/>
    <n v="60"/>
    <n v="1"/>
    <n v="0"/>
    <n v="75.25"/>
  </r>
  <r>
    <x v="1"/>
    <x v="0"/>
    <s v="Mrs. (Mantoura Boulos) Moussa"/>
    <x v="1"/>
    <n v="35"/>
    <n v="0"/>
    <n v="0"/>
    <n v="7.2291999999999996"/>
  </r>
  <r>
    <x v="1"/>
    <x v="0"/>
    <s v="Miss. Annie Jermyn"/>
    <x v="1"/>
    <n v="22"/>
    <n v="0"/>
    <n v="0"/>
    <n v="7.75"/>
  </r>
  <r>
    <x v="1"/>
    <x v="1"/>
    <s v="Mme. Leontine Pauline Aubart"/>
    <x v="1"/>
    <n v="24"/>
    <n v="0"/>
    <n v="0"/>
    <n v="69.3"/>
  </r>
  <r>
    <x v="1"/>
    <x v="1"/>
    <s v="Mr. George Achilles Harder"/>
    <x v="0"/>
    <n v="25"/>
    <n v="1"/>
    <n v="0"/>
    <n v="55.441699999999997"/>
  </r>
  <r>
    <x v="0"/>
    <x v="0"/>
    <s v="Mr. Jakob Alfred Wiklund"/>
    <x v="0"/>
    <n v="18"/>
    <n v="1"/>
    <n v="0"/>
    <n v="6.4958"/>
  </r>
  <r>
    <x v="0"/>
    <x v="0"/>
    <s v="Mr. William Thomas Beavan"/>
    <x v="0"/>
    <n v="19"/>
    <n v="0"/>
    <n v="0"/>
    <n v="8.0500000000000007"/>
  </r>
  <r>
    <x v="0"/>
    <x v="1"/>
    <s v="Mr. Sante Ringhini"/>
    <x v="0"/>
    <n v="22"/>
    <n v="0"/>
    <n v="0"/>
    <n v="135.63329999999999"/>
  </r>
  <r>
    <x v="0"/>
    <x v="0"/>
    <s v="Miss. Stina Viola Palsson"/>
    <x v="1"/>
    <n v="3"/>
    <n v="3"/>
    <n v="1"/>
    <n v="21.074999999999999"/>
  </r>
  <r>
    <x v="1"/>
    <x v="1"/>
    <s v="Mrs. Edgar Joseph (Leila Saks) Meyer"/>
    <x v="1"/>
    <n v="25"/>
    <n v="1"/>
    <n v="0"/>
    <n v="82.1708"/>
  </r>
  <r>
    <x v="1"/>
    <x v="0"/>
    <s v="Miss. Aurora Adelia Landergren"/>
    <x v="1"/>
    <n v="22"/>
    <n v="0"/>
    <n v="0"/>
    <n v="7.25"/>
  </r>
  <r>
    <x v="0"/>
    <x v="1"/>
    <s v="Mr. Harry Elkins Widener"/>
    <x v="0"/>
    <n v="27"/>
    <n v="0"/>
    <n v="2"/>
    <n v="211.5"/>
  </r>
  <r>
    <x v="0"/>
    <x v="0"/>
    <s v="Mr. Tannous Betros"/>
    <x v="0"/>
    <n v="20"/>
    <n v="0"/>
    <n v="0"/>
    <n v="4.0125000000000002"/>
  </r>
  <r>
    <x v="0"/>
    <x v="0"/>
    <s v="Mr. Karl Gideon Gustafsson"/>
    <x v="0"/>
    <n v="19"/>
    <n v="0"/>
    <n v="0"/>
    <n v="7.7750000000000004"/>
  </r>
  <r>
    <x v="1"/>
    <x v="1"/>
    <s v="Miss. Rosalie Bidois"/>
    <x v="1"/>
    <n v="42"/>
    <n v="0"/>
    <n v="0"/>
    <n v="227.52500000000001"/>
  </r>
  <r>
    <x v="1"/>
    <x v="0"/>
    <s v="Miss. Maria Nakid"/>
    <x v="1"/>
    <n v="1"/>
    <n v="0"/>
    <n v="2"/>
    <n v="15.7417"/>
  </r>
  <r>
    <x v="0"/>
    <x v="0"/>
    <s v="Mr. Juho Tikkanen"/>
    <x v="0"/>
    <n v="32"/>
    <n v="0"/>
    <n v="0"/>
    <n v="7.9249999999999998"/>
  </r>
  <r>
    <x v="1"/>
    <x v="1"/>
    <s v="Mrs. Alexander Oskar (Mary Aline Towner) Holverson"/>
    <x v="1"/>
    <n v="35"/>
    <n v="1"/>
    <n v="0"/>
    <n v="52"/>
  </r>
  <r>
    <x v="0"/>
    <x v="0"/>
    <s v="Mr. Vasil Plotcharsky"/>
    <x v="0"/>
    <n v="27"/>
    <n v="0"/>
    <n v="0"/>
    <n v="7.8958000000000004"/>
  </r>
  <r>
    <x v="0"/>
    <x v="2"/>
    <s v="Mr. Charles Henry Davies"/>
    <x v="0"/>
    <n v="18"/>
    <n v="0"/>
    <n v="0"/>
    <n v="73.5"/>
  </r>
  <r>
    <x v="0"/>
    <x v="0"/>
    <s v="Master. Sidney Leonard Goodwin"/>
    <x v="0"/>
    <n v="1"/>
    <n v="5"/>
    <n v="2"/>
    <n v="46.9"/>
  </r>
  <r>
    <x v="1"/>
    <x v="2"/>
    <s v="Miss. Kate Buss"/>
    <x v="1"/>
    <n v="36"/>
    <n v="0"/>
    <n v="0"/>
    <n v="13"/>
  </r>
  <r>
    <x v="0"/>
    <x v="0"/>
    <s v="Mr. Matthew Sadlier"/>
    <x v="0"/>
    <n v="19"/>
    <n v="0"/>
    <n v="0"/>
    <n v="7.7291999999999996"/>
  </r>
  <r>
    <x v="1"/>
    <x v="2"/>
    <s v="Miss. Bertha Lehmann"/>
    <x v="1"/>
    <n v="17"/>
    <n v="0"/>
    <n v="0"/>
    <n v="12"/>
  </r>
  <r>
    <x v="1"/>
    <x v="1"/>
    <s v="Mr. William Ernest Carter"/>
    <x v="0"/>
    <n v="36"/>
    <n v="1"/>
    <n v="2"/>
    <n v="120"/>
  </r>
  <r>
    <x v="1"/>
    <x v="0"/>
    <s v="Mr. Carl Olof Jansson"/>
    <x v="0"/>
    <n v="21"/>
    <n v="0"/>
    <n v="0"/>
    <n v="7.7957999999999998"/>
  </r>
  <r>
    <x v="0"/>
    <x v="0"/>
    <s v="Mr. Johan Birger Gustafsson"/>
    <x v="0"/>
    <n v="28"/>
    <n v="2"/>
    <n v="0"/>
    <n v="7.9249999999999998"/>
  </r>
  <r>
    <x v="1"/>
    <x v="1"/>
    <s v="Miss. Marjorie Newell"/>
    <x v="1"/>
    <n v="23"/>
    <n v="1"/>
    <n v="0"/>
    <n v="113.27500000000001"/>
  </r>
  <r>
    <x v="1"/>
    <x v="0"/>
    <s v="Mrs. Hjalmar (Agnes Charlotta Bengtsson) Sandstrom"/>
    <x v="1"/>
    <n v="24"/>
    <n v="0"/>
    <n v="2"/>
    <n v="16.7"/>
  </r>
  <r>
    <x v="0"/>
    <x v="0"/>
    <s v="Mr. Erik Johansson"/>
    <x v="0"/>
    <n v="22"/>
    <n v="0"/>
    <n v="0"/>
    <n v="7.7957999999999998"/>
  </r>
  <r>
    <x v="0"/>
    <x v="0"/>
    <s v="Miss. Elina Olsson"/>
    <x v="1"/>
    <n v="31"/>
    <n v="0"/>
    <n v="0"/>
    <n v="7.8541999999999996"/>
  </r>
  <r>
    <x v="0"/>
    <x v="2"/>
    <s v="Mr. Peter David McKane"/>
    <x v="0"/>
    <n v="46"/>
    <n v="0"/>
    <n v="0"/>
    <n v="26"/>
  </r>
  <r>
    <x v="0"/>
    <x v="2"/>
    <s v="Dr. Alfred Pain"/>
    <x v="0"/>
    <n v="23"/>
    <n v="0"/>
    <n v="0"/>
    <n v="10.5"/>
  </r>
  <r>
    <x v="1"/>
    <x v="2"/>
    <s v="Mrs. William H (Jessie L) Trout"/>
    <x v="1"/>
    <n v="28"/>
    <n v="0"/>
    <n v="0"/>
    <n v="12.65"/>
  </r>
  <r>
    <x v="1"/>
    <x v="0"/>
    <s v="Mr. Juha Niskanen"/>
    <x v="0"/>
    <n v="39"/>
    <n v="0"/>
    <n v="0"/>
    <n v="7.9249999999999998"/>
  </r>
  <r>
    <x v="0"/>
    <x v="0"/>
    <s v="Mr. John Adams"/>
    <x v="0"/>
    <n v="26"/>
    <n v="0"/>
    <n v="0"/>
    <n v="8.0500000000000007"/>
  </r>
  <r>
    <x v="0"/>
    <x v="0"/>
    <s v="Miss. Mari Aina Jussila"/>
    <x v="1"/>
    <n v="21"/>
    <n v="1"/>
    <n v="0"/>
    <n v="9.8249999999999993"/>
  </r>
  <r>
    <x v="0"/>
    <x v="0"/>
    <s v="Mr. Pekka Pietari Hakkarainen"/>
    <x v="0"/>
    <n v="28"/>
    <n v="1"/>
    <n v="0"/>
    <n v="15.85"/>
  </r>
  <r>
    <x v="0"/>
    <x v="0"/>
    <s v="Miss. Marija Oreskovic"/>
    <x v="1"/>
    <n v="20"/>
    <n v="0"/>
    <n v="0"/>
    <n v="8.6624999999999996"/>
  </r>
  <r>
    <x v="0"/>
    <x v="2"/>
    <s v="Mr. Shadrach Gale"/>
    <x v="0"/>
    <n v="34"/>
    <n v="1"/>
    <n v="0"/>
    <n v="21"/>
  </r>
  <r>
    <x v="0"/>
    <x v="0"/>
    <s v="Mr. Carl/Charles Peter Widegren"/>
    <x v="0"/>
    <n v="51"/>
    <n v="0"/>
    <n v="0"/>
    <n v="7.75"/>
  </r>
  <r>
    <x v="1"/>
    <x v="2"/>
    <s v="Master. William Rowe Richards"/>
    <x v="0"/>
    <n v="3"/>
    <n v="1"/>
    <n v="1"/>
    <n v="18.75"/>
  </r>
  <r>
    <x v="0"/>
    <x v="0"/>
    <s v="Mr. Hans Martin Monsen Birkeland"/>
    <x v="0"/>
    <n v="21"/>
    <n v="0"/>
    <n v="0"/>
    <n v="7.7750000000000004"/>
  </r>
  <r>
    <x v="0"/>
    <x v="0"/>
    <s v="Miss. Ida Lefebre"/>
    <x v="1"/>
    <n v="3"/>
    <n v="3"/>
    <n v="1"/>
    <n v="25.466699999999999"/>
  </r>
  <r>
    <x v="0"/>
    <x v="0"/>
    <s v="Mr. Todor Sdycoff"/>
    <x v="0"/>
    <n v="42"/>
    <n v="0"/>
    <n v="0"/>
    <n v="7.8958000000000004"/>
  </r>
  <r>
    <x v="0"/>
    <x v="0"/>
    <s v="Mr. Henry Hart"/>
    <x v="0"/>
    <n v="27"/>
    <n v="0"/>
    <n v="0"/>
    <n v="6.8582999999999998"/>
  </r>
  <r>
    <x v="1"/>
    <x v="1"/>
    <s v="Miss. Daisy E Minahan"/>
    <x v="1"/>
    <n v="33"/>
    <n v="1"/>
    <n v="0"/>
    <n v="90"/>
  </r>
  <r>
    <x v="0"/>
    <x v="2"/>
    <s v="Mr. Alfred Fleming Cunningham"/>
    <x v="0"/>
    <n v="22"/>
    <n v="0"/>
    <n v="0"/>
    <n v="0"/>
  </r>
  <r>
    <x v="1"/>
    <x v="0"/>
    <s v="Mr. Johan Julian Sundman"/>
    <x v="0"/>
    <n v="44"/>
    <n v="0"/>
    <n v="0"/>
    <n v="7.9249999999999998"/>
  </r>
  <r>
    <x v="0"/>
    <x v="0"/>
    <s v="Mrs. Thomas (Annie Louise Rowley) Meek"/>
    <x v="1"/>
    <n v="32"/>
    <n v="0"/>
    <n v="0"/>
    <n v="8.0500000000000007"/>
  </r>
  <r>
    <x v="1"/>
    <x v="2"/>
    <s v="Mrs. James Vivian (Lulu Thorne Christian) Drew"/>
    <x v="1"/>
    <n v="34"/>
    <n v="1"/>
    <n v="1"/>
    <n v="32.5"/>
  </r>
  <r>
    <x v="1"/>
    <x v="2"/>
    <s v="Miss. Lyyli Karoliina Silven"/>
    <x v="1"/>
    <n v="18"/>
    <n v="0"/>
    <n v="2"/>
    <n v="13"/>
  </r>
  <r>
    <x v="0"/>
    <x v="2"/>
    <s v="Mr. William John Matthews"/>
    <x v="0"/>
    <n v="30"/>
    <n v="0"/>
    <n v="0"/>
    <n v="13"/>
  </r>
  <r>
    <x v="0"/>
    <x v="0"/>
    <s v="Miss. Catharina Van Impe"/>
    <x v="1"/>
    <n v="10"/>
    <n v="0"/>
    <n v="2"/>
    <n v="24.15"/>
  </r>
  <r>
    <x v="0"/>
    <x v="0"/>
    <s v="Mr. David Charters"/>
    <x v="0"/>
    <n v="21"/>
    <n v="0"/>
    <n v="0"/>
    <n v="7.7332999999999998"/>
  </r>
  <r>
    <x v="0"/>
    <x v="0"/>
    <s v="Mr. Leo Zimmerman"/>
    <x v="0"/>
    <n v="29"/>
    <n v="0"/>
    <n v="0"/>
    <n v="7.875"/>
  </r>
  <r>
    <x v="0"/>
    <x v="0"/>
    <s v="Mrs. Ernst Gilbert (Anna Sigrid Maria Brogren) Danbom"/>
    <x v="1"/>
    <n v="28"/>
    <n v="1"/>
    <n v="1"/>
    <n v="14.4"/>
  </r>
  <r>
    <x v="0"/>
    <x v="0"/>
    <s v="Mr. Viktor Richard Rosblom"/>
    <x v="0"/>
    <n v="18"/>
    <n v="1"/>
    <n v="1"/>
    <n v="20.212499999999999"/>
  </r>
  <r>
    <x v="0"/>
    <x v="0"/>
    <s v="Mr. Phillippe Wiseman"/>
    <x v="0"/>
    <n v="54"/>
    <n v="0"/>
    <n v="0"/>
    <n v="7.25"/>
  </r>
  <r>
    <x v="1"/>
    <x v="2"/>
    <s v="Mrs. Charles V (Ada Maria Winfield) Clarke"/>
    <x v="1"/>
    <n v="28"/>
    <n v="1"/>
    <n v="0"/>
    <n v="26"/>
  </r>
  <r>
    <x v="1"/>
    <x v="2"/>
    <s v="Miss. Kate Florence Phillips"/>
    <x v="1"/>
    <n v="19"/>
    <n v="0"/>
    <n v="0"/>
    <n v="26"/>
  </r>
  <r>
    <x v="0"/>
    <x v="0"/>
    <s v="Mr. James Flynn"/>
    <x v="0"/>
    <n v="28"/>
    <n v="0"/>
    <n v="0"/>
    <n v="7.75"/>
  </r>
  <r>
    <x v="1"/>
    <x v="0"/>
    <s v="Mr. Berk (Berk Trembisky) Pickard"/>
    <x v="0"/>
    <n v="32"/>
    <n v="0"/>
    <n v="0"/>
    <n v="8.0500000000000007"/>
  </r>
  <r>
    <x v="1"/>
    <x v="1"/>
    <s v="Mr. Mauritz Hakan Bjornstrom-Steffansson"/>
    <x v="0"/>
    <n v="28"/>
    <n v="0"/>
    <n v="0"/>
    <n v="26.55"/>
  </r>
  <r>
    <x v="1"/>
    <x v="0"/>
    <s v="Mrs. Percival (Florence Kate White) Thorneycroft"/>
    <x v="1"/>
    <n v="33"/>
    <n v="1"/>
    <n v="0"/>
    <n v="16.100000000000001"/>
  </r>
  <r>
    <x v="1"/>
    <x v="2"/>
    <s v="Mrs. Charles Alexander (Alice Adelaide Slow) Louch"/>
    <x v="1"/>
    <n v="42"/>
    <n v="1"/>
    <n v="0"/>
    <n v="26"/>
  </r>
  <r>
    <x v="0"/>
    <x v="0"/>
    <s v="Mr. Nikolai Erland Kallio"/>
    <x v="0"/>
    <n v="17"/>
    <n v="0"/>
    <n v="0"/>
    <n v="7.125"/>
  </r>
  <r>
    <x v="0"/>
    <x v="1"/>
    <s v="Mr. William Baird Silvey"/>
    <x v="0"/>
    <n v="50"/>
    <n v="1"/>
    <n v="0"/>
    <n v="55.9"/>
  </r>
  <r>
    <x v="1"/>
    <x v="1"/>
    <s v="Miss. Lucile Polk Carter"/>
    <x v="1"/>
    <n v="14"/>
    <n v="1"/>
    <n v="2"/>
    <n v="120"/>
  </r>
  <r>
    <x v="0"/>
    <x v="0"/>
    <s v="Miss. Doolina Margaret Ford"/>
    <x v="1"/>
    <n v="21"/>
    <n v="2"/>
    <n v="2"/>
    <n v="34.375"/>
  </r>
  <r>
    <x v="1"/>
    <x v="2"/>
    <s v="Mrs. Sidney (Emily Hocking) Richards"/>
    <x v="1"/>
    <n v="24"/>
    <n v="2"/>
    <n v="3"/>
    <n v="18.75"/>
  </r>
  <r>
    <x v="0"/>
    <x v="1"/>
    <s v="Mr. Mark Fortune"/>
    <x v="0"/>
    <n v="64"/>
    <n v="1"/>
    <n v="4"/>
    <n v="263"/>
  </r>
  <r>
    <x v="0"/>
    <x v="2"/>
    <s v="Mr. Johan Henrik Johannesson Kvillner"/>
    <x v="0"/>
    <n v="31"/>
    <n v="0"/>
    <n v="0"/>
    <n v="10.5"/>
  </r>
  <r>
    <x v="1"/>
    <x v="2"/>
    <s v="Mrs. Benjamin (Esther Ada Bloomfield) Hart"/>
    <x v="1"/>
    <n v="45"/>
    <n v="1"/>
    <n v="1"/>
    <n v="26.25"/>
  </r>
  <r>
    <x v="0"/>
    <x v="0"/>
    <s v="Mr. Leon Hampe"/>
    <x v="0"/>
    <n v="20"/>
    <n v="0"/>
    <n v="0"/>
    <n v="9.5"/>
  </r>
  <r>
    <x v="0"/>
    <x v="0"/>
    <s v="Mr. Johan Emil Petterson"/>
    <x v="0"/>
    <n v="25"/>
    <n v="1"/>
    <n v="0"/>
    <n v="7.7750000000000004"/>
  </r>
  <r>
    <x v="1"/>
    <x v="2"/>
    <s v="Ms. Encarnacion Reynaldo"/>
    <x v="1"/>
    <n v="28"/>
    <n v="0"/>
    <n v="0"/>
    <n v="13"/>
  </r>
  <r>
    <x v="1"/>
    <x v="0"/>
    <s v="Mr. Bernt Johannesen-Bratthammer"/>
    <x v="0"/>
    <n v="29"/>
    <n v="0"/>
    <n v="0"/>
    <n v="8.1125000000000007"/>
  </r>
  <r>
    <x v="1"/>
    <x v="1"/>
    <s v="Master. Washington Dodge"/>
    <x v="0"/>
    <n v="4"/>
    <n v="0"/>
    <n v="2"/>
    <n v="81.8583"/>
  </r>
  <r>
    <x v="1"/>
    <x v="2"/>
    <s v="Miss. Madeleine Violet Mellinger"/>
    <x v="1"/>
    <n v="13"/>
    <n v="0"/>
    <n v="1"/>
    <n v="19.5"/>
  </r>
  <r>
    <x v="1"/>
    <x v="1"/>
    <s v="Mr. Frederic Kimber Seward"/>
    <x v="0"/>
    <n v="34"/>
    <n v="0"/>
    <n v="0"/>
    <n v="26.55"/>
  </r>
  <r>
    <x v="1"/>
    <x v="0"/>
    <s v="Miss. Marie Catherine Baclini"/>
    <x v="1"/>
    <n v="5"/>
    <n v="2"/>
    <n v="1"/>
    <n v="19.258299999999998"/>
  </r>
  <r>
    <x v="1"/>
    <x v="1"/>
    <s v="Major. Arthur Godfrey Peuchen"/>
    <x v="0"/>
    <n v="52"/>
    <n v="0"/>
    <n v="0"/>
    <n v="30.5"/>
  </r>
  <r>
    <x v="0"/>
    <x v="2"/>
    <s v="Mr. Edwy Arthur West"/>
    <x v="0"/>
    <n v="36"/>
    <n v="1"/>
    <n v="2"/>
    <n v="27.75"/>
  </r>
  <r>
    <x v="0"/>
    <x v="0"/>
    <s v="Mr. Ingvald Olai Olsen Hagland"/>
    <x v="0"/>
    <n v="28"/>
    <n v="1"/>
    <n v="0"/>
    <n v="19.966699999999999"/>
  </r>
  <r>
    <x v="0"/>
    <x v="1"/>
    <s v="Mr. Benjamin Laventall Foreman"/>
    <x v="0"/>
    <n v="30"/>
    <n v="0"/>
    <n v="0"/>
    <n v="27.75"/>
  </r>
  <r>
    <x v="1"/>
    <x v="1"/>
    <s v="Mr. Samuel L Goldenberg"/>
    <x v="0"/>
    <n v="49"/>
    <n v="1"/>
    <n v="0"/>
    <n v="89.104200000000006"/>
  </r>
  <r>
    <x v="0"/>
    <x v="0"/>
    <s v="Mr. Joseph Peduzzi"/>
    <x v="0"/>
    <n v="24"/>
    <n v="0"/>
    <n v="0"/>
    <n v="8.0500000000000007"/>
  </r>
  <r>
    <x v="1"/>
    <x v="0"/>
    <s v="Mr. Ivan Jalsevac"/>
    <x v="0"/>
    <n v="29"/>
    <n v="0"/>
    <n v="0"/>
    <n v="7.8958000000000004"/>
  </r>
  <r>
    <x v="0"/>
    <x v="1"/>
    <s v="Mr. Francis Davis Millet"/>
    <x v="0"/>
    <n v="65"/>
    <n v="0"/>
    <n v="0"/>
    <n v="26.55"/>
  </r>
  <r>
    <x v="1"/>
    <x v="1"/>
    <s v="Mrs. Frederick R (Marion) Kenyon"/>
    <x v="1"/>
    <n v="41"/>
    <n v="1"/>
    <n v="0"/>
    <n v="51.862499999999997"/>
  </r>
  <r>
    <x v="1"/>
    <x v="2"/>
    <s v="Miss. Ellen Toomey"/>
    <x v="1"/>
    <n v="50"/>
    <n v="0"/>
    <n v="0"/>
    <n v="10.5"/>
  </r>
  <r>
    <x v="0"/>
    <x v="0"/>
    <s v="Mr. Maurice O'Connor"/>
    <x v="0"/>
    <n v="17"/>
    <n v="0"/>
    <n v="0"/>
    <n v="7.75"/>
  </r>
  <r>
    <x v="1"/>
    <x v="1"/>
    <s v="Mr. Harry Anderson"/>
    <x v="0"/>
    <n v="48"/>
    <n v="0"/>
    <n v="0"/>
    <n v="26.55"/>
  </r>
  <r>
    <x v="0"/>
    <x v="0"/>
    <s v="Mr. William Morley"/>
    <x v="0"/>
    <n v="34"/>
    <n v="0"/>
    <n v="0"/>
    <n v="8.0500000000000007"/>
  </r>
  <r>
    <x v="0"/>
    <x v="1"/>
    <s v="Mr. Arthur H Gee"/>
    <x v="0"/>
    <n v="47"/>
    <n v="0"/>
    <n v="0"/>
    <n v="38.5"/>
  </r>
  <r>
    <x v="0"/>
    <x v="2"/>
    <s v="Mr. Jacob Christian Milling"/>
    <x v="0"/>
    <n v="48"/>
    <n v="0"/>
    <n v="0"/>
    <n v="13"/>
  </r>
  <r>
    <x v="0"/>
    <x v="0"/>
    <s v="Mr. Simon Maisner"/>
    <x v="0"/>
    <n v="34"/>
    <n v="0"/>
    <n v="0"/>
    <n v="8.0500000000000007"/>
  </r>
  <r>
    <x v="0"/>
    <x v="0"/>
    <s v="Mr. Manuel Estanslas Goncalves"/>
    <x v="0"/>
    <n v="38"/>
    <n v="0"/>
    <n v="0"/>
    <n v="7.05"/>
  </r>
  <r>
    <x v="0"/>
    <x v="2"/>
    <s v="Mr. William Campbell"/>
    <x v="0"/>
    <n v="21"/>
    <n v="0"/>
    <n v="0"/>
    <n v="0"/>
  </r>
  <r>
    <x v="0"/>
    <x v="1"/>
    <s v="Mr. John Montgomery Smart"/>
    <x v="0"/>
    <n v="56"/>
    <n v="0"/>
    <n v="0"/>
    <n v="26.55"/>
  </r>
  <r>
    <x v="0"/>
    <x v="0"/>
    <s v="Mr. James Scanlan"/>
    <x v="0"/>
    <n v="22"/>
    <n v="0"/>
    <n v="0"/>
    <n v="7.7249999999999996"/>
  </r>
  <r>
    <x v="1"/>
    <x v="0"/>
    <s v="Miss. Helene Barbara Baclini"/>
    <x v="1"/>
    <n v="0.75"/>
    <n v="2"/>
    <n v="1"/>
    <n v="19.258299999999998"/>
  </r>
  <r>
    <x v="0"/>
    <x v="0"/>
    <s v="Mr. Arthur Keefe"/>
    <x v="0"/>
    <n v="39"/>
    <n v="0"/>
    <n v="0"/>
    <n v="7.25"/>
  </r>
  <r>
    <x v="0"/>
    <x v="0"/>
    <s v="Mr. Luka Cacic"/>
    <x v="0"/>
    <n v="38"/>
    <n v="0"/>
    <n v="0"/>
    <n v="8.6624999999999996"/>
  </r>
  <r>
    <x v="1"/>
    <x v="2"/>
    <s v="Mrs. Edwy Arthur (Ada Mary Worth) West"/>
    <x v="1"/>
    <n v="33"/>
    <n v="1"/>
    <n v="2"/>
    <n v="27.75"/>
  </r>
  <r>
    <x v="1"/>
    <x v="2"/>
    <s v="Mrs. Amin S (Marie Marthe Thuillard) Jerwan"/>
    <x v="1"/>
    <n v="23"/>
    <n v="0"/>
    <n v="0"/>
    <n v="13.791700000000001"/>
  </r>
  <r>
    <x v="0"/>
    <x v="0"/>
    <s v="Miss. Ida Sofia Strandberg"/>
    <x v="1"/>
    <n v="22"/>
    <n v="0"/>
    <n v="0"/>
    <n v="9.8375000000000004"/>
  </r>
  <r>
    <x v="0"/>
    <x v="1"/>
    <s v="Mr. George Quincy Clifford"/>
    <x v="0"/>
    <n v="40"/>
    <n v="0"/>
    <n v="0"/>
    <n v="52"/>
  </r>
  <r>
    <x v="0"/>
    <x v="2"/>
    <s v="Mr. Peter Henry Renouf"/>
    <x v="0"/>
    <n v="34"/>
    <n v="1"/>
    <n v="0"/>
    <n v="21"/>
  </r>
  <r>
    <x v="0"/>
    <x v="0"/>
    <s v="Mr. Lewis Richard Braund"/>
    <x v="0"/>
    <n v="29"/>
    <n v="1"/>
    <n v="0"/>
    <n v="7.0457999999999998"/>
  </r>
  <r>
    <x v="0"/>
    <x v="0"/>
    <s v="Mr. Nils August Karlsson"/>
    <x v="0"/>
    <n v="22"/>
    <n v="0"/>
    <n v="0"/>
    <n v="7.5208000000000004"/>
  </r>
  <r>
    <x v="1"/>
    <x v="0"/>
    <s v="Miss. Hildur E Hirvonen"/>
    <x v="1"/>
    <n v="2"/>
    <n v="0"/>
    <n v="1"/>
    <n v="12.2875"/>
  </r>
  <r>
    <x v="0"/>
    <x v="0"/>
    <s v="Master. Harold Victor Goodwin"/>
    <x v="0"/>
    <n v="9"/>
    <n v="5"/>
    <n v="2"/>
    <n v="46.9"/>
  </r>
  <r>
    <x v="0"/>
    <x v="2"/>
    <s v="Mr. Anthony Wood Frost"/>
    <x v="0"/>
    <n v="37"/>
    <n v="0"/>
    <n v="0"/>
    <n v="0"/>
  </r>
  <r>
    <x v="0"/>
    <x v="0"/>
    <s v="Mr. Richard Henry Rouse"/>
    <x v="0"/>
    <n v="50"/>
    <n v="0"/>
    <n v="0"/>
    <n v="8.0500000000000007"/>
  </r>
  <r>
    <x v="1"/>
    <x v="0"/>
    <s v="Mrs. (Hedwig) Turkula"/>
    <x v="1"/>
    <n v="63"/>
    <n v="0"/>
    <n v="0"/>
    <n v="9.5875000000000004"/>
  </r>
  <r>
    <x v="1"/>
    <x v="1"/>
    <s v="Mr. Dickinson H Bishop"/>
    <x v="0"/>
    <n v="25"/>
    <n v="1"/>
    <n v="0"/>
    <n v="91.0792"/>
  </r>
  <r>
    <x v="0"/>
    <x v="0"/>
    <s v="Miss. Jeannie Lefebre"/>
    <x v="1"/>
    <n v="8"/>
    <n v="3"/>
    <n v="1"/>
    <n v="25.466699999999999"/>
  </r>
  <r>
    <x v="1"/>
    <x v="1"/>
    <s v="Mrs. Frederick Maxfield (Jane Anne Forby) Hoyt"/>
    <x v="1"/>
    <n v="35"/>
    <n v="1"/>
    <n v="0"/>
    <n v="90"/>
  </r>
  <r>
    <x v="0"/>
    <x v="1"/>
    <s v="Mr. Edward Austin Kent"/>
    <x v="0"/>
    <n v="58"/>
    <n v="0"/>
    <n v="0"/>
    <n v="29.7"/>
  </r>
  <r>
    <x v="0"/>
    <x v="0"/>
    <s v="Mr. Francis William Somerton"/>
    <x v="0"/>
    <n v="30"/>
    <n v="0"/>
    <n v="0"/>
    <n v="8.0500000000000007"/>
  </r>
  <r>
    <x v="1"/>
    <x v="0"/>
    <s v="Master. Eden Leslie Coutts"/>
    <x v="0"/>
    <n v="9"/>
    <n v="1"/>
    <n v="1"/>
    <n v="15.9"/>
  </r>
  <r>
    <x v="0"/>
    <x v="0"/>
    <s v="Mr. Konrad Mathias Reiersen Hagland"/>
    <x v="0"/>
    <n v="19"/>
    <n v="1"/>
    <n v="0"/>
    <n v="19.966699999999999"/>
  </r>
  <r>
    <x v="0"/>
    <x v="0"/>
    <s v="Mr. Einar Windelov"/>
    <x v="0"/>
    <n v="21"/>
    <n v="0"/>
    <n v="0"/>
    <n v="7.25"/>
  </r>
  <r>
    <x v="0"/>
    <x v="1"/>
    <s v="Mr. Harry Markland Molson"/>
    <x v="0"/>
    <n v="55"/>
    <n v="0"/>
    <n v="0"/>
    <n v="30.5"/>
  </r>
  <r>
    <x v="0"/>
    <x v="1"/>
    <s v="Mr. Ramon Artagaveytia"/>
    <x v="0"/>
    <n v="71"/>
    <n v="0"/>
    <n v="0"/>
    <n v="49.504199999999997"/>
  </r>
  <r>
    <x v="0"/>
    <x v="0"/>
    <s v="Mr. Edward Roland Stanley"/>
    <x v="0"/>
    <n v="21"/>
    <n v="0"/>
    <n v="0"/>
    <n v="8.0500000000000007"/>
  </r>
  <r>
    <x v="0"/>
    <x v="0"/>
    <s v="Mr. Gerious Yousseff"/>
    <x v="0"/>
    <n v="26"/>
    <n v="0"/>
    <n v="0"/>
    <n v="14.458299999999999"/>
  </r>
  <r>
    <x v="1"/>
    <x v="1"/>
    <s v="Miss. Elizabeth Mussey Eustis"/>
    <x v="1"/>
    <n v="54"/>
    <n v="1"/>
    <n v="0"/>
    <n v="78.2667"/>
  </r>
  <r>
    <x v="0"/>
    <x v="0"/>
    <s v="Mr. Frederick William Shellard"/>
    <x v="0"/>
    <n v="55"/>
    <n v="0"/>
    <n v="0"/>
    <n v="15.1"/>
  </r>
  <r>
    <x v="0"/>
    <x v="1"/>
    <s v="Mrs. Hudson J C (Bessie Waldo Daniels) Allison"/>
    <x v="1"/>
    <n v="25"/>
    <n v="1"/>
    <n v="2"/>
    <n v="151.55000000000001"/>
  </r>
  <r>
    <x v="0"/>
    <x v="0"/>
    <s v="Mr. Olof Svensson"/>
    <x v="0"/>
    <n v="24"/>
    <n v="0"/>
    <n v="0"/>
    <n v="7.7957999999999998"/>
  </r>
  <r>
    <x v="0"/>
    <x v="0"/>
    <s v="Mr. Petar Calic"/>
    <x v="0"/>
    <n v="17"/>
    <n v="0"/>
    <n v="0"/>
    <n v="8.6624999999999996"/>
  </r>
  <r>
    <x v="0"/>
    <x v="0"/>
    <s v="Miss. Mary Canavan"/>
    <x v="1"/>
    <n v="21"/>
    <n v="0"/>
    <n v="0"/>
    <n v="7.75"/>
  </r>
  <r>
    <x v="0"/>
    <x v="0"/>
    <s v="Miss. Bridget Mary O'Sullivan"/>
    <x v="1"/>
    <n v="21"/>
    <n v="0"/>
    <n v="0"/>
    <n v="7.6292"/>
  </r>
  <r>
    <x v="0"/>
    <x v="0"/>
    <s v="Miss. Kristina Sofia Laitinen"/>
    <x v="1"/>
    <n v="37"/>
    <n v="0"/>
    <n v="0"/>
    <n v="9.5875000000000004"/>
  </r>
  <r>
    <x v="1"/>
    <x v="1"/>
    <s v="Miss. Roberta Maioni"/>
    <x v="1"/>
    <n v="16"/>
    <n v="0"/>
    <n v="0"/>
    <n v="86.5"/>
  </r>
  <r>
    <x v="0"/>
    <x v="1"/>
    <s v="Mr. Victor de Satode Penasco y Castellana"/>
    <x v="0"/>
    <n v="18"/>
    <n v="1"/>
    <n v="0"/>
    <n v="108.9"/>
  </r>
  <r>
    <x v="1"/>
    <x v="2"/>
    <s v="Mrs. Frederick Charles (Jane Richards) Quick"/>
    <x v="1"/>
    <n v="33"/>
    <n v="0"/>
    <n v="2"/>
    <n v="26"/>
  </r>
  <r>
    <x v="1"/>
    <x v="1"/>
    <s v="Mr. George Bradley"/>
    <x v="0"/>
    <n v="37"/>
    <n v="0"/>
    <n v="0"/>
    <n v="26.55"/>
  </r>
  <r>
    <x v="0"/>
    <x v="0"/>
    <s v="Mr. Henry Margido Olsen"/>
    <x v="0"/>
    <n v="28"/>
    <n v="0"/>
    <n v="0"/>
    <n v="22.524999999999999"/>
  </r>
  <r>
    <x v="1"/>
    <x v="0"/>
    <s v="Mr. Fang Lang"/>
    <x v="0"/>
    <n v="26"/>
    <n v="0"/>
    <n v="0"/>
    <n v="56.495800000000003"/>
  </r>
  <r>
    <x v="1"/>
    <x v="0"/>
    <s v="Mr. Eugene Patrick Daly"/>
    <x v="0"/>
    <n v="29"/>
    <n v="0"/>
    <n v="0"/>
    <n v="7.75"/>
  </r>
  <r>
    <x v="0"/>
    <x v="0"/>
    <s v="Mr. James Webber"/>
    <x v="0"/>
    <n v="66"/>
    <n v="0"/>
    <n v="0"/>
    <n v="8.0500000000000007"/>
  </r>
  <r>
    <x v="1"/>
    <x v="1"/>
    <s v="Mr. James Robert McGough"/>
    <x v="0"/>
    <n v="36"/>
    <n v="0"/>
    <n v="0"/>
    <n v="26.287500000000001"/>
  </r>
  <r>
    <x v="1"/>
    <x v="1"/>
    <s v="Mrs. Martin (Elizabeth L. Barrett) Rothschild"/>
    <x v="1"/>
    <n v="54"/>
    <n v="1"/>
    <n v="0"/>
    <n v="59.4"/>
  </r>
  <r>
    <x v="0"/>
    <x v="0"/>
    <s v="Mr. Satio Coleff"/>
    <x v="0"/>
    <n v="24"/>
    <n v="0"/>
    <n v="0"/>
    <n v="7.4958"/>
  </r>
  <r>
    <x v="0"/>
    <x v="1"/>
    <s v="Mr. William Anderson Walker"/>
    <x v="0"/>
    <n v="47"/>
    <n v="0"/>
    <n v="0"/>
    <n v="34.020800000000001"/>
  </r>
  <r>
    <x v="1"/>
    <x v="2"/>
    <s v="Mrs. (Amelia Milley) Lemore"/>
    <x v="1"/>
    <n v="34"/>
    <n v="0"/>
    <n v="0"/>
    <n v="10.5"/>
  </r>
  <r>
    <x v="0"/>
    <x v="0"/>
    <s v="Mr. Patrick Ryan"/>
    <x v="0"/>
    <n v="30"/>
    <n v="0"/>
    <n v="0"/>
    <n v="24.15"/>
  </r>
  <r>
    <x v="1"/>
    <x v="2"/>
    <s v="Mrs. William A (Florence Agnes Hughes) Angle"/>
    <x v="1"/>
    <n v="36"/>
    <n v="1"/>
    <n v="0"/>
    <n v="26"/>
  </r>
  <r>
    <x v="0"/>
    <x v="0"/>
    <s v="Mr. Stefo Pavlovic"/>
    <x v="0"/>
    <n v="32"/>
    <n v="0"/>
    <n v="0"/>
    <n v="7.8958000000000004"/>
  </r>
  <r>
    <x v="1"/>
    <x v="1"/>
    <s v="Miss. Anne Perreault"/>
    <x v="1"/>
    <n v="30"/>
    <n v="0"/>
    <n v="0"/>
    <n v="93.5"/>
  </r>
  <r>
    <x v="0"/>
    <x v="0"/>
    <s v="Mr. Janko Vovk"/>
    <x v="0"/>
    <n v="22"/>
    <n v="0"/>
    <n v="0"/>
    <n v="7.8958000000000004"/>
  </r>
  <r>
    <x v="0"/>
    <x v="0"/>
    <s v="Mr. Sarkis Lahoud"/>
    <x v="0"/>
    <n v="35"/>
    <n v="0"/>
    <n v="0"/>
    <n v="7.2249999999999996"/>
  </r>
  <r>
    <x v="1"/>
    <x v="1"/>
    <s v="Mrs. Louis Albert (Ida Sophia Fischer) Hippach"/>
    <x v="1"/>
    <n v="44"/>
    <n v="0"/>
    <n v="1"/>
    <n v="57.979199999999999"/>
  </r>
  <r>
    <x v="0"/>
    <x v="0"/>
    <s v="Mr. Fared Kassem"/>
    <x v="0"/>
    <n v="18"/>
    <n v="0"/>
    <n v="0"/>
    <n v="7.2291999999999996"/>
  </r>
  <r>
    <x v="0"/>
    <x v="0"/>
    <s v="Mr. James Farrell"/>
    <x v="0"/>
    <n v="40.5"/>
    <n v="0"/>
    <n v="0"/>
    <n v="7.75"/>
  </r>
  <r>
    <x v="1"/>
    <x v="2"/>
    <s v="Miss. Lucy Ridsdale"/>
    <x v="1"/>
    <n v="50"/>
    <n v="0"/>
    <n v="0"/>
    <n v="10.5"/>
  </r>
  <r>
    <x v="0"/>
    <x v="1"/>
    <s v="Mr. John Farthing"/>
    <x v="0"/>
    <n v="49"/>
    <n v="0"/>
    <n v="0"/>
    <n v="221.7792"/>
  </r>
  <r>
    <x v="0"/>
    <x v="0"/>
    <s v="Mr. Johan Werner Salonen"/>
    <x v="0"/>
    <n v="39"/>
    <n v="0"/>
    <n v="0"/>
    <n v="7.9249999999999998"/>
  </r>
  <r>
    <x v="0"/>
    <x v="2"/>
    <s v="Mr. Richard George Hocking"/>
    <x v="0"/>
    <n v="23"/>
    <n v="2"/>
    <n v="1"/>
    <n v="11.5"/>
  </r>
  <r>
    <x v="1"/>
    <x v="2"/>
    <s v="Miss. Phyllis May Quick"/>
    <x v="1"/>
    <n v="2"/>
    <n v="1"/>
    <n v="1"/>
    <n v="26"/>
  </r>
  <r>
    <x v="0"/>
    <x v="0"/>
    <s v="Mr. Nakli Toufik"/>
    <x v="0"/>
    <n v="17"/>
    <n v="0"/>
    <n v="0"/>
    <n v="7.2291999999999996"/>
  </r>
  <r>
    <x v="0"/>
    <x v="0"/>
    <s v="Mr. Joseph Jr Elias"/>
    <x v="0"/>
    <n v="17"/>
    <n v="1"/>
    <n v="1"/>
    <n v="7.2291999999999996"/>
  </r>
  <r>
    <x v="1"/>
    <x v="0"/>
    <s v="Mrs. Catherine (Catherine Rizk) Peter"/>
    <x v="1"/>
    <n v="24"/>
    <n v="0"/>
    <n v="2"/>
    <n v="22.3583"/>
  </r>
  <r>
    <x v="0"/>
    <x v="0"/>
    <s v="Miss. Marija Cacic"/>
    <x v="1"/>
    <n v="30"/>
    <n v="0"/>
    <n v="0"/>
    <n v="8.6624999999999996"/>
  </r>
  <r>
    <x v="1"/>
    <x v="2"/>
    <s v="Miss. Eva Miriam Hart"/>
    <x v="1"/>
    <n v="7"/>
    <n v="0"/>
    <n v="2"/>
    <n v="26.25"/>
  </r>
  <r>
    <x v="0"/>
    <x v="1"/>
    <s v="Major. Archibald Willingham Butt"/>
    <x v="0"/>
    <n v="45"/>
    <n v="0"/>
    <n v="0"/>
    <n v="26.55"/>
  </r>
  <r>
    <x v="1"/>
    <x v="1"/>
    <s v="Miss. Bertha LeRoy"/>
    <x v="1"/>
    <n v="30"/>
    <n v="0"/>
    <n v="0"/>
    <n v="106.425"/>
  </r>
  <r>
    <x v="0"/>
    <x v="0"/>
    <s v="Mr. Samuel Beard Risien"/>
    <x v="0"/>
    <n v="69"/>
    <n v="0"/>
    <n v="0"/>
    <n v="14.5"/>
  </r>
  <r>
    <x v="1"/>
    <x v="1"/>
    <s v="Miss. Hedwig Margaritha Frolicher"/>
    <x v="1"/>
    <n v="22"/>
    <n v="0"/>
    <n v="2"/>
    <n v="49.5"/>
  </r>
  <r>
    <x v="1"/>
    <x v="1"/>
    <s v="Miss. Harriet R Crosby"/>
    <x v="1"/>
    <n v="36"/>
    <n v="0"/>
    <n v="2"/>
    <n v="71"/>
  </r>
  <r>
    <x v="0"/>
    <x v="0"/>
    <s v="Miss. Ingeborg Constanzia Andersson"/>
    <x v="1"/>
    <n v="9"/>
    <n v="4"/>
    <n v="2"/>
    <n v="31.274999999999999"/>
  </r>
  <r>
    <x v="0"/>
    <x v="0"/>
    <s v="Miss. Sigrid Elisabeth Andersson"/>
    <x v="1"/>
    <n v="11"/>
    <n v="4"/>
    <n v="2"/>
    <n v="31.274999999999999"/>
  </r>
  <r>
    <x v="1"/>
    <x v="2"/>
    <s v="Mr. Edward Beane"/>
    <x v="0"/>
    <n v="32"/>
    <n v="1"/>
    <n v="0"/>
    <n v="26"/>
  </r>
  <r>
    <x v="0"/>
    <x v="1"/>
    <s v="Mr. Walter Donald Douglas"/>
    <x v="0"/>
    <n v="50"/>
    <n v="1"/>
    <n v="0"/>
    <n v="106.425"/>
  </r>
  <r>
    <x v="0"/>
    <x v="1"/>
    <s v="Mr. Arthur Ernest Nicholson"/>
    <x v="0"/>
    <n v="64"/>
    <n v="0"/>
    <n v="0"/>
    <n v="26"/>
  </r>
  <r>
    <x v="1"/>
    <x v="2"/>
    <s v="Mrs. Edward (Ethel Clarke) Beane"/>
    <x v="1"/>
    <n v="19"/>
    <n v="1"/>
    <n v="0"/>
    <n v="26"/>
  </r>
  <r>
    <x v="1"/>
    <x v="2"/>
    <s v="Mr. Julian Padro y Manent"/>
    <x v="0"/>
    <n v="27"/>
    <n v="0"/>
    <n v="0"/>
    <n v="13.862500000000001"/>
  </r>
  <r>
    <x v="0"/>
    <x v="0"/>
    <s v="Mr. Frank John Goldsmith"/>
    <x v="0"/>
    <n v="33"/>
    <n v="1"/>
    <n v="1"/>
    <n v="20.524999999999999"/>
  </r>
  <r>
    <x v="1"/>
    <x v="2"/>
    <s v="Master. John Morgan Jr Davies"/>
    <x v="0"/>
    <n v="8"/>
    <n v="1"/>
    <n v="1"/>
    <n v="36.75"/>
  </r>
  <r>
    <x v="1"/>
    <x v="1"/>
    <s v="Mr. John Borland Jr Thayer"/>
    <x v="0"/>
    <n v="17"/>
    <n v="0"/>
    <n v="2"/>
    <n v="110.88330000000001"/>
  </r>
  <r>
    <x v="0"/>
    <x v="2"/>
    <s v="Mr. Percival James R Sharp"/>
    <x v="0"/>
    <n v="27"/>
    <n v="0"/>
    <n v="0"/>
    <n v="26"/>
  </r>
  <r>
    <x v="0"/>
    <x v="0"/>
    <s v="Mr. Timothy O'Brien"/>
    <x v="0"/>
    <n v="21"/>
    <n v="0"/>
    <n v="0"/>
    <n v="7.8292000000000002"/>
  </r>
  <r>
    <x v="1"/>
    <x v="0"/>
    <s v="Mr. Fahim Leeni"/>
    <x v="0"/>
    <n v="22"/>
    <n v="0"/>
    <n v="0"/>
    <n v="7.2249999999999996"/>
  </r>
  <r>
    <x v="1"/>
    <x v="0"/>
    <s v="Miss. Velin Ohman"/>
    <x v="1"/>
    <n v="22"/>
    <n v="0"/>
    <n v="0"/>
    <n v="7.7750000000000004"/>
  </r>
  <r>
    <x v="0"/>
    <x v="1"/>
    <s v="Mr. George Wright"/>
    <x v="0"/>
    <n v="62"/>
    <n v="0"/>
    <n v="0"/>
    <n v="26.55"/>
  </r>
  <r>
    <x v="1"/>
    <x v="1"/>
    <s v="Lady. (Lucille Christiana Sutherland)Duff Gordon"/>
    <x v="1"/>
    <n v="48"/>
    <n v="1"/>
    <n v="0"/>
    <n v="39.6"/>
  </r>
  <r>
    <x v="0"/>
    <x v="1"/>
    <s v="Mr. Victor Robbins"/>
    <x v="0"/>
    <n v="45"/>
    <n v="0"/>
    <n v="0"/>
    <n v="227.52500000000001"/>
  </r>
  <r>
    <x v="1"/>
    <x v="1"/>
    <s v="Mrs. Emil (Tillie Mandelbaum) Taussig"/>
    <x v="1"/>
    <n v="39"/>
    <n v="1"/>
    <n v="1"/>
    <n v="79.650000000000006"/>
  </r>
  <r>
    <x v="1"/>
    <x v="0"/>
    <s v="Mrs. Guillaume Joseph (Emma) de Messemaeker"/>
    <x v="1"/>
    <n v="36"/>
    <n v="1"/>
    <n v="0"/>
    <n v="17.399999999999999"/>
  </r>
  <r>
    <x v="0"/>
    <x v="0"/>
    <s v="Mr. Thomas Rowan Morrow"/>
    <x v="0"/>
    <n v="30"/>
    <n v="0"/>
    <n v="0"/>
    <n v="7.75"/>
  </r>
  <r>
    <x v="0"/>
    <x v="0"/>
    <s v="Mr. Husein Sivic"/>
    <x v="0"/>
    <n v="40"/>
    <n v="0"/>
    <n v="0"/>
    <n v="7.8958000000000004"/>
  </r>
  <r>
    <x v="0"/>
    <x v="2"/>
    <s v="Mr. Robert Douglas Norman"/>
    <x v="0"/>
    <n v="28"/>
    <n v="0"/>
    <n v="0"/>
    <n v="13.5"/>
  </r>
  <r>
    <x v="0"/>
    <x v="0"/>
    <s v="Mr. John Simmons"/>
    <x v="0"/>
    <n v="40"/>
    <n v="0"/>
    <n v="0"/>
    <n v="8.0500000000000007"/>
  </r>
  <r>
    <x v="0"/>
    <x v="0"/>
    <s v="Miss. (Marion Ogden) Meanwell"/>
    <x v="1"/>
    <n v="62"/>
    <n v="0"/>
    <n v="0"/>
    <n v="8.0500000000000007"/>
  </r>
  <r>
    <x v="0"/>
    <x v="0"/>
    <s v="Mr. Alfred J Davies"/>
    <x v="0"/>
    <n v="24"/>
    <n v="2"/>
    <n v="0"/>
    <n v="24.15"/>
  </r>
  <r>
    <x v="0"/>
    <x v="0"/>
    <s v="Mr. Ilia Stoytcheff"/>
    <x v="0"/>
    <n v="19"/>
    <n v="0"/>
    <n v="0"/>
    <n v="7.8958000000000004"/>
  </r>
  <r>
    <x v="0"/>
    <x v="0"/>
    <s v="Mrs. Nils (Alma Cornelia Berglund) Palsson"/>
    <x v="1"/>
    <n v="29"/>
    <n v="0"/>
    <n v="4"/>
    <n v="21.074999999999999"/>
  </r>
  <r>
    <x v="0"/>
    <x v="0"/>
    <s v="Mr. Tannous Doharr"/>
    <x v="0"/>
    <n v="28"/>
    <n v="0"/>
    <n v="0"/>
    <n v="7.2291999999999996"/>
  </r>
  <r>
    <x v="1"/>
    <x v="0"/>
    <s v="Mr. Carl Jonsson"/>
    <x v="0"/>
    <n v="32"/>
    <n v="0"/>
    <n v="0"/>
    <n v="7.8541999999999996"/>
  </r>
  <r>
    <x v="1"/>
    <x v="2"/>
    <s v="Mr. George Harris"/>
    <x v="0"/>
    <n v="62"/>
    <n v="0"/>
    <n v="0"/>
    <n v="10.5"/>
  </r>
  <r>
    <x v="1"/>
    <x v="1"/>
    <s v="Mrs. Edward Dale (Charlotte Lamson) Appleton"/>
    <x v="1"/>
    <n v="53"/>
    <n v="2"/>
    <n v="0"/>
    <n v="51.479199999999999"/>
  </r>
  <r>
    <x v="1"/>
    <x v="1"/>
    <s v="Mr. John Irwin Flynn"/>
    <x v="0"/>
    <n v="36"/>
    <n v="0"/>
    <n v="0"/>
    <n v="26.387499999999999"/>
  </r>
  <r>
    <x v="1"/>
    <x v="0"/>
    <s v="Miss. Mary Kelly"/>
    <x v="1"/>
    <n v="22"/>
    <n v="0"/>
    <n v="0"/>
    <n v="7.75"/>
  </r>
  <r>
    <x v="0"/>
    <x v="0"/>
    <s v="Mr. Alfred George John Rush"/>
    <x v="0"/>
    <n v="16"/>
    <n v="0"/>
    <n v="0"/>
    <n v="8.0500000000000007"/>
  </r>
  <r>
    <x v="0"/>
    <x v="0"/>
    <s v="Mr. George Patchett"/>
    <x v="0"/>
    <n v="19"/>
    <n v="0"/>
    <n v="0"/>
    <n v="14.5"/>
  </r>
  <r>
    <x v="1"/>
    <x v="2"/>
    <s v="Miss. Ethel Garside"/>
    <x v="1"/>
    <n v="34"/>
    <n v="0"/>
    <n v="0"/>
    <n v="13"/>
  </r>
  <r>
    <x v="1"/>
    <x v="1"/>
    <s v="Mrs. William Baird (Alice Munger) Silvey"/>
    <x v="1"/>
    <n v="39"/>
    <n v="1"/>
    <n v="0"/>
    <n v="55.9"/>
  </r>
  <r>
    <x v="0"/>
    <x v="0"/>
    <s v="Mrs. Joseph (Maria Elias) Caram"/>
    <x v="1"/>
    <n v="18"/>
    <n v="1"/>
    <n v="0"/>
    <n v="14.458299999999999"/>
  </r>
  <r>
    <x v="1"/>
    <x v="0"/>
    <s v="Mr. Eiriik Jussila"/>
    <x v="0"/>
    <n v="32"/>
    <n v="0"/>
    <n v="0"/>
    <n v="7.9249999999999998"/>
  </r>
  <r>
    <x v="1"/>
    <x v="2"/>
    <s v="Miss. Julie Rachel Christy"/>
    <x v="1"/>
    <n v="25"/>
    <n v="1"/>
    <n v="1"/>
    <n v="30"/>
  </r>
  <r>
    <x v="1"/>
    <x v="1"/>
    <s v="Mrs. John Borland (Marian Longstreth Morris) Thayer"/>
    <x v="1"/>
    <n v="39"/>
    <n v="1"/>
    <n v="1"/>
    <n v="110.88330000000001"/>
  </r>
  <r>
    <x v="0"/>
    <x v="2"/>
    <s v="Mr. William James Downton"/>
    <x v="0"/>
    <n v="54"/>
    <n v="0"/>
    <n v="0"/>
    <n v="26"/>
  </r>
  <r>
    <x v="0"/>
    <x v="1"/>
    <s v="Mr. John Hugo Ross"/>
    <x v="0"/>
    <n v="36"/>
    <n v="0"/>
    <n v="0"/>
    <n v="40.125"/>
  </r>
  <r>
    <x v="0"/>
    <x v="0"/>
    <s v="Mr. Uscher Paulner"/>
    <x v="0"/>
    <n v="16"/>
    <n v="0"/>
    <n v="0"/>
    <n v="8.7125000000000004"/>
  </r>
  <r>
    <x v="1"/>
    <x v="1"/>
    <s v="Miss. Ruth Taussig"/>
    <x v="1"/>
    <n v="18"/>
    <n v="0"/>
    <n v="2"/>
    <n v="79.650000000000006"/>
  </r>
  <r>
    <x v="0"/>
    <x v="2"/>
    <s v="Mr. John Denzil Jarvis"/>
    <x v="0"/>
    <n v="47"/>
    <n v="0"/>
    <n v="0"/>
    <n v="15"/>
  </r>
  <r>
    <x v="1"/>
    <x v="1"/>
    <s v="Mr. Maxmillian Frolicher-Stehli"/>
    <x v="0"/>
    <n v="60"/>
    <n v="1"/>
    <n v="1"/>
    <n v="79.2"/>
  </r>
  <r>
    <x v="0"/>
    <x v="0"/>
    <s v="Mr. Eliezer Gilinski"/>
    <x v="0"/>
    <n v="22"/>
    <n v="0"/>
    <n v="0"/>
    <n v="8.0500000000000007"/>
  </r>
  <r>
    <x v="0"/>
    <x v="0"/>
    <s v="Mr. Joseph Murdlin"/>
    <x v="0"/>
    <n v="22"/>
    <n v="0"/>
    <n v="0"/>
    <n v="8.0500000000000007"/>
  </r>
  <r>
    <x v="0"/>
    <x v="0"/>
    <s v="Mr. Matti Rintamaki"/>
    <x v="0"/>
    <n v="35"/>
    <n v="0"/>
    <n v="0"/>
    <n v="7.125"/>
  </r>
  <r>
    <x v="1"/>
    <x v="1"/>
    <s v="Mrs. Walter Bertram (Martha Eustis) Stephenson"/>
    <x v="1"/>
    <n v="52"/>
    <n v="1"/>
    <n v="0"/>
    <n v="78.2667"/>
  </r>
  <r>
    <x v="0"/>
    <x v="0"/>
    <s v="Mr. William James Elsbury"/>
    <x v="0"/>
    <n v="47"/>
    <n v="0"/>
    <n v="0"/>
    <n v="7.25"/>
  </r>
  <r>
    <x v="0"/>
    <x v="0"/>
    <s v="Miss. Mary Bourke"/>
    <x v="1"/>
    <n v="40"/>
    <n v="0"/>
    <n v="2"/>
    <n v="7.75"/>
  </r>
  <r>
    <x v="0"/>
    <x v="2"/>
    <s v="Mr. John Henry Chapman"/>
    <x v="0"/>
    <n v="37"/>
    <n v="1"/>
    <n v="0"/>
    <n v="26"/>
  </r>
  <r>
    <x v="0"/>
    <x v="0"/>
    <s v="Mr. Jean Baptiste Van Impe"/>
    <x v="0"/>
    <n v="36"/>
    <n v="1"/>
    <n v="1"/>
    <n v="24.15"/>
  </r>
  <r>
    <x v="1"/>
    <x v="2"/>
    <s v="Miss. Jessie Wills Leitch"/>
    <x v="1"/>
    <n v="31"/>
    <n v="0"/>
    <n v="0"/>
    <n v="33"/>
  </r>
  <r>
    <x v="0"/>
    <x v="0"/>
    <s v="Mr. Alfred Johnson"/>
    <x v="0"/>
    <n v="49"/>
    <n v="0"/>
    <n v="0"/>
    <n v="0"/>
  </r>
  <r>
    <x v="0"/>
    <x v="0"/>
    <s v="Mr. Hanna Boulos"/>
    <x v="0"/>
    <n v="18"/>
    <n v="0"/>
    <n v="0"/>
    <n v="7.2249999999999996"/>
  </r>
  <r>
    <x v="1"/>
    <x v="1"/>
    <s v="Sir. Cosmo Edmund Duff Gordon"/>
    <x v="0"/>
    <n v="49"/>
    <n v="1"/>
    <n v="0"/>
    <n v="56.929200000000002"/>
  </r>
  <r>
    <x v="1"/>
    <x v="2"/>
    <s v="Mrs. Sidney Samuel (Amy Frances Christy) Jacobsohn"/>
    <x v="1"/>
    <n v="24"/>
    <n v="2"/>
    <n v="1"/>
    <n v="27"/>
  </r>
  <r>
    <x v="0"/>
    <x v="0"/>
    <s v="Mr. Petco Slabenoff"/>
    <x v="0"/>
    <n v="42"/>
    <n v="0"/>
    <n v="0"/>
    <n v="7.8958000000000004"/>
  </r>
  <r>
    <x v="0"/>
    <x v="1"/>
    <s v="Mr. Charles H Harrington"/>
    <x v="0"/>
    <n v="37"/>
    <n v="0"/>
    <n v="0"/>
    <n v="42.4"/>
  </r>
  <r>
    <x v="0"/>
    <x v="0"/>
    <s v="Mr. Ernst William Torber"/>
    <x v="0"/>
    <n v="44"/>
    <n v="0"/>
    <n v="0"/>
    <n v="8.0500000000000007"/>
  </r>
  <r>
    <x v="1"/>
    <x v="1"/>
    <s v="Mr. Harry Homer"/>
    <x v="0"/>
    <n v="35"/>
    <n v="0"/>
    <n v="0"/>
    <n v="26.55"/>
  </r>
  <r>
    <x v="0"/>
    <x v="0"/>
    <s v="Mr. Edvard Bengtsson Lindell"/>
    <x v="0"/>
    <n v="36"/>
    <n v="1"/>
    <n v="0"/>
    <n v="15.55"/>
  </r>
  <r>
    <x v="0"/>
    <x v="0"/>
    <s v="Mr. Milan Karaic"/>
    <x v="0"/>
    <n v="30"/>
    <n v="0"/>
    <n v="0"/>
    <n v="7.8958000000000004"/>
  </r>
  <r>
    <x v="1"/>
    <x v="1"/>
    <s v="Mr. Robert Williams Daniel"/>
    <x v="0"/>
    <n v="27"/>
    <n v="0"/>
    <n v="0"/>
    <n v="30.5"/>
  </r>
  <r>
    <x v="1"/>
    <x v="2"/>
    <s v="Mrs. Joseph (Juliette Marie Louise Lafargue) Laroche"/>
    <x v="1"/>
    <n v="22"/>
    <n v="1"/>
    <n v="2"/>
    <n v="41.5792"/>
  </r>
  <r>
    <x v="1"/>
    <x v="1"/>
    <s v="Miss. Elizabeth W Shutes"/>
    <x v="1"/>
    <n v="40"/>
    <n v="0"/>
    <n v="0"/>
    <n v="153.46250000000001"/>
  </r>
  <r>
    <x v="0"/>
    <x v="0"/>
    <s v="Mrs. Anders Johan (Alfrida Konstantia Brogren) Andersson"/>
    <x v="1"/>
    <n v="39"/>
    <n v="1"/>
    <n v="5"/>
    <n v="31.274999999999999"/>
  </r>
  <r>
    <x v="0"/>
    <x v="0"/>
    <s v="Mr. Jose Neto Jardin"/>
    <x v="0"/>
    <n v="21"/>
    <n v="0"/>
    <n v="0"/>
    <n v="7.05"/>
  </r>
  <r>
    <x v="1"/>
    <x v="0"/>
    <s v="Miss. Margaret Jane Murphy"/>
    <x v="1"/>
    <n v="18"/>
    <n v="1"/>
    <n v="0"/>
    <n v="15.5"/>
  </r>
  <r>
    <x v="0"/>
    <x v="0"/>
    <s v="Mr. John Horgan"/>
    <x v="0"/>
    <n v="22"/>
    <n v="0"/>
    <n v="0"/>
    <n v="7.75"/>
  </r>
  <r>
    <x v="0"/>
    <x v="0"/>
    <s v="Mr. William Alfred Brocklebank"/>
    <x v="0"/>
    <n v="35"/>
    <n v="0"/>
    <n v="0"/>
    <n v="8.0500000000000007"/>
  </r>
  <r>
    <x v="1"/>
    <x v="2"/>
    <s v="Miss. Alice Herman"/>
    <x v="1"/>
    <n v="24"/>
    <n v="1"/>
    <n v="2"/>
    <n v="65"/>
  </r>
  <r>
    <x v="0"/>
    <x v="0"/>
    <s v="Mr. Ernst Gilbert Danbom"/>
    <x v="0"/>
    <n v="34"/>
    <n v="1"/>
    <n v="1"/>
    <n v="14.4"/>
  </r>
  <r>
    <x v="0"/>
    <x v="0"/>
    <s v="Mrs. William Arthur (Cordelia K Stanlick) Lobb"/>
    <x v="1"/>
    <n v="26"/>
    <n v="1"/>
    <n v="0"/>
    <n v="16.100000000000001"/>
  </r>
  <r>
    <x v="1"/>
    <x v="2"/>
    <s v="Miss. Marion Louise Becker"/>
    <x v="1"/>
    <n v="4"/>
    <n v="2"/>
    <n v="1"/>
    <n v="39"/>
  </r>
  <r>
    <x v="0"/>
    <x v="2"/>
    <s v="Mr. Lawrence Gavey"/>
    <x v="0"/>
    <n v="26"/>
    <n v="0"/>
    <n v="0"/>
    <n v="10.5"/>
  </r>
  <r>
    <x v="0"/>
    <x v="0"/>
    <s v="Mr. Antoni Yasbeck"/>
    <x v="0"/>
    <n v="27"/>
    <n v="1"/>
    <n v="0"/>
    <n v="14.4542"/>
  </r>
  <r>
    <x v="1"/>
    <x v="1"/>
    <s v="Mr. Edwin Nelson Jr Kimball"/>
    <x v="0"/>
    <n v="42"/>
    <n v="1"/>
    <n v="0"/>
    <n v="52.554200000000002"/>
  </r>
  <r>
    <x v="1"/>
    <x v="0"/>
    <s v="Mr. Sahid Nakid"/>
    <x v="0"/>
    <n v="20"/>
    <n v="1"/>
    <n v="1"/>
    <n v="15.7417"/>
  </r>
  <r>
    <x v="0"/>
    <x v="0"/>
    <s v="Mr. Henry Damsgaard Hansen"/>
    <x v="0"/>
    <n v="21"/>
    <n v="0"/>
    <n v="0"/>
    <n v="7.8541999999999996"/>
  </r>
  <r>
    <x v="0"/>
    <x v="0"/>
    <s v="Mr. David John Bowen"/>
    <x v="0"/>
    <n v="21"/>
    <n v="0"/>
    <n v="0"/>
    <n v="16.100000000000001"/>
  </r>
  <r>
    <x v="0"/>
    <x v="1"/>
    <s v="Mr. Frederick Sutton"/>
    <x v="0"/>
    <n v="61"/>
    <n v="0"/>
    <n v="0"/>
    <n v="32.320799999999998"/>
  </r>
  <r>
    <x v="0"/>
    <x v="2"/>
    <s v="Rev. Charles Leonard Kirkland"/>
    <x v="0"/>
    <n v="57"/>
    <n v="0"/>
    <n v="0"/>
    <n v="12.35"/>
  </r>
  <r>
    <x v="1"/>
    <x v="1"/>
    <s v="Miss. Gretchen Fiske Longley"/>
    <x v="1"/>
    <n v="21"/>
    <n v="0"/>
    <n v="0"/>
    <n v="77.958299999999994"/>
  </r>
  <r>
    <x v="0"/>
    <x v="0"/>
    <s v="Mr. Guentcho Bostandyeff"/>
    <x v="0"/>
    <n v="26"/>
    <n v="0"/>
    <n v="0"/>
    <n v="7.8958000000000004"/>
  </r>
  <r>
    <x v="0"/>
    <x v="0"/>
    <s v="Mr. Patrick D O'Connell"/>
    <x v="0"/>
    <n v="18"/>
    <n v="0"/>
    <n v="0"/>
    <n v="7.7332999999999998"/>
  </r>
  <r>
    <x v="1"/>
    <x v="1"/>
    <s v="Mr. Algernon Henry Wilson Barkworth"/>
    <x v="0"/>
    <n v="80"/>
    <n v="0"/>
    <n v="0"/>
    <n v="30"/>
  </r>
  <r>
    <x v="0"/>
    <x v="0"/>
    <s v="Mr. Johan Svensson Lundahl"/>
    <x v="0"/>
    <n v="51"/>
    <n v="0"/>
    <n v="0"/>
    <n v="7.0541999999999998"/>
  </r>
  <r>
    <x v="1"/>
    <x v="1"/>
    <s v="Dr. Max Stahelin-Maeglin"/>
    <x v="0"/>
    <n v="32"/>
    <n v="0"/>
    <n v="0"/>
    <n v="30.5"/>
  </r>
  <r>
    <x v="0"/>
    <x v="1"/>
    <s v="Mr. William Henry Marsh Parr"/>
    <x v="0"/>
    <n v="30"/>
    <n v="0"/>
    <n v="0"/>
    <n v="0"/>
  </r>
  <r>
    <x v="0"/>
    <x v="0"/>
    <s v="Miss. Mabel Skoog"/>
    <x v="1"/>
    <n v="9"/>
    <n v="3"/>
    <n v="2"/>
    <n v="27.9"/>
  </r>
  <r>
    <x v="1"/>
    <x v="2"/>
    <s v="Miss. Mary Davis"/>
    <x v="1"/>
    <n v="28"/>
    <n v="0"/>
    <n v="0"/>
    <n v="13"/>
  </r>
  <r>
    <x v="0"/>
    <x v="0"/>
    <s v="Mr. Antti Gustaf Leinonen"/>
    <x v="0"/>
    <n v="32"/>
    <n v="0"/>
    <n v="0"/>
    <n v="7.9249999999999998"/>
  </r>
  <r>
    <x v="0"/>
    <x v="2"/>
    <s v="Mr. Harvey Collyer"/>
    <x v="0"/>
    <n v="31"/>
    <n v="1"/>
    <n v="1"/>
    <n v="26.25"/>
  </r>
  <r>
    <x v="0"/>
    <x v="0"/>
    <s v="Mrs. Juha (Maria Emilia Ojala) Panula"/>
    <x v="1"/>
    <n v="41"/>
    <n v="0"/>
    <n v="5"/>
    <n v="39.6875"/>
  </r>
  <r>
    <x v="0"/>
    <x v="0"/>
    <s v="Mr. Percival Thorneycroft"/>
    <x v="0"/>
    <n v="37"/>
    <n v="1"/>
    <n v="0"/>
    <n v="16.100000000000001"/>
  </r>
  <r>
    <x v="0"/>
    <x v="0"/>
    <s v="Mr. Hans Peder Jensen"/>
    <x v="0"/>
    <n v="20"/>
    <n v="0"/>
    <n v="0"/>
    <n v="7.8541999999999996"/>
  </r>
  <r>
    <x v="1"/>
    <x v="1"/>
    <s v="Mlle. Emma Sagesser"/>
    <x v="1"/>
    <n v="24"/>
    <n v="0"/>
    <n v="0"/>
    <n v="69.3"/>
  </r>
  <r>
    <x v="0"/>
    <x v="0"/>
    <s v="Miss. Margit Elizabeth Skoog"/>
    <x v="1"/>
    <n v="2"/>
    <n v="3"/>
    <n v="2"/>
    <n v="27.9"/>
  </r>
  <r>
    <x v="1"/>
    <x v="0"/>
    <s v="Mr. Choong Foo"/>
    <x v="0"/>
    <n v="32"/>
    <n v="0"/>
    <n v="0"/>
    <n v="56.495800000000003"/>
  </r>
  <r>
    <x v="1"/>
    <x v="0"/>
    <s v="Miss. Eugenie Baclini"/>
    <x v="1"/>
    <n v="0.75"/>
    <n v="2"/>
    <n v="1"/>
    <n v="19.258299999999998"/>
  </r>
  <r>
    <x v="1"/>
    <x v="1"/>
    <s v="Mr. Henry Sleeper Harper"/>
    <x v="0"/>
    <n v="48"/>
    <n v="1"/>
    <n v="0"/>
    <n v="76.729200000000006"/>
  </r>
  <r>
    <x v="0"/>
    <x v="0"/>
    <s v="Mr. Liudevit Cor"/>
    <x v="0"/>
    <n v="19"/>
    <n v="0"/>
    <n v="0"/>
    <n v="7.8958000000000004"/>
  </r>
  <r>
    <x v="1"/>
    <x v="1"/>
    <s v="Col. Oberst Alfons Simonius-Blumer"/>
    <x v="0"/>
    <n v="56"/>
    <n v="0"/>
    <n v="0"/>
    <n v="35.5"/>
  </r>
  <r>
    <x v="0"/>
    <x v="0"/>
    <s v="Mr. Edward Willey"/>
    <x v="0"/>
    <n v="21"/>
    <n v="0"/>
    <n v="0"/>
    <n v="7.55"/>
  </r>
  <r>
    <x v="1"/>
    <x v="0"/>
    <s v="Miss. Amy Zillah Elsie Stanley"/>
    <x v="1"/>
    <n v="23"/>
    <n v="0"/>
    <n v="0"/>
    <n v="7.55"/>
  </r>
  <r>
    <x v="0"/>
    <x v="0"/>
    <s v="Mr. Mito Mitkoff"/>
    <x v="0"/>
    <n v="23"/>
    <n v="0"/>
    <n v="0"/>
    <n v="7.8958000000000004"/>
  </r>
  <r>
    <x v="1"/>
    <x v="2"/>
    <s v="Miss. Elsie Doling"/>
    <x v="1"/>
    <n v="18"/>
    <n v="0"/>
    <n v="1"/>
    <n v="23"/>
  </r>
  <r>
    <x v="0"/>
    <x v="0"/>
    <s v="Mr. Johannes Halvorsen Kalvik"/>
    <x v="0"/>
    <n v="21"/>
    <n v="0"/>
    <n v="0"/>
    <n v="8.4332999999999991"/>
  </r>
  <r>
    <x v="1"/>
    <x v="0"/>
    <s v="Miss. Hanora O'Leary"/>
    <x v="1"/>
    <n v="16"/>
    <n v="0"/>
    <n v="0"/>
    <n v="7.8292000000000002"/>
  </r>
  <r>
    <x v="0"/>
    <x v="0"/>
    <s v="Miss. Hanora Hegarty"/>
    <x v="1"/>
    <n v="18"/>
    <n v="0"/>
    <n v="0"/>
    <n v="6.75"/>
  </r>
  <r>
    <x v="0"/>
    <x v="2"/>
    <s v="Mr. Leonard Mark Hickman"/>
    <x v="0"/>
    <n v="24"/>
    <n v="2"/>
    <n v="0"/>
    <n v="73.5"/>
  </r>
  <r>
    <x v="0"/>
    <x v="0"/>
    <s v="Mr. Alexander Radeff"/>
    <x v="0"/>
    <n v="27"/>
    <n v="0"/>
    <n v="0"/>
    <n v="7.8958000000000004"/>
  </r>
  <r>
    <x v="0"/>
    <x v="0"/>
    <s v="Mrs. John (Catherine) Bourke"/>
    <x v="1"/>
    <n v="32"/>
    <n v="1"/>
    <n v="1"/>
    <n v="15.5"/>
  </r>
  <r>
    <x v="0"/>
    <x v="2"/>
    <s v="Mr. George Floyd Eitemiller"/>
    <x v="0"/>
    <n v="23"/>
    <n v="0"/>
    <n v="0"/>
    <n v="13"/>
  </r>
  <r>
    <x v="0"/>
    <x v="1"/>
    <s v="Mr. Arthur Webster Newell"/>
    <x v="0"/>
    <n v="58"/>
    <n v="0"/>
    <n v="2"/>
    <n v="113.27500000000001"/>
  </r>
  <r>
    <x v="1"/>
    <x v="1"/>
    <s v="Dr. Henry William Frauenthal"/>
    <x v="0"/>
    <n v="50"/>
    <n v="2"/>
    <n v="0"/>
    <n v="133.65"/>
  </r>
  <r>
    <x v="0"/>
    <x v="0"/>
    <s v="Mr. Mohamed Badt"/>
    <x v="0"/>
    <n v="40"/>
    <n v="0"/>
    <n v="0"/>
    <n v="7.2249999999999996"/>
  </r>
  <r>
    <x v="0"/>
    <x v="1"/>
    <s v="Mr. Edward Pomeroy Colley"/>
    <x v="0"/>
    <n v="47"/>
    <n v="0"/>
    <n v="0"/>
    <n v="25.587499999999999"/>
  </r>
  <r>
    <x v="0"/>
    <x v="0"/>
    <s v="Mr. Peju Coleff"/>
    <x v="0"/>
    <n v="36"/>
    <n v="0"/>
    <n v="0"/>
    <n v="7.4958"/>
  </r>
  <r>
    <x v="1"/>
    <x v="0"/>
    <s v="Mr. Eino William Lindqvist"/>
    <x v="0"/>
    <n v="20"/>
    <n v="1"/>
    <n v="0"/>
    <n v="7.9249999999999998"/>
  </r>
  <r>
    <x v="0"/>
    <x v="2"/>
    <s v="Mr. Lewis Hickman"/>
    <x v="0"/>
    <n v="32"/>
    <n v="2"/>
    <n v="0"/>
    <n v="73.5"/>
  </r>
  <r>
    <x v="0"/>
    <x v="2"/>
    <s v="Mr. Reginald Fenton Butler"/>
    <x v="0"/>
    <n v="25"/>
    <n v="0"/>
    <n v="0"/>
    <n v="13"/>
  </r>
  <r>
    <x v="0"/>
    <x v="0"/>
    <s v="Mr. Knud Paust Rommetvedt"/>
    <x v="0"/>
    <n v="49"/>
    <n v="0"/>
    <n v="0"/>
    <n v="7.7750000000000004"/>
  </r>
  <r>
    <x v="0"/>
    <x v="0"/>
    <s v="Mr. Jacob Cook"/>
    <x v="0"/>
    <n v="43"/>
    <n v="0"/>
    <n v="0"/>
    <n v="8.0500000000000007"/>
  </r>
  <r>
    <x v="1"/>
    <x v="1"/>
    <s v="Mrs. Elmer Zebley (Juliet Cummins Wright) Taylor"/>
    <x v="1"/>
    <n v="48"/>
    <n v="1"/>
    <n v="0"/>
    <n v="52"/>
  </r>
  <r>
    <x v="1"/>
    <x v="2"/>
    <s v="Mrs. Thomas William Solomon (Elizabeth Catherine Ford) Brown"/>
    <x v="1"/>
    <n v="40"/>
    <n v="1"/>
    <n v="1"/>
    <n v="39"/>
  </r>
  <r>
    <x v="0"/>
    <x v="1"/>
    <s v="Mr. Thornton Davidson"/>
    <x v="0"/>
    <n v="31"/>
    <n v="1"/>
    <n v="0"/>
    <n v="52"/>
  </r>
  <r>
    <x v="0"/>
    <x v="2"/>
    <s v="Mr. Henry Michael Mitchell"/>
    <x v="0"/>
    <n v="70"/>
    <n v="0"/>
    <n v="0"/>
    <n v="10.5"/>
  </r>
  <r>
    <x v="1"/>
    <x v="2"/>
    <s v="Mr. Charles Wilhelms"/>
    <x v="0"/>
    <n v="31"/>
    <n v="0"/>
    <n v="0"/>
    <n v="13"/>
  </r>
  <r>
    <x v="0"/>
    <x v="2"/>
    <s v="Mr. Ennis Hastings Watson"/>
    <x v="0"/>
    <n v="19"/>
    <n v="0"/>
    <n v="0"/>
    <n v="0"/>
  </r>
  <r>
    <x v="0"/>
    <x v="0"/>
    <s v="Mr. Gustaf Hjalmar Edvardsson"/>
    <x v="0"/>
    <n v="18"/>
    <n v="0"/>
    <n v="0"/>
    <n v="7.7750000000000004"/>
  </r>
  <r>
    <x v="0"/>
    <x v="0"/>
    <s v="Mr. Frederick Charles Sawyer"/>
    <x v="0"/>
    <n v="24.5"/>
    <n v="0"/>
    <n v="0"/>
    <n v="8.0500000000000007"/>
  </r>
  <r>
    <x v="1"/>
    <x v="0"/>
    <s v="Miss. Anna Sofia Turja"/>
    <x v="1"/>
    <n v="18"/>
    <n v="0"/>
    <n v="0"/>
    <n v="9.8416999999999994"/>
  </r>
  <r>
    <x v="0"/>
    <x v="0"/>
    <s v="Mrs. Frederick (Augusta Tyler) Goodwin"/>
    <x v="1"/>
    <n v="43"/>
    <n v="1"/>
    <n v="6"/>
    <n v="46.9"/>
  </r>
  <r>
    <x v="1"/>
    <x v="1"/>
    <s v="Mr. Thomas Drake Martinez Cardeza"/>
    <x v="0"/>
    <n v="36"/>
    <n v="0"/>
    <n v="1"/>
    <n v="512.32920000000001"/>
  </r>
  <r>
    <x v="0"/>
    <x v="0"/>
    <s v="Miss. Katie Peters"/>
    <x v="1"/>
    <n v="28"/>
    <n v="0"/>
    <n v="0"/>
    <n v="8.1374999999999993"/>
  </r>
  <r>
    <x v="1"/>
    <x v="1"/>
    <s v="Mr. Hammad Hassab"/>
    <x v="0"/>
    <n v="27"/>
    <n v="0"/>
    <n v="0"/>
    <n v="76.729200000000006"/>
  </r>
  <r>
    <x v="0"/>
    <x v="0"/>
    <s v="Mr. Thor Anderson Olsvigen"/>
    <x v="0"/>
    <n v="20"/>
    <n v="0"/>
    <n v="0"/>
    <n v="9.2249999999999996"/>
  </r>
  <r>
    <x v="0"/>
    <x v="0"/>
    <s v="Mr. Charles Edward Goodwin"/>
    <x v="0"/>
    <n v="14"/>
    <n v="5"/>
    <n v="2"/>
    <n v="46.9"/>
  </r>
  <r>
    <x v="0"/>
    <x v="2"/>
    <s v="Mr. Thomas William Solomon Brown"/>
    <x v="0"/>
    <n v="60"/>
    <n v="1"/>
    <n v="1"/>
    <n v="39"/>
  </r>
  <r>
    <x v="0"/>
    <x v="2"/>
    <s v="Mr. Joseph Philippe Lemercier Laroche"/>
    <x v="0"/>
    <n v="25"/>
    <n v="1"/>
    <n v="2"/>
    <n v="41.5792"/>
  </r>
  <r>
    <x v="0"/>
    <x v="0"/>
    <s v="Mr. Jaako Arnold Panula"/>
    <x v="0"/>
    <n v="14"/>
    <n v="4"/>
    <n v="1"/>
    <n v="39.6875"/>
  </r>
  <r>
    <x v="0"/>
    <x v="0"/>
    <s v="Mr. Branko Dakic"/>
    <x v="0"/>
    <n v="19"/>
    <n v="0"/>
    <n v="0"/>
    <n v="10.1708"/>
  </r>
  <r>
    <x v="0"/>
    <x v="0"/>
    <s v="Mr. Eberhard Thelander Fischer"/>
    <x v="0"/>
    <n v="18"/>
    <n v="0"/>
    <n v="0"/>
    <n v="7.7957999999999998"/>
  </r>
  <r>
    <x v="1"/>
    <x v="1"/>
    <s v="Miss. Georgette Alexandra Madill"/>
    <x v="1"/>
    <n v="15"/>
    <n v="0"/>
    <n v="1"/>
    <n v="211.33750000000001"/>
  </r>
  <r>
    <x v="1"/>
    <x v="1"/>
    <s v="Mr. Albert Adrian Dick"/>
    <x v="0"/>
    <n v="31"/>
    <n v="1"/>
    <n v="0"/>
    <n v="57"/>
  </r>
  <r>
    <x v="1"/>
    <x v="0"/>
    <s v="Miss. Manca Karun"/>
    <x v="1"/>
    <n v="4"/>
    <n v="0"/>
    <n v="1"/>
    <n v="13.416700000000001"/>
  </r>
  <r>
    <x v="1"/>
    <x v="0"/>
    <s v="Mr. Ali Lam"/>
    <x v="0"/>
    <n v="37"/>
    <n v="0"/>
    <n v="0"/>
    <n v="56.495800000000003"/>
  </r>
  <r>
    <x v="0"/>
    <x v="0"/>
    <s v="Mr. Khalil Saad"/>
    <x v="0"/>
    <n v="25"/>
    <n v="0"/>
    <n v="0"/>
    <n v="7.2249999999999996"/>
  </r>
  <r>
    <x v="0"/>
    <x v="1"/>
    <s v="Col. John Weir"/>
    <x v="0"/>
    <n v="60"/>
    <n v="0"/>
    <n v="0"/>
    <n v="26.55"/>
  </r>
  <r>
    <x v="0"/>
    <x v="2"/>
    <s v="Mr. Charles Henry Chapman"/>
    <x v="0"/>
    <n v="52"/>
    <n v="0"/>
    <n v="0"/>
    <n v="13.5"/>
  </r>
  <r>
    <x v="0"/>
    <x v="0"/>
    <s v="Mr. James Kelly"/>
    <x v="0"/>
    <n v="44"/>
    <n v="0"/>
    <n v="0"/>
    <n v="8.0500000000000007"/>
  </r>
  <r>
    <x v="1"/>
    <x v="0"/>
    <s v="Miss. Katherine Mullens"/>
    <x v="1"/>
    <n v="19"/>
    <n v="0"/>
    <n v="0"/>
    <n v="7.7332999999999998"/>
  </r>
  <r>
    <x v="0"/>
    <x v="1"/>
    <s v="Mr. John Borland Thayer"/>
    <x v="0"/>
    <n v="49"/>
    <n v="1"/>
    <n v="1"/>
    <n v="110.88330000000001"/>
  </r>
  <r>
    <x v="0"/>
    <x v="0"/>
    <s v="Mr. Adolf Mathias Nicolai Olsen Humblen"/>
    <x v="0"/>
    <n v="42"/>
    <n v="0"/>
    <n v="0"/>
    <n v="7.65"/>
  </r>
  <r>
    <x v="1"/>
    <x v="1"/>
    <s v="Mrs. John Jacob (Madeleine Talmadge Force) Astor"/>
    <x v="1"/>
    <n v="18"/>
    <n v="1"/>
    <n v="0"/>
    <n v="227.52500000000001"/>
  </r>
  <r>
    <x v="1"/>
    <x v="1"/>
    <s v="Mr. Spencer Victor Silverthorne"/>
    <x v="0"/>
    <n v="35"/>
    <n v="0"/>
    <n v="0"/>
    <n v="26.287500000000001"/>
  </r>
  <r>
    <x v="0"/>
    <x v="0"/>
    <s v="Miss. Saiide Barbara"/>
    <x v="1"/>
    <n v="18"/>
    <n v="0"/>
    <n v="1"/>
    <n v="14.4542"/>
  </r>
  <r>
    <x v="0"/>
    <x v="0"/>
    <s v="Mr. Martin Gallagher"/>
    <x v="0"/>
    <n v="25"/>
    <n v="0"/>
    <n v="0"/>
    <n v="7.7416999999999998"/>
  </r>
  <r>
    <x v="0"/>
    <x v="0"/>
    <s v="Mr. Henrik Juul Hansen"/>
    <x v="0"/>
    <n v="26"/>
    <n v="1"/>
    <n v="0"/>
    <n v="7.8541999999999996"/>
  </r>
  <r>
    <x v="0"/>
    <x v="2"/>
    <s v="Mr. Henry Samuel Morley"/>
    <x v="0"/>
    <n v="39"/>
    <n v="0"/>
    <n v="0"/>
    <n v="26"/>
  </r>
  <r>
    <x v="1"/>
    <x v="2"/>
    <s v="Mrs. Florence Kelly"/>
    <x v="1"/>
    <n v="45"/>
    <n v="0"/>
    <n v="0"/>
    <n v="13.5"/>
  </r>
  <r>
    <x v="1"/>
    <x v="1"/>
    <s v="Mr. Edward Pennington Calderhead"/>
    <x v="0"/>
    <n v="42"/>
    <n v="0"/>
    <n v="0"/>
    <n v="26.287500000000001"/>
  </r>
  <r>
    <x v="1"/>
    <x v="1"/>
    <s v="Miss. Alice Cleaver"/>
    <x v="1"/>
    <n v="22"/>
    <n v="0"/>
    <n v="0"/>
    <n v="151.55000000000001"/>
  </r>
  <r>
    <x v="1"/>
    <x v="0"/>
    <s v="Master. Halim Gonios Moubarek"/>
    <x v="0"/>
    <n v="4"/>
    <n v="1"/>
    <n v="1"/>
    <n v="15.245799999999999"/>
  </r>
  <r>
    <x v="1"/>
    <x v="1"/>
    <s v="Mlle. Berthe Antonine Mayne"/>
    <x v="1"/>
    <n v="24"/>
    <n v="0"/>
    <n v="0"/>
    <n v="49.504199999999997"/>
  </r>
  <r>
    <x v="0"/>
    <x v="1"/>
    <s v="Mr. Herman Klaber"/>
    <x v="0"/>
    <n v="41"/>
    <n v="0"/>
    <n v="0"/>
    <n v="26.55"/>
  </r>
  <r>
    <x v="1"/>
    <x v="1"/>
    <s v="Mr. Elmer Zebley Taylor"/>
    <x v="0"/>
    <n v="48"/>
    <n v="1"/>
    <n v="0"/>
    <n v="52"/>
  </r>
  <r>
    <x v="0"/>
    <x v="0"/>
    <s v="Mr. August Viktor Larsson"/>
    <x v="0"/>
    <n v="29"/>
    <n v="0"/>
    <n v="0"/>
    <n v="9.4832999999999998"/>
  </r>
  <r>
    <x v="0"/>
    <x v="2"/>
    <s v="Mr. Samuel Greenberg"/>
    <x v="0"/>
    <n v="52"/>
    <n v="0"/>
    <n v="0"/>
    <n v="13"/>
  </r>
  <r>
    <x v="0"/>
    <x v="0"/>
    <s v="Mr. Peter Andreas Lauritz Andersen Soholt"/>
    <x v="0"/>
    <n v="19"/>
    <n v="0"/>
    <n v="0"/>
    <n v="7.65"/>
  </r>
  <r>
    <x v="1"/>
    <x v="1"/>
    <s v="Miss. Caroline Louise Endres"/>
    <x v="1"/>
    <n v="38"/>
    <n v="0"/>
    <n v="0"/>
    <n v="227.52500000000001"/>
  </r>
  <r>
    <x v="1"/>
    <x v="2"/>
    <s v="Miss. Edwina Celia Troutt"/>
    <x v="1"/>
    <n v="27"/>
    <n v="0"/>
    <n v="0"/>
    <n v="10.5"/>
  </r>
  <r>
    <x v="0"/>
    <x v="0"/>
    <s v="Mr. Malkolm Joackim Johnson"/>
    <x v="0"/>
    <n v="33"/>
    <n v="0"/>
    <n v="0"/>
    <n v="7.7750000000000004"/>
  </r>
  <r>
    <x v="1"/>
    <x v="2"/>
    <s v="Miss. Annie Jessie Harper"/>
    <x v="1"/>
    <n v="6"/>
    <n v="0"/>
    <n v="1"/>
    <n v="33"/>
  </r>
  <r>
    <x v="0"/>
    <x v="0"/>
    <s v="Mr. Svend Lauritz Jensen"/>
    <x v="0"/>
    <n v="17"/>
    <n v="1"/>
    <n v="0"/>
    <n v="7.0541999999999998"/>
  </r>
  <r>
    <x v="0"/>
    <x v="2"/>
    <s v="Mr. William Henry Gillespie"/>
    <x v="0"/>
    <n v="34"/>
    <n v="0"/>
    <n v="0"/>
    <n v="13"/>
  </r>
  <r>
    <x v="0"/>
    <x v="2"/>
    <s v="Mr. Henry Price Hodges"/>
    <x v="0"/>
    <n v="50"/>
    <n v="0"/>
    <n v="0"/>
    <n v="13"/>
  </r>
  <r>
    <x v="1"/>
    <x v="1"/>
    <s v="Mr. Norman Campbell Chambers"/>
    <x v="0"/>
    <n v="27"/>
    <n v="1"/>
    <n v="0"/>
    <n v="53.1"/>
  </r>
  <r>
    <x v="0"/>
    <x v="0"/>
    <s v="Mr. Luka Oreskovic"/>
    <x v="0"/>
    <n v="20"/>
    <n v="0"/>
    <n v="0"/>
    <n v="8.6624999999999996"/>
  </r>
  <r>
    <x v="1"/>
    <x v="2"/>
    <s v="Mrs. Peter Henry (Lillian Jefferys) Renouf"/>
    <x v="1"/>
    <n v="30"/>
    <n v="3"/>
    <n v="0"/>
    <n v="21"/>
  </r>
  <r>
    <x v="1"/>
    <x v="0"/>
    <s v="Miss. Margareth Mannion"/>
    <x v="1"/>
    <n v="28"/>
    <n v="0"/>
    <n v="0"/>
    <n v="7.7374999999999998"/>
  </r>
  <r>
    <x v="0"/>
    <x v="2"/>
    <s v="Mr. Kurt Arnold Gottfrid Bryhl"/>
    <x v="0"/>
    <n v="25"/>
    <n v="1"/>
    <n v="0"/>
    <n v="26"/>
  </r>
  <r>
    <x v="0"/>
    <x v="0"/>
    <s v="Miss. Pieta Sofia Ilmakangas"/>
    <x v="1"/>
    <n v="25"/>
    <n v="1"/>
    <n v="0"/>
    <n v="7.9249999999999998"/>
  </r>
  <r>
    <x v="1"/>
    <x v="1"/>
    <s v="Miss. Elisabeth Walton Allen"/>
    <x v="1"/>
    <n v="29"/>
    <n v="0"/>
    <n v="0"/>
    <n v="211.33750000000001"/>
  </r>
  <r>
    <x v="0"/>
    <x v="0"/>
    <s v="Mr. Houssein G N Hassan"/>
    <x v="0"/>
    <n v="11"/>
    <n v="0"/>
    <n v="0"/>
    <n v="18.787500000000001"/>
  </r>
  <r>
    <x v="0"/>
    <x v="2"/>
    <s v="Mr. Robert J Knight"/>
    <x v="0"/>
    <n v="41"/>
    <n v="0"/>
    <n v="0"/>
    <n v="0"/>
  </r>
  <r>
    <x v="0"/>
    <x v="2"/>
    <s v="Mr. William John Berriman"/>
    <x v="0"/>
    <n v="23"/>
    <n v="0"/>
    <n v="0"/>
    <n v="13"/>
  </r>
  <r>
    <x v="0"/>
    <x v="2"/>
    <s v="Mr. Moses Aaron Troupiansky"/>
    <x v="0"/>
    <n v="23"/>
    <n v="0"/>
    <n v="0"/>
    <n v="13"/>
  </r>
  <r>
    <x v="0"/>
    <x v="0"/>
    <s v="Mr. Leslie Williams"/>
    <x v="0"/>
    <n v="28.5"/>
    <n v="0"/>
    <n v="0"/>
    <n v="16.100000000000001"/>
  </r>
  <r>
    <x v="0"/>
    <x v="0"/>
    <s v="Mrs. Edward (Margaret Ann Watson) Ford"/>
    <x v="1"/>
    <n v="48"/>
    <n v="1"/>
    <n v="3"/>
    <n v="34.375"/>
  </r>
  <r>
    <x v="1"/>
    <x v="1"/>
    <s v="Mr. Gustave J Lesurer"/>
    <x v="0"/>
    <n v="35"/>
    <n v="0"/>
    <n v="0"/>
    <n v="512.32920000000001"/>
  </r>
  <r>
    <x v="0"/>
    <x v="0"/>
    <s v="Mr. Kanio Ivanoff"/>
    <x v="0"/>
    <n v="20"/>
    <n v="0"/>
    <n v="0"/>
    <n v="7.8958000000000004"/>
  </r>
  <r>
    <x v="0"/>
    <x v="0"/>
    <s v="Mr. Minko Nankoff"/>
    <x v="0"/>
    <n v="32"/>
    <n v="0"/>
    <n v="0"/>
    <n v="7.8958000000000004"/>
  </r>
  <r>
    <x v="1"/>
    <x v="1"/>
    <s v="Mr. Walter James Hawksford"/>
    <x v="0"/>
    <n v="45"/>
    <n v="0"/>
    <n v="0"/>
    <n v="30"/>
  </r>
  <r>
    <x v="0"/>
    <x v="1"/>
    <s v="Mr. Tyrell William Cavendish"/>
    <x v="0"/>
    <n v="36"/>
    <n v="1"/>
    <n v="0"/>
    <n v="78.849999999999994"/>
  </r>
  <r>
    <x v="1"/>
    <x v="1"/>
    <s v="Miss. Susan Parker Ryerson"/>
    <x v="1"/>
    <n v="21"/>
    <n v="2"/>
    <n v="2"/>
    <n v="262.375"/>
  </r>
  <r>
    <x v="0"/>
    <x v="0"/>
    <s v="Mr. Neal McNamee"/>
    <x v="0"/>
    <n v="24"/>
    <n v="1"/>
    <n v="0"/>
    <n v="16.100000000000001"/>
  </r>
  <r>
    <x v="1"/>
    <x v="0"/>
    <s v="Mr. Juho Stranden"/>
    <x v="0"/>
    <n v="31"/>
    <n v="0"/>
    <n v="0"/>
    <n v="7.9249999999999998"/>
  </r>
  <r>
    <x v="0"/>
    <x v="1"/>
    <s v="Capt. Edward Gifford Crosby"/>
    <x v="0"/>
    <n v="70"/>
    <n v="1"/>
    <n v="1"/>
    <n v="71"/>
  </r>
  <r>
    <x v="0"/>
    <x v="0"/>
    <s v="Mr. Rossmore Edward Abbott"/>
    <x v="0"/>
    <n v="16"/>
    <n v="1"/>
    <n v="1"/>
    <n v="20.25"/>
  </r>
  <r>
    <x v="1"/>
    <x v="2"/>
    <s v="Miss. Anna Sinkkonen"/>
    <x v="1"/>
    <n v="30"/>
    <n v="0"/>
    <n v="0"/>
    <n v="13"/>
  </r>
  <r>
    <x v="0"/>
    <x v="1"/>
    <s v="Mr. Daniel Warner Marvin"/>
    <x v="0"/>
    <n v="19"/>
    <n v="1"/>
    <n v="0"/>
    <n v="53.1"/>
  </r>
  <r>
    <x v="0"/>
    <x v="0"/>
    <s v="Mr. Michael Connaghton"/>
    <x v="0"/>
    <n v="31"/>
    <n v="0"/>
    <n v="0"/>
    <n v="7.75"/>
  </r>
  <r>
    <x v="1"/>
    <x v="2"/>
    <s v="Miss. Joan Wells"/>
    <x v="1"/>
    <n v="4"/>
    <n v="1"/>
    <n v="1"/>
    <n v="23"/>
  </r>
  <r>
    <x v="1"/>
    <x v="0"/>
    <s v="Master. Meier Moor"/>
    <x v="0"/>
    <n v="6"/>
    <n v="0"/>
    <n v="1"/>
    <n v="12.475"/>
  </r>
  <r>
    <x v="0"/>
    <x v="0"/>
    <s v="Mr. Johannes Joseph Vande Velde"/>
    <x v="0"/>
    <n v="33"/>
    <n v="0"/>
    <n v="0"/>
    <n v="9.5"/>
  </r>
  <r>
    <x v="0"/>
    <x v="0"/>
    <s v="Mr. Lalio Jonkoff"/>
    <x v="0"/>
    <n v="23"/>
    <n v="0"/>
    <n v="0"/>
    <n v="7.8958000000000004"/>
  </r>
  <r>
    <x v="1"/>
    <x v="2"/>
    <s v="Mrs. Samuel (Jane Laver) Herman"/>
    <x v="1"/>
    <n v="48"/>
    <n v="1"/>
    <n v="2"/>
    <n v="65"/>
  </r>
  <r>
    <x v="1"/>
    <x v="2"/>
    <s v="Master. Viljo Hamalainen"/>
    <x v="0"/>
    <n v="0.67"/>
    <n v="1"/>
    <n v="1"/>
    <n v="14.5"/>
  </r>
  <r>
    <x v="0"/>
    <x v="0"/>
    <s v="Mr. August Sigfrid Carlsson"/>
    <x v="0"/>
    <n v="28"/>
    <n v="0"/>
    <n v="0"/>
    <n v="7.7957999999999998"/>
  </r>
  <r>
    <x v="0"/>
    <x v="2"/>
    <s v="Mr. Percy Andrew Bailey"/>
    <x v="0"/>
    <n v="18"/>
    <n v="0"/>
    <n v="0"/>
    <n v="11.5"/>
  </r>
  <r>
    <x v="0"/>
    <x v="0"/>
    <s v="Mr. Thomas Leonard Theobald"/>
    <x v="0"/>
    <n v="34"/>
    <n v="0"/>
    <n v="0"/>
    <n v="8.0500000000000007"/>
  </r>
  <r>
    <x v="1"/>
    <x v="1"/>
    <s v="the Countess. of (Lucy Noel Martha Dyer-Edwards) Rothes"/>
    <x v="1"/>
    <n v="33"/>
    <n v="0"/>
    <n v="0"/>
    <n v="86.5"/>
  </r>
  <r>
    <x v="0"/>
    <x v="0"/>
    <s v="Mr. John Garfirth"/>
    <x v="0"/>
    <n v="23"/>
    <n v="0"/>
    <n v="0"/>
    <n v="14.5"/>
  </r>
  <r>
    <x v="0"/>
    <x v="0"/>
    <s v="Mr. Iisakki Antino Aijo Nirva"/>
    <x v="0"/>
    <n v="41"/>
    <n v="0"/>
    <n v="0"/>
    <n v="7.125"/>
  </r>
  <r>
    <x v="1"/>
    <x v="0"/>
    <s v="Mr. Hanna Assi Barah"/>
    <x v="0"/>
    <n v="20"/>
    <n v="0"/>
    <n v="0"/>
    <n v="7.2291999999999996"/>
  </r>
  <r>
    <x v="1"/>
    <x v="1"/>
    <s v="Mrs. William Ernest (Lucile Polk) Carter"/>
    <x v="1"/>
    <n v="36"/>
    <n v="1"/>
    <n v="2"/>
    <n v="120"/>
  </r>
  <r>
    <x v="0"/>
    <x v="0"/>
    <s v="Mr. Hans Linus Eklund"/>
    <x v="0"/>
    <n v="16"/>
    <n v="0"/>
    <n v="0"/>
    <n v="7.7750000000000004"/>
  </r>
  <r>
    <x v="1"/>
    <x v="1"/>
    <s v="Mrs. John C (Anna Andrews) Hogeboom"/>
    <x v="1"/>
    <n v="51"/>
    <n v="1"/>
    <n v="0"/>
    <n v="77.958299999999994"/>
  </r>
  <r>
    <x v="0"/>
    <x v="1"/>
    <s v="Dr. Arthur Jackson Brewe"/>
    <x v="0"/>
    <n v="46"/>
    <n v="0"/>
    <n v="0"/>
    <n v="39.6"/>
  </r>
  <r>
    <x v="0"/>
    <x v="0"/>
    <s v="Miss. Mary Mangan"/>
    <x v="1"/>
    <n v="30.5"/>
    <n v="0"/>
    <n v="0"/>
    <n v="7.75"/>
  </r>
  <r>
    <x v="0"/>
    <x v="0"/>
    <s v="Mr. Daniel J Moran"/>
    <x v="0"/>
    <n v="28"/>
    <n v="1"/>
    <n v="0"/>
    <n v="24.15"/>
  </r>
  <r>
    <x v="0"/>
    <x v="0"/>
    <s v="Mr. Daniel Danielsen Gronnestad"/>
    <x v="0"/>
    <n v="32"/>
    <n v="0"/>
    <n v="0"/>
    <n v="8.3625000000000007"/>
  </r>
  <r>
    <x v="0"/>
    <x v="0"/>
    <s v="Mr. Rene Aime Lievens"/>
    <x v="0"/>
    <n v="24"/>
    <n v="0"/>
    <n v="0"/>
    <n v="9.5"/>
  </r>
  <r>
    <x v="0"/>
    <x v="0"/>
    <s v="Mr. Niels Peder Jensen"/>
    <x v="0"/>
    <n v="48"/>
    <n v="0"/>
    <n v="0"/>
    <n v="7.8541999999999996"/>
  </r>
  <r>
    <x v="0"/>
    <x v="2"/>
    <s v="Mrs. (Mary) Mack"/>
    <x v="1"/>
    <n v="57"/>
    <n v="0"/>
    <n v="0"/>
    <n v="10.5"/>
  </r>
  <r>
    <x v="0"/>
    <x v="0"/>
    <s v="Mr. Dibo Elias"/>
    <x v="0"/>
    <n v="29"/>
    <n v="0"/>
    <n v="0"/>
    <n v="7.2249999999999996"/>
  </r>
  <r>
    <x v="1"/>
    <x v="2"/>
    <s v="Mrs. Elizabeth (Eliza Needs) Hocking"/>
    <x v="1"/>
    <n v="54"/>
    <n v="1"/>
    <n v="3"/>
    <n v="23"/>
  </r>
  <r>
    <x v="0"/>
    <x v="0"/>
    <s v="Mr. Pehr Fabian Oliver Malkolm Myhrman"/>
    <x v="0"/>
    <n v="18"/>
    <n v="0"/>
    <n v="0"/>
    <n v="7.75"/>
  </r>
  <r>
    <x v="0"/>
    <x v="0"/>
    <s v="Mr. Roger Tobin"/>
    <x v="0"/>
    <n v="20"/>
    <n v="0"/>
    <n v="0"/>
    <n v="7.75"/>
  </r>
  <r>
    <x v="1"/>
    <x v="0"/>
    <s v="Miss. Virginia Ethel Emanuel"/>
    <x v="1"/>
    <n v="5"/>
    <n v="0"/>
    <n v="0"/>
    <n v="12.475"/>
  </r>
  <r>
    <x v="0"/>
    <x v="0"/>
    <s v="Mr. Thomas J Kilgannon"/>
    <x v="0"/>
    <n v="22"/>
    <n v="0"/>
    <n v="0"/>
    <n v="7.7374999999999998"/>
  </r>
  <r>
    <x v="1"/>
    <x v="1"/>
    <s v="Mrs. Edward Scott (Elisabeth Walton McMillan) Robert"/>
    <x v="1"/>
    <n v="43"/>
    <n v="0"/>
    <n v="1"/>
    <n v="211.33750000000001"/>
  </r>
  <r>
    <x v="1"/>
    <x v="0"/>
    <s v="Miss. Banoura Ayoub"/>
    <x v="1"/>
    <n v="13"/>
    <n v="0"/>
    <n v="0"/>
    <n v="7.2291999999999996"/>
  </r>
  <r>
    <x v="1"/>
    <x v="1"/>
    <s v="Mrs. Albert Adrian (Vera Gillespie) Dick"/>
    <x v="1"/>
    <n v="17"/>
    <n v="1"/>
    <n v="0"/>
    <n v="57"/>
  </r>
  <r>
    <x v="0"/>
    <x v="1"/>
    <s v="Mr. Milton Clyde Long"/>
    <x v="0"/>
    <n v="29"/>
    <n v="0"/>
    <n v="0"/>
    <n v="30"/>
  </r>
  <r>
    <x v="0"/>
    <x v="0"/>
    <s v="Mr. Andrew G Johnston"/>
    <x v="0"/>
    <n v="35"/>
    <n v="1"/>
    <n v="2"/>
    <n v="23.45"/>
  </r>
  <r>
    <x v="0"/>
    <x v="0"/>
    <s v="Mr. William Ali"/>
    <x v="0"/>
    <n v="25"/>
    <n v="0"/>
    <n v="0"/>
    <n v="7.05"/>
  </r>
  <r>
    <x v="0"/>
    <x v="0"/>
    <s v="Mr. Abraham (David Lishin) Harmer"/>
    <x v="0"/>
    <n v="25"/>
    <n v="0"/>
    <n v="0"/>
    <n v="7.25"/>
  </r>
  <r>
    <x v="1"/>
    <x v="0"/>
    <s v="Miss. Anna Sofia Sjoblom"/>
    <x v="1"/>
    <n v="18"/>
    <n v="0"/>
    <n v="0"/>
    <n v="7.4958"/>
  </r>
  <r>
    <x v="0"/>
    <x v="0"/>
    <s v="Master. George Hugh Rice"/>
    <x v="0"/>
    <n v="8"/>
    <n v="4"/>
    <n v="1"/>
    <n v="29.125"/>
  </r>
  <r>
    <x v="1"/>
    <x v="0"/>
    <s v="Master. Bertram Vere Dean"/>
    <x v="0"/>
    <n v="1"/>
    <n v="1"/>
    <n v="2"/>
    <n v="20.574999999999999"/>
  </r>
  <r>
    <x v="0"/>
    <x v="1"/>
    <s v="Mr. Benjamin Guggenheim"/>
    <x v="0"/>
    <n v="46"/>
    <n v="0"/>
    <n v="0"/>
    <n v="79.2"/>
  </r>
  <r>
    <x v="0"/>
    <x v="0"/>
    <s v="Mr. Andrew Keane"/>
    <x v="0"/>
    <n v="20"/>
    <n v="0"/>
    <n v="0"/>
    <n v="7.75"/>
  </r>
  <r>
    <x v="0"/>
    <x v="2"/>
    <s v="Mr. Alfred Gaskell"/>
    <x v="0"/>
    <n v="16"/>
    <n v="0"/>
    <n v="0"/>
    <n v="26"/>
  </r>
  <r>
    <x v="0"/>
    <x v="0"/>
    <s v="Miss. Stella Anna Sage"/>
    <x v="1"/>
    <n v="21"/>
    <n v="8"/>
    <n v="2"/>
    <n v="69.55"/>
  </r>
  <r>
    <x v="0"/>
    <x v="1"/>
    <s v="Mr. William Fisher Hoyt"/>
    <x v="0"/>
    <n v="43"/>
    <n v="0"/>
    <n v="0"/>
    <n v="30.695799999999998"/>
  </r>
  <r>
    <x v="0"/>
    <x v="0"/>
    <s v="Mr. Ristiu Dantcheff"/>
    <x v="0"/>
    <n v="25"/>
    <n v="0"/>
    <n v="0"/>
    <n v="7.8958000000000004"/>
  </r>
  <r>
    <x v="0"/>
    <x v="2"/>
    <s v="Mr. Richard Otter"/>
    <x v="0"/>
    <n v="39"/>
    <n v="0"/>
    <n v="0"/>
    <n v="13"/>
  </r>
  <r>
    <x v="1"/>
    <x v="1"/>
    <s v="Dr. Alice (Farnham) Leader"/>
    <x v="1"/>
    <n v="49"/>
    <n v="0"/>
    <n v="0"/>
    <n v="25.929200000000002"/>
  </r>
  <r>
    <x v="1"/>
    <x v="0"/>
    <s v="Mrs. Mara Osman"/>
    <x v="1"/>
    <n v="31"/>
    <n v="0"/>
    <n v="0"/>
    <n v="8.6832999999999991"/>
  </r>
  <r>
    <x v="0"/>
    <x v="0"/>
    <s v="Mr. Yousseff Ibrahim Shawah"/>
    <x v="0"/>
    <n v="30"/>
    <n v="0"/>
    <n v="0"/>
    <n v="7.2291999999999996"/>
  </r>
  <r>
    <x v="0"/>
    <x v="0"/>
    <s v="Mrs. Jean Baptiste (Rosalie Paula Govaert) Van Impe"/>
    <x v="1"/>
    <n v="30"/>
    <n v="1"/>
    <n v="1"/>
    <n v="24.15"/>
  </r>
  <r>
    <x v="0"/>
    <x v="2"/>
    <s v="Mr. Martin Ponesell"/>
    <x v="0"/>
    <n v="34"/>
    <n v="0"/>
    <n v="0"/>
    <n v="13"/>
  </r>
  <r>
    <x v="1"/>
    <x v="2"/>
    <s v="Mrs. Harvey (Charlotte Annie Tate) Collyer"/>
    <x v="1"/>
    <n v="31"/>
    <n v="1"/>
    <n v="1"/>
    <n v="26.25"/>
  </r>
  <r>
    <x v="1"/>
    <x v="1"/>
    <s v="Master. William Thornton II Carter"/>
    <x v="0"/>
    <n v="11"/>
    <n v="1"/>
    <n v="2"/>
    <n v="120"/>
  </r>
  <r>
    <x v="1"/>
    <x v="0"/>
    <s v="Master. Assad Alexander Thomas"/>
    <x v="0"/>
    <n v="0.42"/>
    <n v="0"/>
    <n v="1"/>
    <n v="8.5167000000000002"/>
  </r>
  <r>
    <x v="1"/>
    <x v="0"/>
    <s v="Mr. Oskar Arvid Hedman"/>
    <x v="0"/>
    <n v="27"/>
    <n v="0"/>
    <n v="0"/>
    <n v="6.9749999999999996"/>
  </r>
  <r>
    <x v="0"/>
    <x v="0"/>
    <s v="Mr. Karl Johan Johansson"/>
    <x v="0"/>
    <n v="31"/>
    <n v="0"/>
    <n v="0"/>
    <n v="7.7750000000000004"/>
  </r>
  <r>
    <x v="0"/>
    <x v="1"/>
    <s v="Mr. Thomas Jr Andrews"/>
    <x v="0"/>
    <n v="39"/>
    <n v="0"/>
    <n v="0"/>
    <n v="0"/>
  </r>
  <r>
    <x v="0"/>
    <x v="0"/>
    <s v="Miss. Ellen Natalia Pettersson"/>
    <x v="1"/>
    <n v="18"/>
    <n v="0"/>
    <n v="0"/>
    <n v="7.7750000000000004"/>
  </r>
  <r>
    <x v="0"/>
    <x v="2"/>
    <s v="Mr. August Meyer"/>
    <x v="0"/>
    <n v="39"/>
    <n v="0"/>
    <n v="0"/>
    <n v="13"/>
  </r>
  <r>
    <x v="1"/>
    <x v="1"/>
    <s v="Mrs. Norman Campbell (Bertha Griggs) Chambers"/>
    <x v="1"/>
    <n v="33"/>
    <n v="1"/>
    <n v="0"/>
    <n v="53.1"/>
  </r>
  <r>
    <x v="0"/>
    <x v="0"/>
    <s v="Mr. William Alexander"/>
    <x v="0"/>
    <n v="26"/>
    <n v="0"/>
    <n v="0"/>
    <n v="7.8875000000000002"/>
  </r>
  <r>
    <x v="0"/>
    <x v="0"/>
    <s v="Mr. James Lester"/>
    <x v="0"/>
    <n v="39"/>
    <n v="0"/>
    <n v="0"/>
    <n v="24.15"/>
  </r>
  <r>
    <x v="0"/>
    <x v="2"/>
    <s v="Mr. Richard James Slemen"/>
    <x v="0"/>
    <n v="35"/>
    <n v="0"/>
    <n v="0"/>
    <n v="10.5"/>
  </r>
  <r>
    <x v="0"/>
    <x v="0"/>
    <s v="Miss. Ebba Iris Alfrida Andersson"/>
    <x v="1"/>
    <n v="6"/>
    <n v="4"/>
    <n v="2"/>
    <n v="31.274999999999999"/>
  </r>
  <r>
    <x v="0"/>
    <x v="0"/>
    <s v="Mr. Ernest Portage Tomlin"/>
    <x v="0"/>
    <n v="30.5"/>
    <n v="0"/>
    <n v="0"/>
    <n v="8.0500000000000007"/>
  </r>
  <r>
    <x v="0"/>
    <x v="1"/>
    <s v="Mr. Richard Fry"/>
    <x v="0"/>
    <n v="39"/>
    <n v="0"/>
    <n v="0"/>
    <n v="0"/>
  </r>
  <r>
    <x v="0"/>
    <x v="0"/>
    <s v="Miss. Wendla Maria Heininen"/>
    <x v="1"/>
    <n v="23"/>
    <n v="0"/>
    <n v="0"/>
    <n v="7.9249999999999998"/>
  </r>
  <r>
    <x v="0"/>
    <x v="2"/>
    <s v="Mr. Albert Mallet"/>
    <x v="0"/>
    <n v="31"/>
    <n v="1"/>
    <n v="1"/>
    <n v="37.004199999999997"/>
  </r>
  <r>
    <x v="0"/>
    <x v="0"/>
    <s v="Mr. John Fredrik Alexander Holm"/>
    <x v="0"/>
    <n v="43"/>
    <n v="0"/>
    <n v="0"/>
    <n v="6.45"/>
  </r>
  <r>
    <x v="0"/>
    <x v="0"/>
    <s v="Master. Karl Thorsten Skoog"/>
    <x v="0"/>
    <n v="10"/>
    <n v="3"/>
    <n v="2"/>
    <n v="27.9"/>
  </r>
  <r>
    <x v="1"/>
    <x v="1"/>
    <s v="Mrs. Charles Melville (Clara Jennings Gregg) Hays"/>
    <x v="1"/>
    <n v="52"/>
    <n v="1"/>
    <n v="1"/>
    <n v="93.5"/>
  </r>
  <r>
    <x v="1"/>
    <x v="0"/>
    <s v="Mr. Nikola Lulic"/>
    <x v="0"/>
    <n v="27"/>
    <n v="0"/>
    <n v="0"/>
    <n v="8.6624999999999996"/>
  </r>
  <r>
    <x v="0"/>
    <x v="1"/>
    <s v="Jonkheer. John George Reuchlin"/>
    <x v="0"/>
    <n v="38"/>
    <n v="0"/>
    <n v="0"/>
    <n v="0"/>
  </r>
  <r>
    <x v="1"/>
    <x v="0"/>
    <s v="Mrs. (Beila) Moor"/>
    <x v="1"/>
    <n v="27"/>
    <n v="0"/>
    <n v="1"/>
    <n v="12.475"/>
  </r>
  <r>
    <x v="0"/>
    <x v="0"/>
    <s v="Master. Urho Abraham Panula"/>
    <x v="0"/>
    <n v="2"/>
    <n v="4"/>
    <n v="1"/>
    <n v="39.6875"/>
  </r>
  <r>
    <x v="0"/>
    <x v="0"/>
    <s v="Mr. John Flynn"/>
    <x v="0"/>
    <n v="36"/>
    <n v="0"/>
    <n v="0"/>
    <n v="6.95"/>
  </r>
  <r>
    <x v="0"/>
    <x v="0"/>
    <s v="Mr. Len Lam"/>
    <x v="0"/>
    <n v="23"/>
    <n v="0"/>
    <n v="0"/>
    <n v="56.495800000000003"/>
  </r>
  <r>
    <x v="1"/>
    <x v="2"/>
    <s v="Master. Andre Mallet"/>
    <x v="0"/>
    <n v="1"/>
    <n v="0"/>
    <n v="2"/>
    <n v="37.004199999999997"/>
  </r>
  <r>
    <x v="1"/>
    <x v="0"/>
    <s v="Mr. Thomas Joseph McCormack"/>
    <x v="0"/>
    <n v="19"/>
    <n v="0"/>
    <n v="0"/>
    <n v="7.75"/>
  </r>
  <r>
    <x v="1"/>
    <x v="1"/>
    <s v="Mrs. George Nelson (Martha Evelyn) Stone"/>
    <x v="1"/>
    <n v="62"/>
    <n v="0"/>
    <n v="0"/>
    <n v="80"/>
  </r>
  <r>
    <x v="1"/>
    <x v="0"/>
    <s v="Mrs. Antoni (Selini Alexander) Yasbeck"/>
    <x v="1"/>
    <n v="15"/>
    <n v="1"/>
    <n v="0"/>
    <n v="14.4542"/>
  </r>
  <r>
    <x v="1"/>
    <x v="2"/>
    <s v="Master. George Sibley Richards"/>
    <x v="0"/>
    <n v="0.83"/>
    <n v="1"/>
    <n v="1"/>
    <n v="18.75"/>
  </r>
  <r>
    <x v="0"/>
    <x v="0"/>
    <s v="Mr. Amin Saad"/>
    <x v="0"/>
    <n v="30"/>
    <n v="0"/>
    <n v="0"/>
    <n v="7.2291999999999996"/>
  </r>
  <r>
    <x v="0"/>
    <x v="0"/>
    <s v="Mr. Albert Augustsson"/>
    <x v="0"/>
    <n v="23"/>
    <n v="0"/>
    <n v="0"/>
    <n v="7.8541999999999996"/>
  </r>
  <r>
    <x v="0"/>
    <x v="0"/>
    <s v="Mr. Owen George Allum"/>
    <x v="0"/>
    <n v="18"/>
    <n v="0"/>
    <n v="0"/>
    <n v="8.3000000000000007"/>
  </r>
  <r>
    <x v="1"/>
    <x v="1"/>
    <s v="Miss. Sara Rebecca Compton"/>
    <x v="1"/>
    <n v="39"/>
    <n v="1"/>
    <n v="1"/>
    <n v="83.158299999999997"/>
  </r>
  <r>
    <x v="0"/>
    <x v="0"/>
    <s v="Mr. Jakob Pasic"/>
    <x v="0"/>
    <n v="21"/>
    <n v="0"/>
    <n v="0"/>
    <n v="8.6624999999999996"/>
  </r>
  <r>
    <x v="0"/>
    <x v="0"/>
    <s v="Mr. Maurice Sirota"/>
    <x v="0"/>
    <n v="20"/>
    <n v="0"/>
    <n v="0"/>
    <n v="8.0500000000000007"/>
  </r>
  <r>
    <x v="1"/>
    <x v="0"/>
    <s v="Mr. Chang Chip"/>
    <x v="0"/>
    <n v="32"/>
    <n v="0"/>
    <n v="0"/>
    <n v="56.495800000000003"/>
  </r>
  <r>
    <x v="1"/>
    <x v="1"/>
    <s v="Mr. Pierre Marechal"/>
    <x v="0"/>
    <n v="29"/>
    <n v="0"/>
    <n v="0"/>
    <n v="29.7"/>
  </r>
  <r>
    <x v="0"/>
    <x v="0"/>
    <s v="Mr. Ilmari Rudolf Alhomaki"/>
    <x v="0"/>
    <n v="20"/>
    <n v="0"/>
    <n v="0"/>
    <n v="7.9249999999999998"/>
  </r>
  <r>
    <x v="0"/>
    <x v="2"/>
    <s v="Mr. Thomas Charles Mudd"/>
    <x v="0"/>
    <n v="16"/>
    <n v="0"/>
    <n v="0"/>
    <n v="10.5"/>
  </r>
  <r>
    <x v="1"/>
    <x v="1"/>
    <s v="Miss. Augusta Serepeca"/>
    <x v="1"/>
    <n v="30"/>
    <n v="0"/>
    <n v="0"/>
    <n v="31"/>
  </r>
  <r>
    <x v="0"/>
    <x v="0"/>
    <s v="Mr. Peter L Lemberopolous"/>
    <x v="0"/>
    <n v="34.5"/>
    <n v="0"/>
    <n v="0"/>
    <n v="6.4375"/>
  </r>
  <r>
    <x v="0"/>
    <x v="0"/>
    <s v="Mr. Jeso Culumovic"/>
    <x v="0"/>
    <n v="17"/>
    <n v="0"/>
    <n v="0"/>
    <n v="8.6624999999999996"/>
  </r>
  <r>
    <x v="0"/>
    <x v="0"/>
    <s v="Mr. Anthony Abbing"/>
    <x v="0"/>
    <n v="42"/>
    <n v="0"/>
    <n v="0"/>
    <n v="7.55"/>
  </r>
  <r>
    <x v="0"/>
    <x v="0"/>
    <s v="Mr. Douglas Bullen Sage"/>
    <x v="0"/>
    <n v="18"/>
    <n v="8"/>
    <n v="2"/>
    <n v="69.55"/>
  </r>
  <r>
    <x v="0"/>
    <x v="0"/>
    <s v="Mr. Marin Markoff"/>
    <x v="0"/>
    <n v="35"/>
    <n v="0"/>
    <n v="0"/>
    <n v="7.8958000000000004"/>
  </r>
  <r>
    <x v="0"/>
    <x v="2"/>
    <s v="Rev. John Harper"/>
    <x v="0"/>
    <n v="28"/>
    <n v="0"/>
    <n v="1"/>
    <n v="33"/>
  </r>
  <r>
    <x v="1"/>
    <x v="1"/>
    <s v="Mrs. Samuel L (Edwiga Grabowska) Goldenberg"/>
    <x v="1"/>
    <n v="40"/>
    <n v="1"/>
    <n v="0"/>
    <n v="89.104200000000006"/>
  </r>
  <r>
    <x v="0"/>
    <x v="0"/>
    <s v="Master. Sigvard Harald Elias Andersson"/>
    <x v="0"/>
    <n v="4"/>
    <n v="4"/>
    <n v="2"/>
    <n v="31.274999999999999"/>
  </r>
  <r>
    <x v="0"/>
    <x v="0"/>
    <s v="Mr. Johan Svensson"/>
    <x v="0"/>
    <n v="74"/>
    <n v="0"/>
    <n v="0"/>
    <n v="7.7750000000000004"/>
  </r>
  <r>
    <x v="0"/>
    <x v="0"/>
    <s v="Miss. Nourelain Boulos"/>
    <x v="1"/>
    <n v="9"/>
    <n v="1"/>
    <n v="1"/>
    <n v="15.245799999999999"/>
  </r>
  <r>
    <x v="1"/>
    <x v="1"/>
    <s v="Miss. Mary Conover Lines"/>
    <x v="1"/>
    <n v="16"/>
    <n v="0"/>
    <n v="1"/>
    <n v="39.4"/>
  </r>
  <r>
    <x v="0"/>
    <x v="2"/>
    <s v="Mrs. Ernest Courtenay (Lilian Hughes) Carter"/>
    <x v="1"/>
    <n v="44"/>
    <n v="1"/>
    <n v="0"/>
    <n v="26"/>
  </r>
  <r>
    <x v="1"/>
    <x v="0"/>
    <s v="Mrs. Sam (Leah Rosen) Aks"/>
    <x v="1"/>
    <n v="18"/>
    <n v="0"/>
    <n v="1"/>
    <n v="9.35"/>
  </r>
  <r>
    <x v="1"/>
    <x v="1"/>
    <s v="Mrs. George Dennick (Mary Hitchcock) Wick"/>
    <x v="1"/>
    <n v="45"/>
    <n v="1"/>
    <n v="1"/>
    <n v="164.86670000000001"/>
  </r>
  <r>
    <x v="1"/>
    <x v="1"/>
    <s v="Mr. Peter Denis Daly"/>
    <x v="0"/>
    <n v="51"/>
    <n v="0"/>
    <n v="0"/>
    <n v="26.55"/>
  </r>
  <r>
    <x v="1"/>
    <x v="0"/>
    <s v="Mrs. Solomon (Latifa Qurban) Baclini"/>
    <x v="1"/>
    <n v="24"/>
    <n v="0"/>
    <n v="3"/>
    <n v="19.258299999999998"/>
  </r>
  <r>
    <x v="0"/>
    <x v="0"/>
    <s v="Mr. Raihed Razi"/>
    <x v="0"/>
    <n v="30"/>
    <n v="0"/>
    <n v="0"/>
    <n v="7.2291999999999996"/>
  </r>
  <r>
    <x v="0"/>
    <x v="0"/>
    <s v="Mr. Claus Peter Hansen"/>
    <x v="0"/>
    <n v="41"/>
    <n v="2"/>
    <n v="0"/>
    <n v="14.1083"/>
  </r>
  <r>
    <x v="0"/>
    <x v="2"/>
    <s v="Mr. Frederick Edward Giles"/>
    <x v="0"/>
    <n v="21"/>
    <n v="1"/>
    <n v="0"/>
    <n v="11.5"/>
  </r>
  <r>
    <x v="1"/>
    <x v="1"/>
    <s v="Mrs. Frederick Joel (Margaret Welles Barron) Swift"/>
    <x v="1"/>
    <n v="48"/>
    <n v="0"/>
    <n v="0"/>
    <n v="25.929200000000002"/>
  </r>
  <r>
    <x v="0"/>
    <x v="0"/>
    <s v="Miss. Dorothy Edith Sage"/>
    <x v="1"/>
    <n v="14"/>
    <n v="8"/>
    <n v="2"/>
    <n v="69.55"/>
  </r>
  <r>
    <x v="0"/>
    <x v="2"/>
    <s v="Mr. John William Gill"/>
    <x v="0"/>
    <n v="24"/>
    <n v="0"/>
    <n v="0"/>
    <n v="13"/>
  </r>
  <r>
    <x v="1"/>
    <x v="2"/>
    <s v="Mrs. (Karolina) Bystrom"/>
    <x v="1"/>
    <n v="42"/>
    <n v="0"/>
    <n v="0"/>
    <n v="13"/>
  </r>
  <r>
    <x v="1"/>
    <x v="2"/>
    <s v="Miss. Asuncion Duran y More"/>
    <x v="1"/>
    <n v="27"/>
    <n v="1"/>
    <n v="0"/>
    <n v="13.8583"/>
  </r>
  <r>
    <x v="0"/>
    <x v="1"/>
    <s v="Mr. Washington Augustus II Roebling"/>
    <x v="0"/>
    <n v="31"/>
    <n v="0"/>
    <n v="0"/>
    <n v="50.495800000000003"/>
  </r>
  <r>
    <x v="0"/>
    <x v="0"/>
    <s v="Mr. Philemon van Melkebeke"/>
    <x v="0"/>
    <n v="23"/>
    <n v="0"/>
    <n v="0"/>
    <n v="9.5"/>
  </r>
  <r>
    <x v="1"/>
    <x v="0"/>
    <s v="Master. Harold Theodor Johnson"/>
    <x v="0"/>
    <n v="4"/>
    <n v="1"/>
    <n v="1"/>
    <n v="11.1333"/>
  </r>
  <r>
    <x v="0"/>
    <x v="0"/>
    <s v="Mr. Cerin Balkic"/>
    <x v="0"/>
    <n v="26"/>
    <n v="0"/>
    <n v="0"/>
    <n v="7.8958000000000004"/>
  </r>
  <r>
    <x v="1"/>
    <x v="1"/>
    <s v="Mrs. Richard Leonard (Sallie Monypeny) Beckwith"/>
    <x v="1"/>
    <n v="47"/>
    <n v="1"/>
    <n v="1"/>
    <n v="52.554200000000002"/>
  </r>
  <r>
    <x v="0"/>
    <x v="1"/>
    <s v="Mr. Frans Olof Carlsson"/>
    <x v="0"/>
    <n v="33"/>
    <n v="0"/>
    <n v="0"/>
    <n v="5"/>
  </r>
  <r>
    <x v="0"/>
    <x v="0"/>
    <s v="Mr. Victor Vander Cruyssen"/>
    <x v="0"/>
    <n v="47"/>
    <n v="0"/>
    <n v="0"/>
    <n v="9"/>
  </r>
  <r>
    <x v="1"/>
    <x v="2"/>
    <s v="Mrs. Samuel (Hannah Wizosky) Abelson"/>
    <x v="1"/>
    <n v="28"/>
    <n v="1"/>
    <n v="0"/>
    <n v="24"/>
  </r>
  <r>
    <x v="1"/>
    <x v="0"/>
    <s v="Miss. Adele Kiamie Najib"/>
    <x v="1"/>
    <n v="15"/>
    <n v="0"/>
    <n v="0"/>
    <n v="7.2249999999999996"/>
  </r>
  <r>
    <x v="0"/>
    <x v="0"/>
    <s v="Mr. Alfred Ossian Gustafsson"/>
    <x v="0"/>
    <n v="20"/>
    <n v="0"/>
    <n v="0"/>
    <n v="9.8458000000000006"/>
  </r>
  <r>
    <x v="0"/>
    <x v="0"/>
    <s v="Mr. Nedelio Petroff"/>
    <x v="0"/>
    <n v="19"/>
    <n v="0"/>
    <n v="0"/>
    <n v="7.8958000000000004"/>
  </r>
  <r>
    <x v="0"/>
    <x v="0"/>
    <s v="Mr. Kristo Laleff"/>
    <x v="0"/>
    <n v="23"/>
    <n v="0"/>
    <n v="0"/>
    <n v="7.8958000000000004"/>
  </r>
  <r>
    <x v="1"/>
    <x v="1"/>
    <s v="Mrs. Thomas Jr (Lily Alexenia Wilson) Potter"/>
    <x v="1"/>
    <n v="56"/>
    <n v="0"/>
    <n v="1"/>
    <n v="83.158299999999997"/>
  </r>
  <r>
    <x v="1"/>
    <x v="2"/>
    <s v="Mrs. William (Imanita Parrish Hall) Shelley"/>
    <x v="1"/>
    <n v="25"/>
    <n v="0"/>
    <n v="1"/>
    <n v="26"/>
  </r>
  <r>
    <x v="0"/>
    <x v="0"/>
    <s v="Mr. Johann Markun"/>
    <x v="0"/>
    <n v="33"/>
    <n v="0"/>
    <n v="0"/>
    <n v="7.8958000000000004"/>
  </r>
  <r>
    <x v="0"/>
    <x v="0"/>
    <s v="Miss. Gerda Ulrika Dahlberg"/>
    <x v="1"/>
    <n v="22"/>
    <n v="0"/>
    <n v="0"/>
    <n v="10.5167"/>
  </r>
  <r>
    <x v="0"/>
    <x v="2"/>
    <s v="Mr. Frederick James Banfield"/>
    <x v="0"/>
    <n v="28"/>
    <n v="0"/>
    <n v="0"/>
    <n v="10.5"/>
  </r>
  <r>
    <x v="0"/>
    <x v="0"/>
    <s v="Mr. Henry Jr Sutehall"/>
    <x v="0"/>
    <n v="25"/>
    <n v="0"/>
    <n v="0"/>
    <n v="7.05"/>
  </r>
  <r>
    <x v="0"/>
    <x v="0"/>
    <s v="Mrs. William (Margaret Norton) Rice"/>
    <x v="1"/>
    <n v="39"/>
    <n v="0"/>
    <n v="5"/>
    <n v="29.125"/>
  </r>
  <r>
    <x v="0"/>
    <x v="2"/>
    <s v="Rev. Juozas Montvila"/>
    <x v="0"/>
    <n v="27"/>
    <n v="0"/>
    <n v="0"/>
    <n v="13"/>
  </r>
  <r>
    <x v="1"/>
    <x v="1"/>
    <s v="Miss. Margaret Edith Graham"/>
    <x v="1"/>
    <n v="19"/>
    <n v="0"/>
    <n v="0"/>
    <n v="30"/>
  </r>
  <r>
    <x v="0"/>
    <x v="0"/>
    <s v="Miss. Catherine Helen Johnston"/>
    <x v="1"/>
    <n v="7"/>
    <n v="1"/>
    <n v="2"/>
    <n v="23.45"/>
  </r>
  <r>
    <x v="1"/>
    <x v="1"/>
    <s v="Mr. Karl Howell Behr"/>
    <x v="0"/>
    <n v="26"/>
    <n v="0"/>
    <n v="0"/>
    <n v="30"/>
  </r>
  <r>
    <x v="0"/>
    <x v="0"/>
    <s v="Mr. Patrick Dooley"/>
    <x v="0"/>
    <n v="32"/>
    <n v="0"/>
    <n v="0"/>
    <n v="7.7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0000000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E7" firstHeaderRow="1" firstDataRow="2" firstDataCol="1" rowPageCount="1" colPageCount="1"/>
  <pivotFields count="8">
    <pivotField axis="axisRow" showAll="0">
      <items count="3">
        <item x="0"/>
        <item x="1"/>
        <item t="default"/>
      </items>
    </pivotField>
    <pivotField axis="axisCol" showAll="0">
      <items count="4">
        <item x="1"/>
        <item x="2"/>
        <item x="0"/>
        <item t="default"/>
      </items>
    </pivotField>
    <pivotField showAll="0"/>
    <pivotField axis="axisPage" dataField="1" multipleItemSelectionAllowed="1" showAll="0">
      <items count="3">
        <item x="1"/>
        <item h="1" x="0"/>
        <item t="default"/>
      </items>
    </pivotField>
    <pivotField showAll="0"/>
    <pivotField showAll="0"/>
    <pivotField showAll="0"/>
    <pivotField showAll="0"/>
  </pivotFields>
  <rowFields count="1">
    <field x="0"/>
  </rowFields>
  <rowItems count="3">
    <i>
      <x/>
    </i>
    <i>
      <x v="1"/>
    </i>
    <i t="grand">
      <x/>
    </i>
  </rowItems>
  <colFields count="1">
    <field x="1"/>
  </colFields>
  <colItems count="4">
    <i>
      <x/>
    </i>
    <i>
      <x v="1"/>
    </i>
    <i>
      <x v="2"/>
    </i>
    <i t="grand">
      <x/>
    </i>
  </colItems>
  <pageFields count="1">
    <pageField fld="3" hier="-1"/>
  </pageFields>
  <dataFields count="1">
    <dataField name="Count of Sex" fld="3" subtotal="count" baseField="0" baseItem="0"/>
  </dataFields>
  <chartFormats count="3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itanic" displayName="Titanic" ref="A1:H888" totalsRowShown="0">
  <autoFilter ref="A1:H888" xr:uid="{00000000-0009-0000-0100-000001000000}"/>
  <tableColumns count="8">
    <tableColumn id="1" xr3:uid="{00000000-0010-0000-0000-000001000000}" name="Survived"/>
    <tableColumn id="2" xr3:uid="{00000000-0010-0000-0000-000002000000}" name="Pclass"/>
    <tableColumn id="3" xr3:uid="{00000000-0010-0000-0000-000003000000}" name="Name"/>
    <tableColumn id="4" xr3:uid="{00000000-0010-0000-0000-000004000000}" name="Sex"/>
    <tableColumn id="5" xr3:uid="{00000000-0010-0000-0000-000005000000}" name="Age"/>
    <tableColumn id="6" xr3:uid="{00000000-0010-0000-0000-000006000000}" name="Siblings/Spouses Aboard"/>
    <tableColumn id="7" xr3:uid="{00000000-0010-0000-0000-000007000000}" name="Parents/Children Aboard"/>
    <tableColumn id="8" xr3:uid="{00000000-0010-0000-0000-000008000000}" name="Fare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888"/>
  <sheetViews>
    <sheetView workbookViewId="0"/>
  </sheetViews>
  <sheetFormatPr defaultRowHeight="14.4" x14ac:dyDescent="0.3"/>
  <cols>
    <col min="1" max="1" width="9.6640625" customWidth="1"/>
    <col min="2" max="2" width="7.77734375" customWidth="1"/>
    <col min="3" max="3" width="68.44140625" bestFit="1" customWidth="1"/>
    <col min="4" max="4" width="6.6640625" bestFit="1" customWidth="1"/>
    <col min="5" max="5" width="5.88671875" customWidth="1"/>
    <col min="6" max="6" width="22.44140625" customWidth="1"/>
    <col min="7" max="7" width="22.77734375" customWidth="1"/>
    <col min="8" max="8" width="9" bestFit="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>
        <v>0</v>
      </c>
      <c r="B2">
        <v>3</v>
      </c>
      <c r="C2" t="s">
        <v>8</v>
      </c>
      <c r="D2" t="s">
        <v>9</v>
      </c>
      <c r="E2">
        <v>22</v>
      </c>
      <c r="F2">
        <v>1</v>
      </c>
      <c r="G2">
        <v>0</v>
      </c>
      <c r="H2">
        <v>7.25</v>
      </c>
    </row>
    <row r="3" spans="1:8" x14ac:dyDescent="0.3">
      <c r="A3">
        <v>1</v>
      </c>
      <c r="B3">
        <v>1</v>
      </c>
      <c r="C3" t="s">
        <v>10</v>
      </c>
      <c r="D3" t="s">
        <v>11</v>
      </c>
      <c r="E3">
        <v>38</v>
      </c>
      <c r="F3">
        <v>1</v>
      </c>
      <c r="G3">
        <v>0</v>
      </c>
      <c r="H3">
        <v>71.283299999999997</v>
      </c>
    </row>
    <row r="4" spans="1:8" x14ac:dyDescent="0.3">
      <c r="A4">
        <v>1</v>
      </c>
      <c r="B4">
        <v>3</v>
      </c>
      <c r="C4" t="s">
        <v>12</v>
      </c>
      <c r="D4" t="s">
        <v>11</v>
      </c>
      <c r="E4">
        <v>26</v>
      </c>
      <c r="F4">
        <v>0</v>
      </c>
      <c r="G4">
        <v>0</v>
      </c>
      <c r="H4">
        <v>7.9249999999999998</v>
      </c>
    </row>
    <row r="5" spans="1:8" x14ac:dyDescent="0.3">
      <c r="A5">
        <v>1</v>
      </c>
      <c r="B5">
        <v>1</v>
      </c>
      <c r="C5" t="s">
        <v>13</v>
      </c>
      <c r="D5" t="s">
        <v>11</v>
      </c>
      <c r="E5">
        <v>35</v>
      </c>
      <c r="F5">
        <v>1</v>
      </c>
      <c r="G5">
        <v>0</v>
      </c>
      <c r="H5">
        <v>53.1</v>
      </c>
    </row>
    <row r="6" spans="1:8" x14ac:dyDescent="0.3">
      <c r="A6">
        <v>0</v>
      </c>
      <c r="B6">
        <v>3</v>
      </c>
      <c r="C6" t="s">
        <v>14</v>
      </c>
      <c r="D6" t="s">
        <v>9</v>
      </c>
      <c r="E6">
        <v>35</v>
      </c>
      <c r="F6">
        <v>0</v>
      </c>
      <c r="G6">
        <v>0</v>
      </c>
      <c r="H6">
        <v>8.0500000000000007</v>
      </c>
    </row>
    <row r="7" spans="1:8" x14ac:dyDescent="0.3">
      <c r="A7">
        <v>0</v>
      </c>
      <c r="B7">
        <v>3</v>
      </c>
      <c r="C7" t="s">
        <v>15</v>
      </c>
      <c r="D7" t="s">
        <v>9</v>
      </c>
      <c r="E7">
        <v>27</v>
      </c>
      <c r="F7">
        <v>0</v>
      </c>
      <c r="G7">
        <v>0</v>
      </c>
      <c r="H7">
        <v>8.4582999999999995</v>
      </c>
    </row>
    <row r="8" spans="1:8" x14ac:dyDescent="0.3">
      <c r="A8">
        <v>0</v>
      </c>
      <c r="B8">
        <v>1</v>
      </c>
      <c r="C8" t="s">
        <v>16</v>
      </c>
      <c r="D8" t="s">
        <v>9</v>
      </c>
      <c r="E8">
        <v>54</v>
      </c>
      <c r="F8">
        <v>0</v>
      </c>
      <c r="G8">
        <v>0</v>
      </c>
      <c r="H8">
        <v>51.862499999999997</v>
      </c>
    </row>
    <row r="9" spans="1:8" x14ac:dyDescent="0.3">
      <c r="A9">
        <v>0</v>
      </c>
      <c r="B9">
        <v>3</v>
      </c>
      <c r="C9" t="s">
        <v>17</v>
      </c>
      <c r="D9" t="s">
        <v>9</v>
      </c>
      <c r="E9">
        <v>2</v>
      </c>
      <c r="F9">
        <v>3</v>
      </c>
      <c r="G9">
        <v>1</v>
      </c>
      <c r="H9">
        <v>21.074999999999999</v>
      </c>
    </row>
    <row r="10" spans="1:8" x14ac:dyDescent="0.3">
      <c r="A10">
        <v>1</v>
      </c>
      <c r="B10">
        <v>3</v>
      </c>
      <c r="C10" t="s">
        <v>18</v>
      </c>
      <c r="D10" t="s">
        <v>11</v>
      </c>
      <c r="E10">
        <v>27</v>
      </c>
      <c r="F10">
        <v>0</v>
      </c>
      <c r="G10">
        <v>2</v>
      </c>
      <c r="H10">
        <v>11.1333</v>
      </c>
    </row>
    <row r="11" spans="1:8" x14ac:dyDescent="0.3">
      <c r="A11">
        <v>1</v>
      </c>
      <c r="B11">
        <v>2</v>
      </c>
      <c r="C11" t="s">
        <v>19</v>
      </c>
      <c r="D11" t="s">
        <v>11</v>
      </c>
      <c r="E11">
        <v>14</v>
      </c>
      <c r="F11">
        <v>1</v>
      </c>
      <c r="G11">
        <v>0</v>
      </c>
      <c r="H11">
        <v>30.070799999999998</v>
      </c>
    </row>
    <row r="12" spans="1:8" x14ac:dyDescent="0.3">
      <c r="A12">
        <v>1</v>
      </c>
      <c r="B12">
        <v>3</v>
      </c>
      <c r="C12" t="s">
        <v>20</v>
      </c>
      <c r="D12" t="s">
        <v>11</v>
      </c>
      <c r="E12">
        <v>4</v>
      </c>
      <c r="F12">
        <v>1</v>
      </c>
      <c r="G12">
        <v>1</v>
      </c>
      <c r="H12">
        <v>16.7</v>
      </c>
    </row>
    <row r="13" spans="1:8" x14ac:dyDescent="0.3">
      <c r="A13">
        <v>1</v>
      </c>
      <c r="B13">
        <v>1</v>
      </c>
      <c r="C13" t="s">
        <v>21</v>
      </c>
      <c r="D13" t="s">
        <v>11</v>
      </c>
      <c r="E13">
        <v>58</v>
      </c>
      <c r="F13">
        <v>0</v>
      </c>
      <c r="G13">
        <v>0</v>
      </c>
      <c r="H13">
        <v>26.55</v>
      </c>
    </row>
    <row r="14" spans="1:8" x14ac:dyDescent="0.3">
      <c r="A14">
        <v>0</v>
      </c>
      <c r="B14">
        <v>3</v>
      </c>
      <c r="C14" t="s">
        <v>22</v>
      </c>
      <c r="D14" t="s">
        <v>9</v>
      </c>
      <c r="E14">
        <v>20</v>
      </c>
      <c r="F14">
        <v>0</v>
      </c>
      <c r="G14">
        <v>0</v>
      </c>
      <c r="H14">
        <v>8.0500000000000007</v>
      </c>
    </row>
    <row r="15" spans="1:8" x14ac:dyDescent="0.3">
      <c r="A15">
        <v>0</v>
      </c>
      <c r="B15">
        <v>3</v>
      </c>
      <c r="C15" t="s">
        <v>23</v>
      </c>
      <c r="D15" t="s">
        <v>9</v>
      </c>
      <c r="E15">
        <v>39</v>
      </c>
      <c r="F15">
        <v>1</v>
      </c>
      <c r="G15">
        <v>5</v>
      </c>
      <c r="H15">
        <v>31.274999999999999</v>
      </c>
    </row>
    <row r="16" spans="1:8" x14ac:dyDescent="0.3">
      <c r="A16">
        <v>0</v>
      </c>
      <c r="B16">
        <v>3</v>
      </c>
      <c r="C16" t="s">
        <v>24</v>
      </c>
      <c r="D16" t="s">
        <v>11</v>
      </c>
      <c r="E16">
        <v>14</v>
      </c>
      <c r="F16">
        <v>0</v>
      </c>
      <c r="G16">
        <v>0</v>
      </c>
      <c r="H16">
        <v>7.8541999999999996</v>
      </c>
    </row>
    <row r="17" spans="1:8" x14ac:dyDescent="0.3">
      <c r="A17">
        <v>1</v>
      </c>
      <c r="B17">
        <v>2</v>
      </c>
      <c r="C17" t="s">
        <v>25</v>
      </c>
      <c r="D17" t="s">
        <v>11</v>
      </c>
      <c r="E17">
        <v>55</v>
      </c>
      <c r="F17">
        <v>0</v>
      </c>
      <c r="G17">
        <v>0</v>
      </c>
      <c r="H17">
        <v>16</v>
      </c>
    </row>
    <row r="18" spans="1:8" x14ac:dyDescent="0.3">
      <c r="A18">
        <v>0</v>
      </c>
      <c r="B18">
        <v>3</v>
      </c>
      <c r="C18" t="s">
        <v>26</v>
      </c>
      <c r="D18" t="s">
        <v>9</v>
      </c>
      <c r="E18">
        <v>2</v>
      </c>
      <c r="F18">
        <v>4</v>
      </c>
      <c r="G18">
        <v>1</v>
      </c>
      <c r="H18">
        <v>29.125</v>
      </c>
    </row>
    <row r="19" spans="1:8" x14ac:dyDescent="0.3">
      <c r="A19">
        <v>1</v>
      </c>
      <c r="B19">
        <v>2</v>
      </c>
      <c r="C19" t="s">
        <v>27</v>
      </c>
      <c r="D19" t="s">
        <v>9</v>
      </c>
      <c r="E19">
        <v>23</v>
      </c>
      <c r="F19">
        <v>0</v>
      </c>
      <c r="G19">
        <v>0</v>
      </c>
      <c r="H19">
        <v>13</v>
      </c>
    </row>
    <row r="20" spans="1:8" x14ac:dyDescent="0.3">
      <c r="A20">
        <v>0</v>
      </c>
      <c r="B20">
        <v>3</v>
      </c>
      <c r="C20" t="s">
        <v>28</v>
      </c>
      <c r="D20" t="s">
        <v>11</v>
      </c>
      <c r="E20">
        <v>31</v>
      </c>
      <c r="F20">
        <v>1</v>
      </c>
      <c r="G20">
        <v>0</v>
      </c>
      <c r="H20">
        <v>18</v>
      </c>
    </row>
    <row r="21" spans="1:8" x14ac:dyDescent="0.3">
      <c r="A21">
        <v>1</v>
      </c>
      <c r="B21">
        <v>3</v>
      </c>
      <c r="C21" t="s">
        <v>29</v>
      </c>
      <c r="D21" t="s">
        <v>11</v>
      </c>
      <c r="E21">
        <v>22</v>
      </c>
      <c r="F21">
        <v>0</v>
      </c>
      <c r="G21">
        <v>0</v>
      </c>
      <c r="H21">
        <v>7.2249999999999996</v>
      </c>
    </row>
    <row r="22" spans="1:8" x14ac:dyDescent="0.3">
      <c r="A22">
        <v>0</v>
      </c>
      <c r="B22">
        <v>2</v>
      </c>
      <c r="C22" t="s">
        <v>30</v>
      </c>
      <c r="D22" t="s">
        <v>9</v>
      </c>
      <c r="E22">
        <v>35</v>
      </c>
      <c r="F22">
        <v>0</v>
      </c>
      <c r="G22">
        <v>0</v>
      </c>
      <c r="H22">
        <v>26</v>
      </c>
    </row>
    <row r="23" spans="1:8" x14ac:dyDescent="0.3">
      <c r="A23">
        <v>1</v>
      </c>
      <c r="B23">
        <v>2</v>
      </c>
      <c r="C23" t="s">
        <v>31</v>
      </c>
      <c r="D23" t="s">
        <v>9</v>
      </c>
      <c r="E23">
        <v>34</v>
      </c>
      <c r="F23">
        <v>0</v>
      </c>
      <c r="G23">
        <v>0</v>
      </c>
      <c r="H23">
        <v>13</v>
      </c>
    </row>
    <row r="24" spans="1:8" x14ac:dyDescent="0.3">
      <c r="A24">
        <v>1</v>
      </c>
      <c r="B24">
        <v>3</v>
      </c>
      <c r="C24" t="s">
        <v>32</v>
      </c>
      <c r="D24" t="s">
        <v>11</v>
      </c>
      <c r="E24">
        <v>15</v>
      </c>
      <c r="F24">
        <v>0</v>
      </c>
      <c r="G24">
        <v>0</v>
      </c>
      <c r="H24">
        <v>8.0291999999999994</v>
      </c>
    </row>
    <row r="25" spans="1:8" x14ac:dyDescent="0.3">
      <c r="A25">
        <v>1</v>
      </c>
      <c r="B25">
        <v>1</v>
      </c>
      <c r="C25" t="s">
        <v>33</v>
      </c>
      <c r="D25" t="s">
        <v>9</v>
      </c>
      <c r="E25">
        <v>28</v>
      </c>
      <c r="F25">
        <v>0</v>
      </c>
      <c r="G25">
        <v>0</v>
      </c>
      <c r="H25">
        <v>35.5</v>
      </c>
    </row>
    <row r="26" spans="1:8" x14ac:dyDescent="0.3">
      <c r="A26">
        <v>0</v>
      </c>
      <c r="B26">
        <v>3</v>
      </c>
      <c r="C26" t="s">
        <v>34</v>
      </c>
      <c r="D26" t="s">
        <v>11</v>
      </c>
      <c r="E26">
        <v>8</v>
      </c>
      <c r="F26">
        <v>3</v>
      </c>
      <c r="G26">
        <v>1</v>
      </c>
      <c r="H26">
        <v>21.074999999999999</v>
      </c>
    </row>
    <row r="27" spans="1:8" x14ac:dyDescent="0.3">
      <c r="A27">
        <v>1</v>
      </c>
      <c r="B27">
        <v>3</v>
      </c>
      <c r="C27" t="s">
        <v>35</v>
      </c>
      <c r="D27" t="s">
        <v>11</v>
      </c>
      <c r="E27">
        <v>38</v>
      </c>
      <c r="F27">
        <v>1</v>
      </c>
      <c r="G27">
        <v>5</v>
      </c>
      <c r="H27">
        <v>31.387499999999999</v>
      </c>
    </row>
    <row r="28" spans="1:8" x14ac:dyDescent="0.3">
      <c r="A28">
        <v>0</v>
      </c>
      <c r="B28">
        <v>3</v>
      </c>
      <c r="C28" t="s">
        <v>36</v>
      </c>
      <c r="D28" t="s">
        <v>9</v>
      </c>
      <c r="E28">
        <v>26</v>
      </c>
      <c r="F28">
        <v>0</v>
      </c>
      <c r="G28">
        <v>0</v>
      </c>
      <c r="H28">
        <v>7.2249999999999996</v>
      </c>
    </row>
    <row r="29" spans="1:8" x14ac:dyDescent="0.3">
      <c r="A29">
        <v>0</v>
      </c>
      <c r="B29">
        <v>1</v>
      </c>
      <c r="C29" t="s">
        <v>37</v>
      </c>
      <c r="D29" t="s">
        <v>9</v>
      </c>
      <c r="E29">
        <v>19</v>
      </c>
      <c r="F29">
        <v>3</v>
      </c>
      <c r="G29">
        <v>2</v>
      </c>
      <c r="H29">
        <v>263</v>
      </c>
    </row>
    <row r="30" spans="1:8" x14ac:dyDescent="0.3">
      <c r="A30">
        <v>1</v>
      </c>
      <c r="B30">
        <v>3</v>
      </c>
      <c r="C30" t="s">
        <v>38</v>
      </c>
      <c r="D30" t="s">
        <v>11</v>
      </c>
      <c r="E30">
        <v>24</v>
      </c>
      <c r="F30">
        <v>0</v>
      </c>
      <c r="G30">
        <v>0</v>
      </c>
      <c r="H30">
        <v>7.8792</v>
      </c>
    </row>
    <row r="31" spans="1:8" x14ac:dyDescent="0.3">
      <c r="A31">
        <v>0</v>
      </c>
      <c r="B31">
        <v>3</v>
      </c>
      <c r="C31" t="s">
        <v>39</v>
      </c>
      <c r="D31" t="s">
        <v>9</v>
      </c>
      <c r="E31">
        <v>23</v>
      </c>
      <c r="F31">
        <v>0</v>
      </c>
      <c r="G31">
        <v>0</v>
      </c>
      <c r="H31">
        <v>7.8958000000000004</v>
      </c>
    </row>
    <row r="32" spans="1:8" x14ac:dyDescent="0.3">
      <c r="A32">
        <v>0</v>
      </c>
      <c r="B32">
        <v>1</v>
      </c>
      <c r="C32" t="s">
        <v>40</v>
      </c>
      <c r="D32" t="s">
        <v>9</v>
      </c>
      <c r="E32">
        <v>40</v>
      </c>
      <c r="F32">
        <v>0</v>
      </c>
      <c r="G32">
        <v>0</v>
      </c>
      <c r="H32">
        <v>27.720800000000001</v>
      </c>
    </row>
    <row r="33" spans="1:8" x14ac:dyDescent="0.3">
      <c r="A33">
        <v>1</v>
      </c>
      <c r="B33">
        <v>1</v>
      </c>
      <c r="C33" t="s">
        <v>41</v>
      </c>
      <c r="D33" t="s">
        <v>11</v>
      </c>
      <c r="E33">
        <v>48</v>
      </c>
      <c r="F33">
        <v>1</v>
      </c>
      <c r="G33">
        <v>0</v>
      </c>
      <c r="H33">
        <v>146.52080000000001</v>
      </c>
    </row>
    <row r="34" spans="1:8" x14ac:dyDescent="0.3">
      <c r="A34">
        <v>1</v>
      </c>
      <c r="B34">
        <v>3</v>
      </c>
      <c r="C34" t="s">
        <v>42</v>
      </c>
      <c r="D34" t="s">
        <v>11</v>
      </c>
      <c r="E34">
        <v>18</v>
      </c>
      <c r="F34">
        <v>0</v>
      </c>
      <c r="G34">
        <v>0</v>
      </c>
      <c r="H34">
        <v>7.75</v>
      </c>
    </row>
    <row r="35" spans="1:8" x14ac:dyDescent="0.3">
      <c r="A35">
        <v>0</v>
      </c>
      <c r="B35">
        <v>2</v>
      </c>
      <c r="C35" t="s">
        <v>43</v>
      </c>
      <c r="D35" t="s">
        <v>9</v>
      </c>
      <c r="E35">
        <v>66</v>
      </c>
      <c r="F35">
        <v>0</v>
      </c>
      <c r="G35">
        <v>0</v>
      </c>
      <c r="H35">
        <v>10.5</v>
      </c>
    </row>
    <row r="36" spans="1:8" x14ac:dyDescent="0.3">
      <c r="A36">
        <v>0</v>
      </c>
      <c r="B36">
        <v>1</v>
      </c>
      <c r="C36" t="s">
        <v>44</v>
      </c>
      <c r="D36" t="s">
        <v>9</v>
      </c>
      <c r="E36">
        <v>28</v>
      </c>
      <c r="F36">
        <v>1</v>
      </c>
      <c r="G36">
        <v>0</v>
      </c>
      <c r="H36">
        <v>82.1708</v>
      </c>
    </row>
    <row r="37" spans="1:8" x14ac:dyDescent="0.3">
      <c r="A37">
        <v>0</v>
      </c>
      <c r="B37">
        <v>1</v>
      </c>
      <c r="C37" t="s">
        <v>45</v>
      </c>
      <c r="D37" t="s">
        <v>9</v>
      </c>
      <c r="E37">
        <v>42</v>
      </c>
      <c r="F37">
        <v>1</v>
      </c>
      <c r="G37">
        <v>0</v>
      </c>
      <c r="H37">
        <v>52</v>
      </c>
    </row>
    <row r="38" spans="1:8" x14ac:dyDescent="0.3">
      <c r="A38">
        <v>1</v>
      </c>
      <c r="B38">
        <v>3</v>
      </c>
      <c r="C38" t="s">
        <v>46</v>
      </c>
      <c r="D38" t="s">
        <v>9</v>
      </c>
      <c r="E38">
        <v>18</v>
      </c>
      <c r="F38">
        <v>0</v>
      </c>
      <c r="G38">
        <v>0</v>
      </c>
      <c r="H38">
        <v>7.2291999999999996</v>
      </c>
    </row>
    <row r="39" spans="1:8" x14ac:dyDescent="0.3">
      <c r="A39">
        <v>0</v>
      </c>
      <c r="B39">
        <v>3</v>
      </c>
      <c r="C39" t="s">
        <v>47</v>
      </c>
      <c r="D39" t="s">
        <v>9</v>
      </c>
      <c r="E39">
        <v>21</v>
      </c>
      <c r="F39">
        <v>0</v>
      </c>
      <c r="G39">
        <v>0</v>
      </c>
      <c r="H39">
        <v>8.0500000000000007</v>
      </c>
    </row>
    <row r="40" spans="1:8" x14ac:dyDescent="0.3">
      <c r="A40">
        <v>0</v>
      </c>
      <c r="B40">
        <v>3</v>
      </c>
      <c r="C40" t="s">
        <v>48</v>
      </c>
      <c r="D40" t="s">
        <v>11</v>
      </c>
      <c r="E40">
        <v>18</v>
      </c>
      <c r="F40">
        <v>2</v>
      </c>
      <c r="G40">
        <v>0</v>
      </c>
      <c r="H40">
        <v>18</v>
      </c>
    </row>
    <row r="41" spans="1:8" x14ac:dyDescent="0.3">
      <c r="A41">
        <v>1</v>
      </c>
      <c r="B41">
        <v>3</v>
      </c>
      <c r="C41" t="s">
        <v>49</v>
      </c>
      <c r="D41" t="s">
        <v>11</v>
      </c>
      <c r="E41">
        <v>14</v>
      </c>
      <c r="F41">
        <v>1</v>
      </c>
      <c r="G41">
        <v>0</v>
      </c>
      <c r="H41">
        <v>11.2417</v>
      </c>
    </row>
    <row r="42" spans="1:8" x14ac:dyDescent="0.3">
      <c r="A42">
        <v>0</v>
      </c>
      <c r="B42">
        <v>3</v>
      </c>
      <c r="C42" t="s">
        <v>50</v>
      </c>
      <c r="D42" t="s">
        <v>11</v>
      </c>
      <c r="E42">
        <v>40</v>
      </c>
      <c r="F42">
        <v>1</v>
      </c>
      <c r="G42">
        <v>0</v>
      </c>
      <c r="H42">
        <v>9.4749999999999996</v>
      </c>
    </row>
    <row r="43" spans="1:8" x14ac:dyDescent="0.3">
      <c r="A43">
        <v>0</v>
      </c>
      <c r="B43">
        <v>2</v>
      </c>
      <c r="C43" t="s">
        <v>51</v>
      </c>
      <c r="D43" t="s">
        <v>11</v>
      </c>
      <c r="E43">
        <v>27</v>
      </c>
      <c r="F43">
        <v>1</v>
      </c>
      <c r="G43">
        <v>0</v>
      </c>
      <c r="H43">
        <v>21</v>
      </c>
    </row>
    <row r="44" spans="1:8" x14ac:dyDescent="0.3">
      <c r="A44">
        <v>1</v>
      </c>
      <c r="B44">
        <v>2</v>
      </c>
      <c r="C44" t="s">
        <v>52</v>
      </c>
      <c r="D44" t="s">
        <v>11</v>
      </c>
      <c r="E44">
        <v>3</v>
      </c>
      <c r="F44">
        <v>1</v>
      </c>
      <c r="G44">
        <v>2</v>
      </c>
      <c r="H44">
        <v>41.5792</v>
      </c>
    </row>
    <row r="45" spans="1:8" x14ac:dyDescent="0.3">
      <c r="A45">
        <v>1</v>
      </c>
      <c r="B45">
        <v>3</v>
      </c>
      <c r="C45" t="s">
        <v>53</v>
      </c>
      <c r="D45" t="s">
        <v>11</v>
      </c>
      <c r="E45">
        <v>19</v>
      </c>
      <c r="F45">
        <v>0</v>
      </c>
      <c r="G45">
        <v>0</v>
      </c>
      <c r="H45">
        <v>7.8792</v>
      </c>
    </row>
    <row r="46" spans="1:8" x14ac:dyDescent="0.3">
      <c r="A46">
        <v>0</v>
      </c>
      <c r="B46">
        <v>3</v>
      </c>
      <c r="C46" t="s">
        <v>54</v>
      </c>
      <c r="D46" t="s">
        <v>9</v>
      </c>
      <c r="E46">
        <v>30</v>
      </c>
      <c r="F46">
        <v>0</v>
      </c>
      <c r="G46">
        <v>0</v>
      </c>
      <c r="H46">
        <v>8.0500000000000007</v>
      </c>
    </row>
    <row r="47" spans="1:8" x14ac:dyDescent="0.3">
      <c r="A47">
        <v>0</v>
      </c>
      <c r="B47">
        <v>3</v>
      </c>
      <c r="C47" t="s">
        <v>55</v>
      </c>
      <c r="D47" t="s">
        <v>9</v>
      </c>
      <c r="E47">
        <v>20</v>
      </c>
      <c r="F47">
        <v>1</v>
      </c>
      <c r="G47">
        <v>0</v>
      </c>
      <c r="H47">
        <v>15.5</v>
      </c>
    </row>
    <row r="48" spans="1:8" x14ac:dyDescent="0.3">
      <c r="A48">
        <v>1</v>
      </c>
      <c r="B48">
        <v>3</v>
      </c>
      <c r="C48" t="s">
        <v>56</v>
      </c>
      <c r="D48" t="s">
        <v>11</v>
      </c>
      <c r="E48">
        <v>27</v>
      </c>
      <c r="F48">
        <v>0</v>
      </c>
      <c r="G48">
        <v>0</v>
      </c>
      <c r="H48">
        <v>7.75</v>
      </c>
    </row>
    <row r="49" spans="1:8" x14ac:dyDescent="0.3">
      <c r="A49">
        <v>0</v>
      </c>
      <c r="B49">
        <v>3</v>
      </c>
      <c r="C49" t="s">
        <v>57</v>
      </c>
      <c r="D49" t="s">
        <v>9</v>
      </c>
      <c r="E49">
        <v>16</v>
      </c>
      <c r="F49">
        <v>2</v>
      </c>
      <c r="G49">
        <v>0</v>
      </c>
      <c r="H49">
        <v>21.679200000000002</v>
      </c>
    </row>
    <row r="50" spans="1:8" x14ac:dyDescent="0.3">
      <c r="A50">
        <v>0</v>
      </c>
      <c r="B50">
        <v>3</v>
      </c>
      <c r="C50" t="s">
        <v>58</v>
      </c>
      <c r="D50" t="s">
        <v>11</v>
      </c>
      <c r="E50">
        <v>18</v>
      </c>
      <c r="F50">
        <v>1</v>
      </c>
      <c r="G50">
        <v>0</v>
      </c>
      <c r="H50">
        <v>17.8</v>
      </c>
    </row>
    <row r="51" spans="1:8" x14ac:dyDescent="0.3">
      <c r="A51">
        <v>0</v>
      </c>
      <c r="B51">
        <v>3</v>
      </c>
      <c r="C51" t="s">
        <v>59</v>
      </c>
      <c r="D51" t="s">
        <v>9</v>
      </c>
      <c r="E51">
        <v>7</v>
      </c>
      <c r="F51">
        <v>4</v>
      </c>
      <c r="G51">
        <v>1</v>
      </c>
      <c r="H51">
        <v>39.6875</v>
      </c>
    </row>
    <row r="52" spans="1:8" x14ac:dyDescent="0.3">
      <c r="A52">
        <v>0</v>
      </c>
      <c r="B52">
        <v>3</v>
      </c>
      <c r="C52" t="s">
        <v>60</v>
      </c>
      <c r="D52" t="s">
        <v>9</v>
      </c>
      <c r="E52">
        <v>21</v>
      </c>
      <c r="F52">
        <v>0</v>
      </c>
      <c r="G52">
        <v>0</v>
      </c>
      <c r="H52">
        <v>7.8</v>
      </c>
    </row>
    <row r="53" spans="1:8" x14ac:dyDescent="0.3">
      <c r="A53">
        <v>1</v>
      </c>
      <c r="B53">
        <v>1</v>
      </c>
      <c r="C53" t="s">
        <v>61</v>
      </c>
      <c r="D53" t="s">
        <v>11</v>
      </c>
      <c r="E53">
        <v>49</v>
      </c>
      <c r="F53">
        <v>1</v>
      </c>
      <c r="G53">
        <v>0</v>
      </c>
      <c r="H53">
        <v>76.729200000000006</v>
      </c>
    </row>
    <row r="54" spans="1:8" x14ac:dyDescent="0.3">
      <c r="A54">
        <v>1</v>
      </c>
      <c r="B54">
        <v>2</v>
      </c>
      <c r="C54" t="s">
        <v>62</v>
      </c>
      <c r="D54" t="s">
        <v>11</v>
      </c>
      <c r="E54">
        <v>29</v>
      </c>
      <c r="F54">
        <v>1</v>
      </c>
      <c r="G54">
        <v>0</v>
      </c>
      <c r="H54">
        <v>26</v>
      </c>
    </row>
    <row r="55" spans="1:8" x14ac:dyDescent="0.3">
      <c r="A55">
        <v>0</v>
      </c>
      <c r="B55">
        <v>1</v>
      </c>
      <c r="C55" t="s">
        <v>63</v>
      </c>
      <c r="D55" t="s">
        <v>9</v>
      </c>
      <c r="E55">
        <v>65</v>
      </c>
      <c r="F55">
        <v>0</v>
      </c>
      <c r="G55">
        <v>1</v>
      </c>
      <c r="H55">
        <v>61.979199999999999</v>
      </c>
    </row>
    <row r="56" spans="1:8" x14ac:dyDescent="0.3">
      <c r="A56">
        <v>1</v>
      </c>
      <c r="B56">
        <v>1</v>
      </c>
      <c r="C56" t="s">
        <v>64</v>
      </c>
      <c r="D56" t="s">
        <v>9</v>
      </c>
      <c r="E56">
        <v>46</v>
      </c>
      <c r="F56">
        <v>0</v>
      </c>
      <c r="G56">
        <v>0</v>
      </c>
      <c r="H56">
        <v>35.5</v>
      </c>
    </row>
    <row r="57" spans="1:8" x14ac:dyDescent="0.3">
      <c r="A57">
        <v>1</v>
      </c>
      <c r="B57">
        <v>2</v>
      </c>
      <c r="C57" t="s">
        <v>65</v>
      </c>
      <c r="D57" t="s">
        <v>11</v>
      </c>
      <c r="E57">
        <v>21</v>
      </c>
      <c r="F57">
        <v>0</v>
      </c>
      <c r="G57">
        <v>0</v>
      </c>
      <c r="H57">
        <v>10.5</v>
      </c>
    </row>
    <row r="58" spans="1:8" x14ac:dyDescent="0.3">
      <c r="A58">
        <v>0</v>
      </c>
      <c r="B58">
        <v>3</v>
      </c>
      <c r="C58" t="s">
        <v>66</v>
      </c>
      <c r="D58" t="s">
        <v>9</v>
      </c>
      <c r="E58">
        <v>28.5</v>
      </c>
      <c r="F58">
        <v>0</v>
      </c>
      <c r="G58">
        <v>0</v>
      </c>
      <c r="H58">
        <v>7.2291999999999996</v>
      </c>
    </row>
    <row r="59" spans="1:8" x14ac:dyDescent="0.3">
      <c r="A59">
        <v>1</v>
      </c>
      <c r="B59">
        <v>2</v>
      </c>
      <c r="C59" t="s">
        <v>67</v>
      </c>
      <c r="D59" t="s">
        <v>11</v>
      </c>
      <c r="E59">
        <v>5</v>
      </c>
      <c r="F59">
        <v>1</v>
      </c>
      <c r="G59">
        <v>2</v>
      </c>
      <c r="H59">
        <v>27.75</v>
      </c>
    </row>
    <row r="60" spans="1:8" x14ac:dyDescent="0.3">
      <c r="A60">
        <v>0</v>
      </c>
      <c r="B60">
        <v>3</v>
      </c>
      <c r="C60" t="s">
        <v>68</v>
      </c>
      <c r="D60" t="s">
        <v>9</v>
      </c>
      <c r="E60">
        <v>11</v>
      </c>
      <c r="F60">
        <v>5</v>
      </c>
      <c r="G60">
        <v>2</v>
      </c>
      <c r="H60">
        <v>46.9</v>
      </c>
    </row>
    <row r="61" spans="1:8" x14ac:dyDescent="0.3">
      <c r="A61">
        <v>0</v>
      </c>
      <c r="B61">
        <v>3</v>
      </c>
      <c r="C61" t="s">
        <v>69</v>
      </c>
      <c r="D61" t="s">
        <v>9</v>
      </c>
      <c r="E61">
        <v>22</v>
      </c>
      <c r="F61">
        <v>0</v>
      </c>
      <c r="G61">
        <v>0</v>
      </c>
      <c r="H61">
        <v>7.2291999999999996</v>
      </c>
    </row>
    <row r="62" spans="1:8" x14ac:dyDescent="0.3">
      <c r="A62">
        <v>1</v>
      </c>
      <c r="B62">
        <v>1</v>
      </c>
      <c r="C62" t="s">
        <v>70</v>
      </c>
      <c r="D62" t="s">
        <v>11</v>
      </c>
      <c r="E62">
        <v>38</v>
      </c>
      <c r="F62">
        <v>0</v>
      </c>
      <c r="G62">
        <v>0</v>
      </c>
      <c r="H62">
        <v>80</v>
      </c>
    </row>
    <row r="63" spans="1:8" x14ac:dyDescent="0.3">
      <c r="A63">
        <v>0</v>
      </c>
      <c r="B63">
        <v>1</v>
      </c>
      <c r="C63" t="s">
        <v>71</v>
      </c>
      <c r="D63" t="s">
        <v>9</v>
      </c>
      <c r="E63">
        <v>45</v>
      </c>
      <c r="F63">
        <v>1</v>
      </c>
      <c r="G63">
        <v>0</v>
      </c>
      <c r="H63">
        <v>83.474999999999994</v>
      </c>
    </row>
    <row r="64" spans="1:8" x14ac:dyDescent="0.3">
      <c r="A64">
        <v>0</v>
      </c>
      <c r="B64">
        <v>3</v>
      </c>
      <c r="C64" t="s">
        <v>72</v>
      </c>
      <c r="D64" t="s">
        <v>9</v>
      </c>
      <c r="E64">
        <v>4</v>
      </c>
      <c r="F64">
        <v>3</v>
      </c>
      <c r="G64">
        <v>2</v>
      </c>
      <c r="H64">
        <v>27.9</v>
      </c>
    </row>
    <row r="65" spans="1:8" x14ac:dyDescent="0.3">
      <c r="A65">
        <v>0</v>
      </c>
      <c r="B65">
        <v>1</v>
      </c>
      <c r="C65" t="s">
        <v>73</v>
      </c>
      <c r="D65" t="s">
        <v>9</v>
      </c>
      <c r="E65">
        <v>64</v>
      </c>
      <c r="F65">
        <v>0</v>
      </c>
      <c r="G65">
        <v>0</v>
      </c>
      <c r="H65">
        <v>27.720800000000001</v>
      </c>
    </row>
    <row r="66" spans="1:8" x14ac:dyDescent="0.3">
      <c r="A66">
        <v>1</v>
      </c>
      <c r="B66">
        <v>3</v>
      </c>
      <c r="C66" t="s">
        <v>74</v>
      </c>
      <c r="D66" t="s">
        <v>9</v>
      </c>
      <c r="E66">
        <v>7</v>
      </c>
      <c r="F66">
        <v>1</v>
      </c>
      <c r="G66">
        <v>1</v>
      </c>
      <c r="H66">
        <v>15.245799999999999</v>
      </c>
    </row>
    <row r="67" spans="1:8" x14ac:dyDescent="0.3">
      <c r="A67">
        <v>1</v>
      </c>
      <c r="B67">
        <v>2</v>
      </c>
      <c r="C67" t="s">
        <v>75</v>
      </c>
      <c r="D67" t="s">
        <v>11</v>
      </c>
      <c r="E67">
        <v>29</v>
      </c>
      <c r="F67">
        <v>0</v>
      </c>
      <c r="G67">
        <v>0</v>
      </c>
      <c r="H67">
        <v>10.5</v>
      </c>
    </row>
    <row r="68" spans="1:8" x14ac:dyDescent="0.3">
      <c r="A68">
        <v>0</v>
      </c>
      <c r="B68">
        <v>3</v>
      </c>
      <c r="C68" t="s">
        <v>76</v>
      </c>
      <c r="D68" t="s">
        <v>9</v>
      </c>
      <c r="E68">
        <v>19</v>
      </c>
      <c r="F68">
        <v>0</v>
      </c>
      <c r="G68">
        <v>0</v>
      </c>
      <c r="H68">
        <v>8.1583000000000006</v>
      </c>
    </row>
    <row r="69" spans="1:8" x14ac:dyDescent="0.3">
      <c r="A69">
        <v>1</v>
      </c>
      <c r="B69">
        <v>3</v>
      </c>
      <c r="C69" t="s">
        <v>77</v>
      </c>
      <c r="D69" t="s">
        <v>11</v>
      </c>
      <c r="E69">
        <v>17</v>
      </c>
      <c r="F69">
        <v>4</v>
      </c>
      <c r="G69">
        <v>2</v>
      </c>
      <c r="H69">
        <v>7.9249999999999998</v>
      </c>
    </row>
    <row r="70" spans="1:8" x14ac:dyDescent="0.3">
      <c r="A70">
        <v>0</v>
      </c>
      <c r="B70">
        <v>3</v>
      </c>
      <c r="C70" t="s">
        <v>78</v>
      </c>
      <c r="D70" t="s">
        <v>9</v>
      </c>
      <c r="E70">
        <v>26</v>
      </c>
      <c r="F70">
        <v>2</v>
      </c>
      <c r="G70">
        <v>0</v>
      </c>
      <c r="H70">
        <v>8.6624999999999996</v>
      </c>
    </row>
    <row r="71" spans="1:8" x14ac:dyDescent="0.3">
      <c r="A71">
        <v>0</v>
      </c>
      <c r="B71">
        <v>2</v>
      </c>
      <c r="C71" t="s">
        <v>79</v>
      </c>
      <c r="D71" t="s">
        <v>9</v>
      </c>
      <c r="E71">
        <v>32</v>
      </c>
      <c r="F71">
        <v>0</v>
      </c>
      <c r="G71">
        <v>0</v>
      </c>
      <c r="H71">
        <v>10.5</v>
      </c>
    </row>
    <row r="72" spans="1:8" x14ac:dyDescent="0.3">
      <c r="A72">
        <v>0</v>
      </c>
      <c r="B72">
        <v>3</v>
      </c>
      <c r="C72" t="s">
        <v>80</v>
      </c>
      <c r="D72" t="s">
        <v>11</v>
      </c>
      <c r="E72">
        <v>16</v>
      </c>
      <c r="F72">
        <v>5</v>
      </c>
      <c r="G72">
        <v>2</v>
      </c>
      <c r="H72">
        <v>46.9</v>
      </c>
    </row>
    <row r="73" spans="1:8" x14ac:dyDescent="0.3">
      <c r="A73">
        <v>0</v>
      </c>
      <c r="B73">
        <v>2</v>
      </c>
      <c r="C73" t="s">
        <v>81</v>
      </c>
      <c r="D73" t="s">
        <v>9</v>
      </c>
      <c r="E73">
        <v>21</v>
      </c>
      <c r="F73">
        <v>0</v>
      </c>
      <c r="G73">
        <v>0</v>
      </c>
      <c r="H73">
        <v>73.5</v>
      </c>
    </row>
    <row r="74" spans="1:8" x14ac:dyDescent="0.3">
      <c r="A74">
        <v>0</v>
      </c>
      <c r="B74">
        <v>3</v>
      </c>
      <c r="C74" t="s">
        <v>82</v>
      </c>
      <c r="D74" t="s">
        <v>9</v>
      </c>
      <c r="E74">
        <v>26</v>
      </c>
      <c r="F74">
        <v>1</v>
      </c>
      <c r="G74">
        <v>0</v>
      </c>
      <c r="H74">
        <v>14.4542</v>
      </c>
    </row>
    <row r="75" spans="1:8" x14ac:dyDescent="0.3">
      <c r="A75">
        <v>1</v>
      </c>
      <c r="B75">
        <v>3</v>
      </c>
      <c r="C75" t="s">
        <v>83</v>
      </c>
      <c r="D75" t="s">
        <v>9</v>
      </c>
      <c r="E75">
        <v>32</v>
      </c>
      <c r="F75">
        <v>0</v>
      </c>
      <c r="G75">
        <v>0</v>
      </c>
      <c r="H75">
        <v>56.495800000000003</v>
      </c>
    </row>
    <row r="76" spans="1:8" x14ac:dyDescent="0.3">
      <c r="A76">
        <v>0</v>
      </c>
      <c r="B76">
        <v>3</v>
      </c>
      <c r="C76" t="s">
        <v>84</v>
      </c>
      <c r="D76" t="s">
        <v>9</v>
      </c>
      <c r="E76">
        <v>25</v>
      </c>
      <c r="F76">
        <v>0</v>
      </c>
      <c r="G76">
        <v>0</v>
      </c>
      <c r="H76">
        <v>7.65</v>
      </c>
    </row>
    <row r="77" spans="1:8" x14ac:dyDescent="0.3">
      <c r="A77">
        <v>0</v>
      </c>
      <c r="B77">
        <v>3</v>
      </c>
      <c r="C77" t="s">
        <v>85</v>
      </c>
      <c r="D77" t="s">
        <v>9</v>
      </c>
      <c r="E77">
        <v>23</v>
      </c>
      <c r="F77">
        <v>0</v>
      </c>
      <c r="G77">
        <v>0</v>
      </c>
      <c r="H77">
        <v>7.8958000000000004</v>
      </c>
    </row>
    <row r="78" spans="1:8" x14ac:dyDescent="0.3">
      <c r="A78">
        <v>0</v>
      </c>
      <c r="B78">
        <v>3</v>
      </c>
      <c r="C78" t="s">
        <v>86</v>
      </c>
      <c r="D78" t="s">
        <v>9</v>
      </c>
      <c r="E78">
        <v>28</v>
      </c>
      <c r="F78">
        <v>0</v>
      </c>
      <c r="G78">
        <v>0</v>
      </c>
      <c r="H78">
        <v>8.0500000000000007</v>
      </c>
    </row>
    <row r="79" spans="1:8" x14ac:dyDescent="0.3">
      <c r="A79">
        <v>1</v>
      </c>
      <c r="B79">
        <v>2</v>
      </c>
      <c r="C79" t="s">
        <v>87</v>
      </c>
      <c r="D79" t="s">
        <v>9</v>
      </c>
      <c r="E79">
        <v>0.83</v>
      </c>
      <c r="F79">
        <v>0</v>
      </c>
      <c r="G79">
        <v>2</v>
      </c>
      <c r="H79">
        <v>29</v>
      </c>
    </row>
    <row r="80" spans="1:8" x14ac:dyDescent="0.3">
      <c r="A80">
        <v>1</v>
      </c>
      <c r="B80">
        <v>3</v>
      </c>
      <c r="C80" t="s">
        <v>88</v>
      </c>
      <c r="D80" t="s">
        <v>11</v>
      </c>
      <c r="E80">
        <v>30</v>
      </c>
      <c r="F80">
        <v>0</v>
      </c>
      <c r="G80">
        <v>0</v>
      </c>
      <c r="H80">
        <v>12.475</v>
      </c>
    </row>
    <row r="81" spans="1:8" x14ac:dyDescent="0.3">
      <c r="A81">
        <v>0</v>
      </c>
      <c r="B81">
        <v>3</v>
      </c>
      <c r="C81" t="s">
        <v>89</v>
      </c>
      <c r="D81" t="s">
        <v>9</v>
      </c>
      <c r="E81">
        <v>22</v>
      </c>
      <c r="F81">
        <v>0</v>
      </c>
      <c r="G81">
        <v>0</v>
      </c>
      <c r="H81">
        <v>9</v>
      </c>
    </row>
    <row r="82" spans="1:8" x14ac:dyDescent="0.3">
      <c r="A82">
        <v>1</v>
      </c>
      <c r="B82">
        <v>3</v>
      </c>
      <c r="C82" t="s">
        <v>90</v>
      </c>
      <c r="D82" t="s">
        <v>9</v>
      </c>
      <c r="E82">
        <v>29</v>
      </c>
      <c r="F82">
        <v>0</v>
      </c>
      <c r="G82">
        <v>0</v>
      </c>
      <c r="H82">
        <v>9.5</v>
      </c>
    </row>
    <row r="83" spans="1:8" x14ac:dyDescent="0.3">
      <c r="A83">
        <v>1</v>
      </c>
      <c r="B83">
        <v>3</v>
      </c>
      <c r="C83" t="s">
        <v>91</v>
      </c>
      <c r="D83" t="s">
        <v>11</v>
      </c>
      <c r="E83">
        <v>31</v>
      </c>
      <c r="F83">
        <v>0</v>
      </c>
      <c r="G83">
        <v>0</v>
      </c>
      <c r="H83">
        <v>7.7874999999999996</v>
      </c>
    </row>
    <row r="84" spans="1:8" x14ac:dyDescent="0.3">
      <c r="A84">
        <v>0</v>
      </c>
      <c r="B84">
        <v>1</v>
      </c>
      <c r="C84" t="s">
        <v>92</v>
      </c>
      <c r="D84" t="s">
        <v>9</v>
      </c>
      <c r="E84">
        <v>28</v>
      </c>
      <c r="F84">
        <v>0</v>
      </c>
      <c r="G84">
        <v>0</v>
      </c>
      <c r="H84">
        <v>47.1</v>
      </c>
    </row>
    <row r="85" spans="1:8" x14ac:dyDescent="0.3">
      <c r="A85">
        <v>1</v>
      </c>
      <c r="B85">
        <v>2</v>
      </c>
      <c r="C85" t="s">
        <v>93</v>
      </c>
      <c r="D85" t="s">
        <v>11</v>
      </c>
      <c r="E85">
        <v>17</v>
      </c>
      <c r="F85">
        <v>0</v>
      </c>
      <c r="G85">
        <v>0</v>
      </c>
      <c r="H85">
        <v>10.5</v>
      </c>
    </row>
    <row r="86" spans="1:8" x14ac:dyDescent="0.3">
      <c r="A86">
        <v>1</v>
      </c>
      <c r="B86">
        <v>3</v>
      </c>
      <c r="C86" t="s">
        <v>94</v>
      </c>
      <c r="D86" t="s">
        <v>11</v>
      </c>
      <c r="E86">
        <v>33</v>
      </c>
      <c r="F86">
        <v>3</v>
      </c>
      <c r="G86">
        <v>0</v>
      </c>
      <c r="H86">
        <v>15.85</v>
      </c>
    </row>
    <row r="87" spans="1:8" x14ac:dyDescent="0.3">
      <c r="A87">
        <v>0</v>
      </c>
      <c r="B87">
        <v>3</v>
      </c>
      <c r="C87" t="s">
        <v>95</v>
      </c>
      <c r="D87" t="s">
        <v>9</v>
      </c>
      <c r="E87">
        <v>16</v>
      </c>
      <c r="F87">
        <v>1</v>
      </c>
      <c r="G87">
        <v>3</v>
      </c>
      <c r="H87">
        <v>34.375</v>
      </c>
    </row>
    <row r="88" spans="1:8" x14ac:dyDescent="0.3">
      <c r="A88">
        <v>0</v>
      </c>
      <c r="B88">
        <v>3</v>
      </c>
      <c r="C88" t="s">
        <v>96</v>
      </c>
      <c r="D88" t="s">
        <v>9</v>
      </c>
      <c r="E88">
        <v>20</v>
      </c>
      <c r="F88">
        <v>0</v>
      </c>
      <c r="G88">
        <v>0</v>
      </c>
      <c r="H88">
        <v>8.0500000000000007</v>
      </c>
    </row>
    <row r="89" spans="1:8" x14ac:dyDescent="0.3">
      <c r="A89">
        <v>1</v>
      </c>
      <c r="B89">
        <v>1</v>
      </c>
      <c r="C89" t="s">
        <v>97</v>
      </c>
      <c r="D89" t="s">
        <v>11</v>
      </c>
      <c r="E89">
        <v>23</v>
      </c>
      <c r="F89">
        <v>3</v>
      </c>
      <c r="G89">
        <v>2</v>
      </c>
      <c r="H89">
        <v>263</v>
      </c>
    </row>
    <row r="90" spans="1:8" x14ac:dyDescent="0.3">
      <c r="A90">
        <v>0</v>
      </c>
      <c r="B90">
        <v>3</v>
      </c>
      <c r="C90" t="s">
        <v>98</v>
      </c>
      <c r="D90" t="s">
        <v>9</v>
      </c>
      <c r="E90">
        <v>24</v>
      </c>
      <c r="F90">
        <v>0</v>
      </c>
      <c r="G90">
        <v>0</v>
      </c>
      <c r="H90">
        <v>8.0500000000000007</v>
      </c>
    </row>
    <row r="91" spans="1:8" x14ac:dyDescent="0.3">
      <c r="A91">
        <v>0</v>
      </c>
      <c r="B91">
        <v>3</v>
      </c>
      <c r="C91" t="s">
        <v>99</v>
      </c>
      <c r="D91" t="s">
        <v>9</v>
      </c>
      <c r="E91">
        <v>29</v>
      </c>
      <c r="F91">
        <v>0</v>
      </c>
      <c r="G91">
        <v>0</v>
      </c>
      <c r="H91">
        <v>8.0500000000000007</v>
      </c>
    </row>
    <row r="92" spans="1:8" x14ac:dyDescent="0.3">
      <c r="A92">
        <v>0</v>
      </c>
      <c r="B92">
        <v>3</v>
      </c>
      <c r="C92" t="s">
        <v>100</v>
      </c>
      <c r="D92" t="s">
        <v>9</v>
      </c>
      <c r="E92">
        <v>20</v>
      </c>
      <c r="F92">
        <v>0</v>
      </c>
      <c r="G92">
        <v>0</v>
      </c>
      <c r="H92">
        <v>7.8541999999999996</v>
      </c>
    </row>
    <row r="93" spans="1:8" x14ac:dyDescent="0.3">
      <c r="A93">
        <v>0</v>
      </c>
      <c r="B93">
        <v>1</v>
      </c>
      <c r="C93" t="s">
        <v>101</v>
      </c>
      <c r="D93" t="s">
        <v>9</v>
      </c>
      <c r="E93">
        <v>46</v>
      </c>
      <c r="F93">
        <v>1</v>
      </c>
      <c r="G93">
        <v>0</v>
      </c>
      <c r="H93">
        <v>61.174999999999997</v>
      </c>
    </row>
    <row r="94" spans="1:8" x14ac:dyDescent="0.3">
      <c r="A94">
        <v>0</v>
      </c>
      <c r="B94">
        <v>3</v>
      </c>
      <c r="C94" t="s">
        <v>102</v>
      </c>
      <c r="D94" t="s">
        <v>9</v>
      </c>
      <c r="E94">
        <v>26</v>
      </c>
      <c r="F94">
        <v>1</v>
      </c>
      <c r="G94">
        <v>2</v>
      </c>
      <c r="H94">
        <v>20.574999999999999</v>
      </c>
    </row>
    <row r="95" spans="1:8" x14ac:dyDescent="0.3">
      <c r="A95">
        <v>0</v>
      </c>
      <c r="B95">
        <v>3</v>
      </c>
      <c r="C95" t="s">
        <v>103</v>
      </c>
      <c r="D95" t="s">
        <v>9</v>
      </c>
      <c r="E95">
        <v>59</v>
      </c>
      <c r="F95">
        <v>0</v>
      </c>
      <c r="G95">
        <v>0</v>
      </c>
      <c r="H95">
        <v>7.25</v>
      </c>
    </row>
    <row r="96" spans="1:8" x14ac:dyDescent="0.3">
      <c r="A96">
        <v>0</v>
      </c>
      <c r="B96">
        <v>3</v>
      </c>
      <c r="C96" t="s">
        <v>104</v>
      </c>
      <c r="D96" t="s">
        <v>9</v>
      </c>
      <c r="E96">
        <v>22</v>
      </c>
      <c r="F96">
        <v>0</v>
      </c>
      <c r="G96">
        <v>0</v>
      </c>
      <c r="H96">
        <v>8.0500000000000007</v>
      </c>
    </row>
    <row r="97" spans="1:8" x14ac:dyDescent="0.3">
      <c r="A97">
        <v>0</v>
      </c>
      <c r="B97">
        <v>1</v>
      </c>
      <c r="C97" t="s">
        <v>105</v>
      </c>
      <c r="D97" t="s">
        <v>9</v>
      </c>
      <c r="E97">
        <v>71</v>
      </c>
      <c r="F97">
        <v>0</v>
      </c>
      <c r="G97">
        <v>0</v>
      </c>
      <c r="H97">
        <v>34.654200000000003</v>
      </c>
    </row>
    <row r="98" spans="1:8" x14ac:dyDescent="0.3">
      <c r="A98">
        <v>1</v>
      </c>
      <c r="B98">
        <v>1</v>
      </c>
      <c r="C98" t="s">
        <v>106</v>
      </c>
      <c r="D98" t="s">
        <v>9</v>
      </c>
      <c r="E98">
        <v>23</v>
      </c>
      <c r="F98">
        <v>0</v>
      </c>
      <c r="G98">
        <v>1</v>
      </c>
      <c r="H98">
        <v>63.3583</v>
      </c>
    </row>
    <row r="99" spans="1:8" x14ac:dyDescent="0.3">
      <c r="A99">
        <v>1</v>
      </c>
      <c r="B99">
        <v>2</v>
      </c>
      <c r="C99" t="s">
        <v>107</v>
      </c>
      <c r="D99" t="s">
        <v>11</v>
      </c>
      <c r="E99">
        <v>34</v>
      </c>
      <c r="F99">
        <v>0</v>
      </c>
      <c r="G99">
        <v>1</v>
      </c>
      <c r="H99">
        <v>23</v>
      </c>
    </row>
    <row r="100" spans="1:8" x14ac:dyDescent="0.3">
      <c r="A100">
        <v>0</v>
      </c>
      <c r="B100">
        <v>2</v>
      </c>
      <c r="C100" t="s">
        <v>108</v>
      </c>
      <c r="D100" t="s">
        <v>9</v>
      </c>
      <c r="E100">
        <v>34</v>
      </c>
      <c r="F100">
        <v>1</v>
      </c>
      <c r="G100">
        <v>0</v>
      </c>
      <c r="H100">
        <v>26</v>
      </c>
    </row>
    <row r="101" spans="1:8" x14ac:dyDescent="0.3">
      <c r="A101">
        <v>0</v>
      </c>
      <c r="B101">
        <v>3</v>
      </c>
      <c r="C101" t="s">
        <v>109</v>
      </c>
      <c r="D101" t="s">
        <v>11</v>
      </c>
      <c r="E101">
        <v>28</v>
      </c>
      <c r="F101">
        <v>0</v>
      </c>
      <c r="G101">
        <v>0</v>
      </c>
      <c r="H101">
        <v>7.8958000000000004</v>
      </c>
    </row>
    <row r="102" spans="1:8" x14ac:dyDescent="0.3">
      <c r="A102">
        <v>0</v>
      </c>
      <c r="B102">
        <v>3</v>
      </c>
      <c r="C102" t="s">
        <v>110</v>
      </c>
      <c r="D102" t="s">
        <v>9</v>
      </c>
      <c r="E102">
        <v>29</v>
      </c>
      <c r="F102">
        <v>0</v>
      </c>
      <c r="G102">
        <v>0</v>
      </c>
      <c r="H102">
        <v>7.8958000000000004</v>
      </c>
    </row>
    <row r="103" spans="1:8" x14ac:dyDescent="0.3">
      <c r="A103">
        <v>0</v>
      </c>
      <c r="B103">
        <v>1</v>
      </c>
      <c r="C103" t="s">
        <v>111</v>
      </c>
      <c r="D103" t="s">
        <v>9</v>
      </c>
      <c r="E103">
        <v>21</v>
      </c>
      <c r="F103">
        <v>0</v>
      </c>
      <c r="G103">
        <v>1</v>
      </c>
      <c r="H103">
        <v>77.287499999999994</v>
      </c>
    </row>
    <row r="104" spans="1:8" x14ac:dyDescent="0.3">
      <c r="A104">
        <v>0</v>
      </c>
      <c r="B104">
        <v>3</v>
      </c>
      <c r="C104" t="s">
        <v>112</v>
      </c>
      <c r="D104" t="s">
        <v>9</v>
      </c>
      <c r="E104">
        <v>33</v>
      </c>
      <c r="F104">
        <v>0</v>
      </c>
      <c r="G104">
        <v>0</v>
      </c>
      <c r="H104">
        <v>8.6541999999999994</v>
      </c>
    </row>
    <row r="105" spans="1:8" x14ac:dyDescent="0.3">
      <c r="A105">
        <v>0</v>
      </c>
      <c r="B105">
        <v>3</v>
      </c>
      <c r="C105" t="s">
        <v>113</v>
      </c>
      <c r="D105" t="s">
        <v>9</v>
      </c>
      <c r="E105">
        <v>37</v>
      </c>
      <c r="F105">
        <v>2</v>
      </c>
      <c r="G105">
        <v>0</v>
      </c>
      <c r="H105">
        <v>7.9249999999999998</v>
      </c>
    </row>
    <row r="106" spans="1:8" x14ac:dyDescent="0.3">
      <c r="A106">
        <v>0</v>
      </c>
      <c r="B106">
        <v>3</v>
      </c>
      <c r="C106" t="s">
        <v>114</v>
      </c>
      <c r="D106" t="s">
        <v>9</v>
      </c>
      <c r="E106">
        <v>28</v>
      </c>
      <c r="F106">
        <v>0</v>
      </c>
      <c r="G106">
        <v>0</v>
      </c>
      <c r="H106">
        <v>7.8958000000000004</v>
      </c>
    </row>
    <row r="107" spans="1:8" x14ac:dyDescent="0.3">
      <c r="A107">
        <v>1</v>
      </c>
      <c r="B107">
        <v>3</v>
      </c>
      <c r="C107" t="s">
        <v>115</v>
      </c>
      <c r="D107" t="s">
        <v>11</v>
      </c>
      <c r="E107">
        <v>21</v>
      </c>
      <c r="F107">
        <v>0</v>
      </c>
      <c r="G107">
        <v>0</v>
      </c>
      <c r="H107">
        <v>7.65</v>
      </c>
    </row>
    <row r="108" spans="1:8" x14ac:dyDescent="0.3">
      <c r="A108">
        <v>1</v>
      </c>
      <c r="B108">
        <v>3</v>
      </c>
      <c r="C108" t="s">
        <v>116</v>
      </c>
      <c r="D108" t="s">
        <v>9</v>
      </c>
      <c r="E108">
        <v>29</v>
      </c>
      <c r="F108">
        <v>0</v>
      </c>
      <c r="G108">
        <v>0</v>
      </c>
      <c r="H108">
        <v>7.7750000000000004</v>
      </c>
    </row>
    <row r="109" spans="1:8" x14ac:dyDescent="0.3">
      <c r="A109">
        <v>0</v>
      </c>
      <c r="B109">
        <v>3</v>
      </c>
      <c r="C109" t="s">
        <v>117</v>
      </c>
      <c r="D109" t="s">
        <v>9</v>
      </c>
      <c r="E109">
        <v>38</v>
      </c>
      <c r="F109">
        <v>0</v>
      </c>
      <c r="G109">
        <v>0</v>
      </c>
      <c r="H109">
        <v>7.8958000000000004</v>
      </c>
    </row>
    <row r="110" spans="1:8" x14ac:dyDescent="0.3">
      <c r="A110">
        <v>1</v>
      </c>
      <c r="B110">
        <v>3</v>
      </c>
      <c r="C110" t="s">
        <v>118</v>
      </c>
      <c r="D110" t="s">
        <v>11</v>
      </c>
      <c r="E110">
        <v>28</v>
      </c>
      <c r="F110">
        <v>1</v>
      </c>
      <c r="G110">
        <v>0</v>
      </c>
      <c r="H110">
        <v>24.15</v>
      </c>
    </row>
    <row r="111" spans="1:8" x14ac:dyDescent="0.3">
      <c r="A111">
        <v>0</v>
      </c>
      <c r="B111">
        <v>1</v>
      </c>
      <c r="C111" t="s">
        <v>119</v>
      </c>
      <c r="D111" t="s">
        <v>9</v>
      </c>
      <c r="E111">
        <v>47</v>
      </c>
      <c r="F111">
        <v>0</v>
      </c>
      <c r="G111">
        <v>0</v>
      </c>
      <c r="H111">
        <v>52</v>
      </c>
    </row>
    <row r="112" spans="1:8" x14ac:dyDescent="0.3">
      <c r="A112">
        <v>0</v>
      </c>
      <c r="B112">
        <v>3</v>
      </c>
      <c r="C112" t="s">
        <v>120</v>
      </c>
      <c r="D112" t="s">
        <v>11</v>
      </c>
      <c r="E112">
        <v>14.5</v>
      </c>
      <c r="F112">
        <v>1</v>
      </c>
      <c r="G112">
        <v>0</v>
      </c>
      <c r="H112">
        <v>14.4542</v>
      </c>
    </row>
    <row r="113" spans="1:8" x14ac:dyDescent="0.3">
      <c r="A113">
        <v>0</v>
      </c>
      <c r="B113">
        <v>3</v>
      </c>
      <c r="C113" t="s">
        <v>121</v>
      </c>
      <c r="D113" t="s">
        <v>9</v>
      </c>
      <c r="E113">
        <v>22</v>
      </c>
      <c r="F113">
        <v>0</v>
      </c>
      <c r="G113">
        <v>0</v>
      </c>
      <c r="H113">
        <v>8.0500000000000007</v>
      </c>
    </row>
    <row r="114" spans="1:8" x14ac:dyDescent="0.3">
      <c r="A114">
        <v>0</v>
      </c>
      <c r="B114">
        <v>3</v>
      </c>
      <c r="C114" t="s">
        <v>122</v>
      </c>
      <c r="D114" t="s">
        <v>11</v>
      </c>
      <c r="E114">
        <v>20</v>
      </c>
      <c r="F114">
        <v>1</v>
      </c>
      <c r="G114">
        <v>0</v>
      </c>
      <c r="H114">
        <v>9.8249999999999993</v>
      </c>
    </row>
    <row r="115" spans="1:8" x14ac:dyDescent="0.3">
      <c r="A115">
        <v>0</v>
      </c>
      <c r="B115">
        <v>3</v>
      </c>
      <c r="C115" t="s">
        <v>123</v>
      </c>
      <c r="D115" t="s">
        <v>11</v>
      </c>
      <c r="E115">
        <v>17</v>
      </c>
      <c r="F115">
        <v>0</v>
      </c>
      <c r="G115">
        <v>0</v>
      </c>
      <c r="H115">
        <v>14.458299999999999</v>
      </c>
    </row>
    <row r="116" spans="1:8" x14ac:dyDescent="0.3">
      <c r="A116">
        <v>0</v>
      </c>
      <c r="B116">
        <v>3</v>
      </c>
      <c r="C116" t="s">
        <v>124</v>
      </c>
      <c r="D116" t="s">
        <v>9</v>
      </c>
      <c r="E116">
        <v>21</v>
      </c>
      <c r="F116">
        <v>0</v>
      </c>
      <c r="G116">
        <v>0</v>
      </c>
      <c r="H116">
        <v>7.9249999999999998</v>
      </c>
    </row>
    <row r="117" spans="1:8" x14ac:dyDescent="0.3">
      <c r="A117">
        <v>0</v>
      </c>
      <c r="B117">
        <v>3</v>
      </c>
      <c r="C117" t="s">
        <v>125</v>
      </c>
      <c r="D117" t="s">
        <v>9</v>
      </c>
      <c r="E117">
        <v>70.5</v>
      </c>
      <c r="F117">
        <v>0</v>
      </c>
      <c r="G117">
        <v>0</v>
      </c>
      <c r="H117">
        <v>7.75</v>
      </c>
    </row>
    <row r="118" spans="1:8" x14ac:dyDescent="0.3">
      <c r="A118">
        <v>0</v>
      </c>
      <c r="B118">
        <v>2</v>
      </c>
      <c r="C118" t="s">
        <v>126</v>
      </c>
      <c r="D118" t="s">
        <v>9</v>
      </c>
      <c r="E118">
        <v>29</v>
      </c>
      <c r="F118">
        <v>1</v>
      </c>
      <c r="G118">
        <v>0</v>
      </c>
      <c r="H118">
        <v>21</v>
      </c>
    </row>
    <row r="119" spans="1:8" x14ac:dyDescent="0.3">
      <c r="A119">
        <v>0</v>
      </c>
      <c r="B119">
        <v>1</v>
      </c>
      <c r="C119" t="s">
        <v>127</v>
      </c>
      <c r="D119" t="s">
        <v>9</v>
      </c>
      <c r="E119">
        <v>24</v>
      </c>
      <c r="F119">
        <v>0</v>
      </c>
      <c r="G119">
        <v>1</v>
      </c>
      <c r="H119">
        <v>247.52080000000001</v>
      </c>
    </row>
    <row r="120" spans="1:8" x14ac:dyDescent="0.3">
      <c r="A120">
        <v>0</v>
      </c>
      <c r="B120">
        <v>3</v>
      </c>
      <c r="C120" t="s">
        <v>128</v>
      </c>
      <c r="D120" t="s">
        <v>11</v>
      </c>
      <c r="E120">
        <v>2</v>
      </c>
      <c r="F120">
        <v>4</v>
      </c>
      <c r="G120">
        <v>2</v>
      </c>
      <c r="H120">
        <v>31.274999999999999</v>
      </c>
    </row>
    <row r="121" spans="1:8" x14ac:dyDescent="0.3">
      <c r="A121">
        <v>0</v>
      </c>
      <c r="B121">
        <v>2</v>
      </c>
      <c r="C121" t="s">
        <v>129</v>
      </c>
      <c r="D121" t="s">
        <v>9</v>
      </c>
      <c r="E121">
        <v>21</v>
      </c>
      <c r="F121">
        <v>2</v>
      </c>
      <c r="G121">
        <v>0</v>
      </c>
      <c r="H121">
        <v>73.5</v>
      </c>
    </row>
    <row r="122" spans="1:8" x14ac:dyDescent="0.3">
      <c r="A122">
        <v>0</v>
      </c>
      <c r="B122">
        <v>3</v>
      </c>
      <c r="C122" t="s">
        <v>130</v>
      </c>
      <c r="D122" t="s">
        <v>9</v>
      </c>
      <c r="E122">
        <v>19</v>
      </c>
      <c r="F122">
        <v>0</v>
      </c>
      <c r="G122">
        <v>0</v>
      </c>
      <c r="H122">
        <v>8.0500000000000007</v>
      </c>
    </row>
    <row r="123" spans="1:8" x14ac:dyDescent="0.3">
      <c r="A123">
        <v>0</v>
      </c>
      <c r="B123">
        <v>2</v>
      </c>
      <c r="C123" t="s">
        <v>131</v>
      </c>
      <c r="D123" t="s">
        <v>9</v>
      </c>
      <c r="E123">
        <v>32.5</v>
      </c>
      <c r="F123">
        <v>1</v>
      </c>
      <c r="G123">
        <v>0</v>
      </c>
      <c r="H123">
        <v>30.070799999999998</v>
      </c>
    </row>
    <row r="124" spans="1:8" x14ac:dyDescent="0.3">
      <c r="A124">
        <v>1</v>
      </c>
      <c r="B124">
        <v>2</v>
      </c>
      <c r="C124" t="s">
        <v>132</v>
      </c>
      <c r="D124" t="s">
        <v>11</v>
      </c>
      <c r="E124">
        <v>32.5</v>
      </c>
      <c r="F124">
        <v>0</v>
      </c>
      <c r="G124">
        <v>0</v>
      </c>
      <c r="H124">
        <v>13</v>
      </c>
    </row>
    <row r="125" spans="1:8" x14ac:dyDescent="0.3">
      <c r="A125">
        <v>0</v>
      </c>
      <c r="B125">
        <v>1</v>
      </c>
      <c r="C125" t="s">
        <v>133</v>
      </c>
      <c r="D125" t="s">
        <v>9</v>
      </c>
      <c r="E125">
        <v>54</v>
      </c>
      <c r="F125">
        <v>0</v>
      </c>
      <c r="G125">
        <v>1</v>
      </c>
      <c r="H125">
        <v>77.287499999999994</v>
      </c>
    </row>
    <row r="126" spans="1:8" x14ac:dyDescent="0.3">
      <c r="A126">
        <v>1</v>
      </c>
      <c r="B126">
        <v>3</v>
      </c>
      <c r="C126" t="s">
        <v>134</v>
      </c>
      <c r="D126" t="s">
        <v>9</v>
      </c>
      <c r="E126">
        <v>12</v>
      </c>
      <c r="F126">
        <v>1</v>
      </c>
      <c r="G126">
        <v>0</v>
      </c>
      <c r="H126">
        <v>11.2417</v>
      </c>
    </row>
    <row r="127" spans="1:8" x14ac:dyDescent="0.3">
      <c r="A127">
        <v>0</v>
      </c>
      <c r="B127">
        <v>3</v>
      </c>
      <c r="C127" t="s">
        <v>135</v>
      </c>
      <c r="D127" t="s">
        <v>9</v>
      </c>
      <c r="E127">
        <v>19</v>
      </c>
      <c r="F127">
        <v>0</v>
      </c>
      <c r="G127">
        <v>0</v>
      </c>
      <c r="H127">
        <v>7.75</v>
      </c>
    </row>
    <row r="128" spans="1:8" x14ac:dyDescent="0.3">
      <c r="A128">
        <v>1</v>
      </c>
      <c r="B128">
        <v>3</v>
      </c>
      <c r="C128" t="s">
        <v>136</v>
      </c>
      <c r="D128" t="s">
        <v>9</v>
      </c>
      <c r="E128">
        <v>24</v>
      </c>
      <c r="F128">
        <v>0</v>
      </c>
      <c r="G128">
        <v>0</v>
      </c>
      <c r="H128">
        <v>7.1417000000000002</v>
      </c>
    </row>
    <row r="129" spans="1:8" x14ac:dyDescent="0.3">
      <c r="A129">
        <v>1</v>
      </c>
      <c r="B129">
        <v>3</v>
      </c>
      <c r="C129" t="s">
        <v>137</v>
      </c>
      <c r="D129" t="s">
        <v>11</v>
      </c>
      <c r="E129">
        <v>2</v>
      </c>
      <c r="F129">
        <v>1</v>
      </c>
      <c r="G129">
        <v>1</v>
      </c>
      <c r="H129">
        <v>22.3583</v>
      </c>
    </row>
    <row r="130" spans="1:8" x14ac:dyDescent="0.3">
      <c r="A130">
        <v>0</v>
      </c>
      <c r="B130">
        <v>3</v>
      </c>
      <c r="C130" t="s">
        <v>138</v>
      </c>
      <c r="D130" t="s">
        <v>9</v>
      </c>
      <c r="E130">
        <v>45</v>
      </c>
      <c r="F130">
        <v>0</v>
      </c>
      <c r="G130">
        <v>0</v>
      </c>
      <c r="H130">
        <v>6.9749999999999996</v>
      </c>
    </row>
    <row r="131" spans="1:8" x14ac:dyDescent="0.3">
      <c r="A131">
        <v>0</v>
      </c>
      <c r="B131">
        <v>3</v>
      </c>
      <c r="C131" t="s">
        <v>139</v>
      </c>
      <c r="D131" t="s">
        <v>9</v>
      </c>
      <c r="E131">
        <v>33</v>
      </c>
      <c r="F131">
        <v>0</v>
      </c>
      <c r="G131">
        <v>0</v>
      </c>
      <c r="H131">
        <v>7.8958000000000004</v>
      </c>
    </row>
    <row r="132" spans="1:8" x14ac:dyDescent="0.3">
      <c r="A132">
        <v>0</v>
      </c>
      <c r="B132">
        <v>3</v>
      </c>
      <c r="C132" t="s">
        <v>140</v>
      </c>
      <c r="D132" t="s">
        <v>9</v>
      </c>
      <c r="E132">
        <v>20</v>
      </c>
      <c r="F132">
        <v>0</v>
      </c>
      <c r="G132">
        <v>0</v>
      </c>
      <c r="H132">
        <v>7.05</v>
      </c>
    </row>
    <row r="133" spans="1:8" x14ac:dyDescent="0.3">
      <c r="A133">
        <v>0</v>
      </c>
      <c r="B133">
        <v>3</v>
      </c>
      <c r="C133" t="s">
        <v>141</v>
      </c>
      <c r="D133" t="s">
        <v>11</v>
      </c>
      <c r="E133">
        <v>47</v>
      </c>
      <c r="F133">
        <v>1</v>
      </c>
      <c r="G133">
        <v>0</v>
      </c>
      <c r="H133">
        <v>14.5</v>
      </c>
    </row>
    <row r="134" spans="1:8" x14ac:dyDescent="0.3">
      <c r="A134">
        <v>1</v>
      </c>
      <c r="B134">
        <v>2</v>
      </c>
      <c r="C134" t="s">
        <v>142</v>
      </c>
      <c r="D134" t="s">
        <v>11</v>
      </c>
      <c r="E134">
        <v>29</v>
      </c>
      <c r="F134">
        <v>1</v>
      </c>
      <c r="G134">
        <v>0</v>
      </c>
      <c r="H134">
        <v>26</v>
      </c>
    </row>
    <row r="135" spans="1:8" x14ac:dyDescent="0.3">
      <c r="A135">
        <v>0</v>
      </c>
      <c r="B135">
        <v>2</v>
      </c>
      <c r="C135" t="s">
        <v>143</v>
      </c>
      <c r="D135" t="s">
        <v>9</v>
      </c>
      <c r="E135">
        <v>25</v>
      </c>
      <c r="F135">
        <v>0</v>
      </c>
      <c r="G135">
        <v>0</v>
      </c>
      <c r="H135">
        <v>13</v>
      </c>
    </row>
    <row r="136" spans="1:8" x14ac:dyDescent="0.3">
      <c r="A136">
        <v>0</v>
      </c>
      <c r="B136">
        <v>2</v>
      </c>
      <c r="C136" t="s">
        <v>144</v>
      </c>
      <c r="D136" t="s">
        <v>9</v>
      </c>
      <c r="E136">
        <v>23</v>
      </c>
      <c r="F136">
        <v>0</v>
      </c>
      <c r="G136">
        <v>0</v>
      </c>
      <c r="H136">
        <v>15.0458</v>
      </c>
    </row>
    <row r="137" spans="1:8" x14ac:dyDescent="0.3">
      <c r="A137">
        <v>1</v>
      </c>
      <c r="B137">
        <v>1</v>
      </c>
      <c r="C137" t="s">
        <v>145</v>
      </c>
      <c r="D137" t="s">
        <v>11</v>
      </c>
      <c r="E137">
        <v>19</v>
      </c>
      <c r="F137">
        <v>0</v>
      </c>
      <c r="G137">
        <v>2</v>
      </c>
      <c r="H137">
        <v>26.283300000000001</v>
      </c>
    </row>
    <row r="138" spans="1:8" x14ac:dyDescent="0.3">
      <c r="A138">
        <v>0</v>
      </c>
      <c r="B138">
        <v>1</v>
      </c>
      <c r="C138" t="s">
        <v>146</v>
      </c>
      <c r="D138" t="s">
        <v>9</v>
      </c>
      <c r="E138">
        <v>37</v>
      </c>
      <c r="F138">
        <v>1</v>
      </c>
      <c r="G138">
        <v>0</v>
      </c>
      <c r="H138">
        <v>53.1</v>
      </c>
    </row>
    <row r="139" spans="1:8" x14ac:dyDescent="0.3">
      <c r="A139">
        <v>0</v>
      </c>
      <c r="B139">
        <v>3</v>
      </c>
      <c r="C139" t="s">
        <v>147</v>
      </c>
      <c r="D139" t="s">
        <v>9</v>
      </c>
      <c r="E139">
        <v>16</v>
      </c>
      <c r="F139">
        <v>0</v>
      </c>
      <c r="G139">
        <v>0</v>
      </c>
      <c r="H139">
        <v>9.2166999999999994</v>
      </c>
    </row>
    <row r="140" spans="1:8" x14ac:dyDescent="0.3">
      <c r="A140">
        <v>0</v>
      </c>
      <c r="B140">
        <v>1</v>
      </c>
      <c r="C140" t="s">
        <v>148</v>
      </c>
      <c r="D140" t="s">
        <v>9</v>
      </c>
      <c r="E140">
        <v>24</v>
      </c>
      <c r="F140">
        <v>0</v>
      </c>
      <c r="G140">
        <v>0</v>
      </c>
      <c r="H140">
        <v>79.2</v>
      </c>
    </row>
    <row r="141" spans="1:8" x14ac:dyDescent="0.3">
      <c r="A141">
        <v>0</v>
      </c>
      <c r="B141">
        <v>3</v>
      </c>
      <c r="C141" t="s">
        <v>149</v>
      </c>
      <c r="D141" t="s">
        <v>11</v>
      </c>
      <c r="E141">
        <v>40</v>
      </c>
      <c r="F141">
        <v>0</v>
      </c>
      <c r="G141">
        <v>2</v>
      </c>
      <c r="H141">
        <v>15.245799999999999</v>
      </c>
    </row>
    <row r="142" spans="1:8" x14ac:dyDescent="0.3">
      <c r="A142">
        <v>1</v>
      </c>
      <c r="B142">
        <v>3</v>
      </c>
      <c r="C142" t="s">
        <v>150</v>
      </c>
      <c r="D142" t="s">
        <v>11</v>
      </c>
      <c r="E142">
        <v>22</v>
      </c>
      <c r="F142">
        <v>0</v>
      </c>
      <c r="G142">
        <v>0</v>
      </c>
      <c r="H142">
        <v>7.75</v>
      </c>
    </row>
    <row r="143" spans="1:8" x14ac:dyDescent="0.3">
      <c r="A143">
        <v>1</v>
      </c>
      <c r="B143">
        <v>3</v>
      </c>
      <c r="C143" t="s">
        <v>151</v>
      </c>
      <c r="D143" t="s">
        <v>11</v>
      </c>
      <c r="E143">
        <v>24</v>
      </c>
      <c r="F143">
        <v>1</v>
      </c>
      <c r="G143">
        <v>0</v>
      </c>
      <c r="H143">
        <v>15.85</v>
      </c>
    </row>
    <row r="144" spans="1:8" x14ac:dyDescent="0.3">
      <c r="A144">
        <v>0</v>
      </c>
      <c r="B144">
        <v>3</v>
      </c>
      <c r="C144" t="s">
        <v>152</v>
      </c>
      <c r="D144" t="s">
        <v>9</v>
      </c>
      <c r="E144">
        <v>19</v>
      </c>
      <c r="F144">
        <v>0</v>
      </c>
      <c r="G144">
        <v>0</v>
      </c>
      <c r="H144">
        <v>6.75</v>
      </c>
    </row>
    <row r="145" spans="1:8" x14ac:dyDescent="0.3">
      <c r="A145">
        <v>0</v>
      </c>
      <c r="B145">
        <v>2</v>
      </c>
      <c r="C145" t="s">
        <v>153</v>
      </c>
      <c r="D145" t="s">
        <v>9</v>
      </c>
      <c r="E145">
        <v>18</v>
      </c>
      <c r="F145">
        <v>0</v>
      </c>
      <c r="G145">
        <v>0</v>
      </c>
      <c r="H145">
        <v>11.5</v>
      </c>
    </row>
    <row r="146" spans="1:8" x14ac:dyDescent="0.3">
      <c r="A146">
        <v>0</v>
      </c>
      <c r="B146">
        <v>2</v>
      </c>
      <c r="C146" t="s">
        <v>154</v>
      </c>
      <c r="D146" t="s">
        <v>9</v>
      </c>
      <c r="E146">
        <v>19</v>
      </c>
      <c r="F146">
        <v>1</v>
      </c>
      <c r="G146">
        <v>1</v>
      </c>
      <c r="H146">
        <v>36.75</v>
      </c>
    </row>
    <row r="147" spans="1:8" x14ac:dyDescent="0.3">
      <c r="A147">
        <v>1</v>
      </c>
      <c r="B147">
        <v>3</v>
      </c>
      <c r="C147" t="s">
        <v>155</v>
      </c>
      <c r="D147" t="s">
        <v>9</v>
      </c>
      <c r="E147">
        <v>27</v>
      </c>
      <c r="F147">
        <v>0</v>
      </c>
      <c r="G147">
        <v>0</v>
      </c>
      <c r="H147">
        <v>7.7957999999999998</v>
      </c>
    </row>
    <row r="148" spans="1:8" x14ac:dyDescent="0.3">
      <c r="A148">
        <v>0</v>
      </c>
      <c r="B148">
        <v>3</v>
      </c>
      <c r="C148" t="s">
        <v>156</v>
      </c>
      <c r="D148" t="s">
        <v>11</v>
      </c>
      <c r="E148">
        <v>9</v>
      </c>
      <c r="F148">
        <v>2</v>
      </c>
      <c r="G148">
        <v>2</v>
      </c>
      <c r="H148">
        <v>34.375</v>
      </c>
    </row>
    <row r="149" spans="1:8" x14ac:dyDescent="0.3">
      <c r="A149">
        <v>0</v>
      </c>
      <c r="B149">
        <v>2</v>
      </c>
      <c r="C149" t="s">
        <v>157</v>
      </c>
      <c r="D149" t="s">
        <v>9</v>
      </c>
      <c r="E149">
        <v>36.5</v>
      </c>
      <c r="F149">
        <v>0</v>
      </c>
      <c r="G149">
        <v>2</v>
      </c>
      <c r="H149">
        <v>26</v>
      </c>
    </row>
    <row r="150" spans="1:8" x14ac:dyDescent="0.3">
      <c r="A150">
        <v>0</v>
      </c>
      <c r="B150">
        <v>2</v>
      </c>
      <c r="C150" t="s">
        <v>158</v>
      </c>
      <c r="D150" t="s">
        <v>9</v>
      </c>
      <c r="E150">
        <v>42</v>
      </c>
      <c r="F150">
        <v>0</v>
      </c>
      <c r="G150">
        <v>0</v>
      </c>
      <c r="H150">
        <v>13</v>
      </c>
    </row>
    <row r="151" spans="1:8" x14ac:dyDescent="0.3">
      <c r="A151">
        <v>0</v>
      </c>
      <c r="B151">
        <v>2</v>
      </c>
      <c r="C151" t="s">
        <v>159</v>
      </c>
      <c r="D151" t="s">
        <v>9</v>
      </c>
      <c r="E151">
        <v>51</v>
      </c>
      <c r="F151">
        <v>0</v>
      </c>
      <c r="G151">
        <v>0</v>
      </c>
      <c r="H151">
        <v>12.525</v>
      </c>
    </row>
    <row r="152" spans="1:8" x14ac:dyDescent="0.3">
      <c r="A152">
        <v>1</v>
      </c>
      <c r="B152">
        <v>1</v>
      </c>
      <c r="C152" t="s">
        <v>160</v>
      </c>
      <c r="D152" t="s">
        <v>11</v>
      </c>
      <c r="E152">
        <v>22</v>
      </c>
      <c r="F152">
        <v>1</v>
      </c>
      <c r="G152">
        <v>0</v>
      </c>
      <c r="H152">
        <v>66.599999999999994</v>
      </c>
    </row>
    <row r="153" spans="1:8" x14ac:dyDescent="0.3">
      <c r="A153">
        <v>0</v>
      </c>
      <c r="B153">
        <v>3</v>
      </c>
      <c r="C153" t="s">
        <v>161</v>
      </c>
      <c r="D153" t="s">
        <v>9</v>
      </c>
      <c r="E153">
        <v>55.5</v>
      </c>
      <c r="F153">
        <v>0</v>
      </c>
      <c r="G153">
        <v>0</v>
      </c>
      <c r="H153">
        <v>8.0500000000000007</v>
      </c>
    </row>
    <row r="154" spans="1:8" x14ac:dyDescent="0.3">
      <c r="A154">
        <v>0</v>
      </c>
      <c r="B154">
        <v>3</v>
      </c>
      <c r="C154" t="s">
        <v>162</v>
      </c>
      <c r="D154" t="s">
        <v>9</v>
      </c>
      <c r="E154">
        <v>40.5</v>
      </c>
      <c r="F154">
        <v>0</v>
      </c>
      <c r="G154">
        <v>2</v>
      </c>
      <c r="H154">
        <v>14.5</v>
      </c>
    </row>
    <row r="155" spans="1:8" x14ac:dyDescent="0.3">
      <c r="A155">
        <v>0</v>
      </c>
      <c r="B155">
        <v>3</v>
      </c>
      <c r="C155" t="s">
        <v>163</v>
      </c>
      <c r="D155" t="s">
        <v>9</v>
      </c>
      <c r="E155">
        <v>27</v>
      </c>
      <c r="F155">
        <v>0</v>
      </c>
      <c r="G155">
        <v>0</v>
      </c>
      <c r="H155">
        <v>7.3125</v>
      </c>
    </row>
    <row r="156" spans="1:8" x14ac:dyDescent="0.3">
      <c r="A156">
        <v>0</v>
      </c>
      <c r="B156">
        <v>1</v>
      </c>
      <c r="C156" t="s">
        <v>164</v>
      </c>
      <c r="D156" t="s">
        <v>9</v>
      </c>
      <c r="E156">
        <v>51</v>
      </c>
      <c r="F156">
        <v>0</v>
      </c>
      <c r="G156">
        <v>1</v>
      </c>
      <c r="H156">
        <v>61.379199999999997</v>
      </c>
    </row>
    <row r="157" spans="1:8" x14ac:dyDescent="0.3">
      <c r="A157">
        <v>1</v>
      </c>
      <c r="B157">
        <v>3</v>
      </c>
      <c r="C157" t="s">
        <v>165</v>
      </c>
      <c r="D157" t="s">
        <v>11</v>
      </c>
      <c r="E157">
        <v>16</v>
      </c>
      <c r="F157">
        <v>0</v>
      </c>
      <c r="G157">
        <v>0</v>
      </c>
      <c r="H157">
        <v>7.7332999999999998</v>
      </c>
    </row>
    <row r="158" spans="1:8" x14ac:dyDescent="0.3">
      <c r="A158">
        <v>0</v>
      </c>
      <c r="B158">
        <v>3</v>
      </c>
      <c r="C158" t="s">
        <v>166</v>
      </c>
      <c r="D158" t="s">
        <v>9</v>
      </c>
      <c r="E158">
        <v>30</v>
      </c>
      <c r="F158">
        <v>0</v>
      </c>
      <c r="G158">
        <v>0</v>
      </c>
      <c r="H158">
        <v>8.0500000000000007</v>
      </c>
    </row>
    <row r="159" spans="1:8" x14ac:dyDescent="0.3">
      <c r="A159">
        <v>0</v>
      </c>
      <c r="B159">
        <v>3</v>
      </c>
      <c r="C159" t="s">
        <v>167</v>
      </c>
      <c r="D159" t="s">
        <v>9</v>
      </c>
      <c r="E159">
        <v>37</v>
      </c>
      <c r="F159">
        <v>0</v>
      </c>
      <c r="G159">
        <v>0</v>
      </c>
      <c r="H159">
        <v>8.6624999999999996</v>
      </c>
    </row>
    <row r="160" spans="1:8" x14ac:dyDescent="0.3">
      <c r="A160">
        <v>0</v>
      </c>
      <c r="B160">
        <v>3</v>
      </c>
      <c r="C160" t="s">
        <v>168</v>
      </c>
      <c r="D160" t="s">
        <v>9</v>
      </c>
      <c r="E160">
        <v>5</v>
      </c>
      <c r="F160">
        <v>8</v>
      </c>
      <c r="G160">
        <v>2</v>
      </c>
      <c r="H160">
        <v>69.55</v>
      </c>
    </row>
    <row r="161" spans="1:8" x14ac:dyDescent="0.3">
      <c r="A161">
        <v>0</v>
      </c>
      <c r="B161">
        <v>3</v>
      </c>
      <c r="C161" t="s">
        <v>169</v>
      </c>
      <c r="D161" t="s">
        <v>9</v>
      </c>
      <c r="E161">
        <v>44</v>
      </c>
      <c r="F161">
        <v>0</v>
      </c>
      <c r="G161">
        <v>1</v>
      </c>
      <c r="H161">
        <v>16.100000000000001</v>
      </c>
    </row>
    <row r="162" spans="1:8" x14ac:dyDescent="0.3">
      <c r="A162">
        <v>1</v>
      </c>
      <c r="B162">
        <v>2</v>
      </c>
      <c r="C162" t="s">
        <v>170</v>
      </c>
      <c r="D162" t="s">
        <v>11</v>
      </c>
      <c r="E162">
        <v>40</v>
      </c>
      <c r="F162">
        <v>0</v>
      </c>
      <c r="G162">
        <v>0</v>
      </c>
      <c r="H162">
        <v>15.75</v>
      </c>
    </row>
    <row r="163" spans="1:8" x14ac:dyDescent="0.3">
      <c r="A163">
        <v>0</v>
      </c>
      <c r="B163">
        <v>3</v>
      </c>
      <c r="C163" t="s">
        <v>171</v>
      </c>
      <c r="D163" t="s">
        <v>9</v>
      </c>
      <c r="E163">
        <v>26</v>
      </c>
      <c r="F163">
        <v>0</v>
      </c>
      <c r="G163">
        <v>0</v>
      </c>
      <c r="H163">
        <v>7.7750000000000004</v>
      </c>
    </row>
    <row r="164" spans="1:8" x14ac:dyDescent="0.3">
      <c r="A164">
        <v>0</v>
      </c>
      <c r="B164">
        <v>3</v>
      </c>
      <c r="C164" t="s">
        <v>172</v>
      </c>
      <c r="D164" t="s">
        <v>9</v>
      </c>
      <c r="E164">
        <v>17</v>
      </c>
      <c r="F164">
        <v>0</v>
      </c>
      <c r="G164">
        <v>0</v>
      </c>
      <c r="H164">
        <v>8.6624999999999996</v>
      </c>
    </row>
    <row r="165" spans="1:8" x14ac:dyDescent="0.3">
      <c r="A165">
        <v>0</v>
      </c>
      <c r="B165">
        <v>3</v>
      </c>
      <c r="C165" t="s">
        <v>173</v>
      </c>
      <c r="D165" t="s">
        <v>9</v>
      </c>
      <c r="E165">
        <v>1</v>
      </c>
      <c r="F165">
        <v>4</v>
      </c>
      <c r="G165">
        <v>1</v>
      </c>
      <c r="H165">
        <v>39.6875</v>
      </c>
    </row>
    <row r="166" spans="1:8" x14ac:dyDescent="0.3">
      <c r="A166">
        <v>1</v>
      </c>
      <c r="B166">
        <v>3</v>
      </c>
      <c r="C166" t="s">
        <v>174</v>
      </c>
      <c r="D166" t="s">
        <v>9</v>
      </c>
      <c r="E166">
        <v>9</v>
      </c>
      <c r="F166">
        <v>0</v>
      </c>
      <c r="G166">
        <v>2</v>
      </c>
      <c r="H166">
        <v>20.524999999999999</v>
      </c>
    </row>
    <row r="167" spans="1:8" x14ac:dyDescent="0.3">
      <c r="A167">
        <v>1</v>
      </c>
      <c r="B167">
        <v>1</v>
      </c>
      <c r="C167" t="s">
        <v>175</v>
      </c>
      <c r="D167" t="s">
        <v>11</v>
      </c>
      <c r="E167">
        <v>48</v>
      </c>
      <c r="F167">
        <v>0</v>
      </c>
      <c r="G167">
        <v>1</v>
      </c>
      <c r="H167">
        <v>55</v>
      </c>
    </row>
    <row r="168" spans="1:8" x14ac:dyDescent="0.3">
      <c r="A168">
        <v>0</v>
      </c>
      <c r="B168">
        <v>3</v>
      </c>
      <c r="C168" t="s">
        <v>176</v>
      </c>
      <c r="D168" t="s">
        <v>11</v>
      </c>
      <c r="E168">
        <v>45</v>
      </c>
      <c r="F168">
        <v>1</v>
      </c>
      <c r="G168">
        <v>4</v>
      </c>
      <c r="H168">
        <v>27.9</v>
      </c>
    </row>
    <row r="169" spans="1:8" x14ac:dyDescent="0.3">
      <c r="A169">
        <v>0</v>
      </c>
      <c r="B169">
        <v>1</v>
      </c>
      <c r="C169" t="s">
        <v>177</v>
      </c>
      <c r="D169" t="s">
        <v>9</v>
      </c>
      <c r="E169">
        <v>60</v>
      </c>
      <c r="F169">
        <v>0</v>
      </c>
      <c r="G169">
        <v>0</v>
      </c>
      <c r="H169">
        <v>25.925000000000001</v>
      </c>
    </row>
    <row r="170" spans="1:8" x14ac:dyDescent="0.3">
      <c r="A170">
        <v>0</v>
      </c>
      <c r="B170">
        <v>3</v>
      </c>
      <c r="C170" t="s">
        <v>178</v>
      </c>
      <c r="D170" t="s">
        <v>9</v>
      </c>
      <c r="E170">
        <v>28</v>
      </c>
      <c r="F170">
        <v>0</v>
      </c>
      <c r="G170">
        <v>0</v>
      </c>
      <c r="H170">
        <v>56.495800000000003</v>
      </c>
    </row>
    <row r="171" spans="1:8" x14ac:dyDescent="0.3">
      <c r="A171">
        <v>0</v>
      </c>
      <c r="B171">
        <v>1</v>
      </c>
      <c r="C171" t="s">
        <v>179</v>
      </c>
      <c r="D171" t="s">
        <v>9</v>
      </c>
      <c r="E171">
        <v>61</v>
      </c>
      <c r="F171">
        <v>0</v>
      </c>
      <c r="G171">
        <v>0</v>
      </c>
      <c r="H171">
        <v>33.5</v>
      </c>
    </row>
    <row r="172" spans="1:8" x14ac:dyDescent="0.3">
      <c r="A172">
        <v>0</v>
      </c>
      <c r="B172">
        <v>3</v>
      </c>
      <c r="C172" t="s">
        <v>180</v>
      </c>
      <c r="D172" t="s">
        <v>9</v>
      </c>
      <c r="E172">
        <v>4</v>
      </c>
      <c r="F172">
        <v>4</v>
      </c>
      <c r="G172">
        <v>1</v>
      </c>
      <c r="H172">
        <v>29.125</v>
      </c>
    </row>
    <row r="173" spans="1:8" x14ac:dyDescent="0.3">
      <c r="A173">
        <v>1</v>
      </c>
      <c r="B173">
        <v>3</v>
      </c>
      <c r="C173" t="s">
        <v>181</v>
      </c>
      <c r="D173" t="s">
        <v>11</v>
      </c>
      <c r="E173">
        <v>1</v>
      </c>
      <c r="F173">
        <v>1</v>
      </c>
      <c r="G173">
        <v>1</v>
      </c>
      <c r="H173">
        <v>11.1333</v>
      </c>
    </row>
    <row r="174" spans="1:8" x14ac:dyDescent="0.3">
      <c r="A174">
        <v>0</v>
      </c>
      <c r="B174">
        <v>3</v>
      </c>
      <c r="C174" t="s">
        <v>182</v>
      </c>
      <c r="D174" t="s">
        <v>9</v>
      </c>
      <c r="E174">
        <v>21</v>
      </c>
      <c r="F174">
        <v>0</v>
      </c>
      <c r="G174">
        <v>0</v>
      </c>
      <c r="H174">
        <v>7.9249999999999998</v>
      </c>
    </row>
    <row r="175" spans="1:8" x14ac:dyDescent="0.3">
      <c r="A175">
        <v>0</v>
      </c>
      <c r="B175">
        <v>1</v>
      </c>
      <c r="C175" t="s">
        <v>183</v>
      </c>
      <c r="D175" t="s">
        <v>9</v>
      </c>
      <c r="E175">
        <v>56</v>
      </c>
      <c r="F175">
        <v>0</v>
      </c>
      <c r="G175">
        <v>0</v>
      </c>
      <c r="H175">
        <v>30.695799999999998</v>
      </c>
    </row>
    <row r="176" spans="1:8" x14ac:dyDescent="0.3">
      <c r="A176">
        <v>0</v>
      </c>
      <c r="B176">
        <v>3</v>
      </c>
      <c r="C176" t="s">
        <v>184</v>
      </c>
      <c r="D176" t="s">
        <v>9</v>
      </c>
      <c r="E176">
        <v>18</v>
      </c>
      <c r="F176">
        <v>1</v>
      </c>
      <c r="G176">
        <v>1</v>
      </c>
      <c r="H176">
        <v>7.8541999999999996</v>
      </c>
    </row>
    <row r="177" spans="1:8" x14ac:dyDescent="0.3">
      <c r="A177">
        <v>0</v>
      </c>
      <c r="B177">
        <v>3</v>
      </c>
      <c r="C177" t="s">
        <v>185</v>
      </c>
      <c r="D177" t="s">
        <v>9</v>
      </c>
      <c r="E177">
        <v>5</v>
      </c>
      <c r="F177">
        <v>3</v>
      </c>
      <c r="G177">
        <v>1</v>
      </c>
      <c r="H177">
        <v>25.466699999999999</v>
      </c>
    </row>
    <row r="178" spans="1:8" x14ac:dyDescent="0.3">
      <c r="A178">
        <v>0</v>
      </c>
      <c r="B178">
        <v>1</v>
      </c>
      <c r="C178" t="s">
        <v>186</v>
      </c>
      <c r="D178" t="s">
        <v>11</v>
      </c>
      <c r="E178">
        <v>50</v>
      </c>
      <c r="F178">
        <v>0</v>
      </c>
      <c r="G178">
        <v>0</v>
      </c>
      <c r="H178">
        <v>28.712499999999999</v>
      </c>
    </row>
    <row r="179" spans="1:8" x14ac:dyDescent="0.3">
      <c r="A179">
        <v>0</v>
      </c>
      <c r="B179">
        <v>2</v>
      </c>
      <c r="C179" t="s">
        <v>187</v>
      </c>
      <c r="D179" t="s">
        <v>9</v>
      </c>
      <c r="E179">
        <v>30</v>
      </c>
      <c r="F179">
        <v>0</v>
      </c>
      <c r="G179">
        <v>0</v>
      </c>
      <c r="H179">
        <v>13</v>
      </c>
    </row>
    <row r="180" spans="1:8" x14ac:dyDescent="0.3">
      <c r="A180">
        <v>0</v>
      </c>
      <c r="B180">
        <v>3</v>
      </c>
      <c r="C180" t="s">
        <v>188</v>
      </c>
      <c r="D180" t="s">
        <v>9</v>
      </c>
      <c r="E180">
        <v>36</v>
      </c>
      <c r="F180">
        <v>0</v>
      </c>
      <c r="G180">
        <v>0</v>
      </c>
      <c r="H180">
        <v>0</v>
      </c>
    </row>
    <row r="181" spans="1:8" x14ac:dyDescent="0.3">
      <c r="A181">
        <v>0</v>
      </c>
      <c r="B181">
        <v>3</v>
      </c>
      <c r="C181" t="s">
        <v>189</v>
      </c>
      <c r="D181" t="s">
        <v>11</v>
      </c>
      <c r="E181">
        <v>8</v>
      </c>
      <c r="F181">
        <v>8</v>
      </c>
      <c r="G181">
        <v>2</v>
      </c>
      <c r="H181">
        <v>69.55</v>
      </c>
    </row>
    <row r="182" spans="1:8" x14ac:dyDescent="0.3">
      <c r="A182">
        <v>0</v>
      </c>
      <c r="B182">
        <v>2</v>
      </c>
      <c r="C182" t="s">
        <v>190</v>
      </c>
      <c r="D182" t="s">
        <v>9</v>
      </c>
      <c r="E182">
        <v>39</v>
      </c>
      <c r="F182">
        <v>0</v>
      </c>
      <c r="G182">
        <v>0</v>
      </c>
      <c r="H182">
        <v>15.05</v>
      </c>
    </row>
    <row r="183" spans="1:8" x14ac:dyDescent="0.3">
      <c r="A183">
        <v>0</v>
      </c>
      <c r="B183">
        <v>3</v>
      </c>
      <c r="C183" t="s">
        <v>191</v>
      </c>
      <c r="D183" t="s">
        <v>9</v>
      </c>
      <c r="E183">
        <v>9</v>
      </c>
      <c r="F183">
        <v>4</v>
      </c>
      <c r="G183">
        <v>2</v>
      </c>
      <c r="H183">
        <v>31.387499999999999</v>
      </c>
    </row>
    <row r="184" spans="1:8" x14ac:dyDescent="0.3">
      <c r="A184">
        <v>1</v>
      </c>
      <c r="B184">
        <v>2</v>
      </c>
      <c r="C184" t="s">
        <v>192</v>
      </c>
      <c r="D184" t="s">
        <v>9</v>
      </c>
      <c r="E184">
        <v>1</v>
      </c>
      <c r="F184">
        <v>2</v>
      </c>
      <c r="G184">
        <v>1</v>
      </c>
      <c r="H184">
        <v>39</v>
      </c>
    </row>
    <row r="185" spans="1:8" x14ac:dyDescent="0.3">
      <c r="A185">
        <v>1</v>
      </c>
      <c r="B185">
        <v>3</v>
      </c>
      <c r="C185" t="s">
        <v>193</v>
      </c>
      <c r="D185" t="s">
        <v>11</v>
      </c>
      <c r="E185">
        <v>4</v>
      </c>
      <c r="F185">
        <v>0</v>
      </c>
      <c r="G185">
        <v>2</v>
      </c>
      <c r="H185">
        <v>22.024999999999999</v>
      </c>
    </row>
    <row r="186" spans="1:8" x14ac:dyDescent="0.3">
      <c r="A186">
        <v>0</v>
      </c>
      <c r="B186">
        <v>1</v>
      </c>
      <c r="C186" t="s">
        <v>194</v>
      </c>
      <c r="D186" t="s">
        <v>9</v>
      </c>
      <c r="E186">
        <v>39</v>
      </c>
      <c r="F186">
        <v>0</v>
      </c>
      <c r="G186">
        <v>0</v>
      </c>
      <c r="H186">
        <v>50</v>
      </c>
    </row>
    <row r="187" spans="1:8" x14ac:dyDescent="0.3">
      <c r="A187">
        <v>1</v>
      </c>
      <c r="B187">
        <v>3</v>
      </c>
      <c r="C187" t="s">
        <v>195</v>
      </c>
      <c r="D187" t="s">
        <v>11</v>
      </c>
      <c r="E187">
        <v>26</v>
      </c>
      <c r="F187">
        <v>1</v>
      </c>
      <c r="G187">
        <v>0</v>
      </c>
      <c r="H187">
        <v>15.5</v>
      </c>
    </row>
    <row r="188" spans="1:8" x14ac:dyDescent="0.3">
      <c r="A188">
        <v>1</v>
      </c>
      <c r="B188">
        <v>1</v>
      </c>
      <c r="C188" t="s">
        <v>196</v>
      </c>
      <c r="D188" t="s">
        <v>9</v>
      </c>
      <c r="E188">
        <v>45</v>
      </c>
      <c r="F188">
        <v>0</v>
      </c>
      <c r="G188">
        <v>0</v>
      </c>
      <c r="H188">
        <v>26.55</v>
      </c>
    </row>
    <row r="189" spans="1:8" x14ac:dyDescent="0.3">
      <c r="A189">
        <v>0</v>
      </c>
      <c r="B189">
        <v>3</v>
      </c>
      <c r="C189" t="s">
        <v>197</v>
      </c>
      <c r="D189" t="s">
        <v>9</v>
      </c>
      <c r="E189">
        <v>40</v>
      </c>
      <c r="F189">
        <v>1</v>
      </c>
      <c r="G189">
        <v>1</v>
      </c>
      <c r="H189">
        <v>15.5</v>
      </c>
    </row>
    <row r="190" spans="1:8" x14ac:dyDescent="0.3">
      <c r="A190">
        <v>0</v>
      </c>
      <c r="B190">
        <v>3</v>
      </c>
      <c r="C190" t="s">
        <v>198</v>
      </c>
      <c r="D190" t="s">
        <v>9</v>
      </c>
      <c r="E190">
        <v>36</v>
      </c>
      <c r="F190">
        <v>0</v>
      </c>
      <c r="G190">
        <v>0</v>
      </c>
      <c r="H190">
        <v>7.8958000000000004</v>
      </c>
    </row>
    <row r="191" spans="1:8" x14ac:dyDescent="0.3">
      <c r="A191">
        <v>1</v>
      </c>
      <c r="B191">
        <v>2</v>
      </c>
      <c r="C191" t="s">
        <v>199</v>
      </c>
      <c r="D191" t="s">
        <v>11</v>
      </c>
      <c r="E191">
        <v>32</v>
      </c>
      <c r="F191">
        <v>0</v>
      </c>
      <c r="G191">
        <v>0</v>
      </c>
      <c r="H191">
        <v>13</v>
      </c>
    </row>
    <row r="192" spans="1:8" x14ac:dyDescent="0.3">
      <c r="A192">
        <v>0</v>
      </c>
      <c r="B192">
        <v>2</v>
      </c>
      <c r="C192" t="s">
        <v>200</v>
      </c>
      <c r="D192" t="s">
        <v>9</v>
      </c>
      <c r="E192">
        <v>19</v>
      </c>
      <c r="F192">
        <v>0</v>
      </c>
      <c r="G192">
        <v>0</v>
      </c>
      <c r="H192">
        <v>13</v>
      </c>
    </row>
    <row r="193" spans="1:8" x14ac:dyDescent="0.3">
      <c r="A193">
        <v>1</v>
      </c>
      <c r="B193">
        <v>3</v>
      </c>
      <c r="C193" t="s">
        <v>201</v>
      </c>
      <c r="D193" t="s">
        <v>11</v>
      </c>
      <c r="E193">
        <v>19</v>
      </c>
      <c r="F193">
        <v>1</v>
      </c>
      <c r="G193">
        <v>0</v>
      </c>
      <c r="H193">
        <v>7.8541999999999996</v>
      </c>
    </row>
    <row r="194" spans="1:8" x14ac:dyDescent="0.3">
      <c r="A194">
        <v>1</v>
      </c>
      <c r="B194">
        <v>2</v>
      </c>
      <c r="C194" t="s">
        <v>202</v>
      </c>
      <c r="D194" t="s">
        <v>9</v>
      </c>
      <c r="E194">
        <v>3</v>
      </c>
      <c r="F194">
        <v>1</v>
      </c>
      <c r="G194">
        <v>1</v>
      </c>
      <c r="H194">
        <v>26</v>
      </c>
    </row>
    <row r="195" spans="1:8" x14ac:dyDescent="0.3">
      <c r="A195">
        <v>1</v>
      </c>
      <c r="B195">
        <v>1</v>
      </c>
      <c r="C195" t="s">
        <v>203</v>
      </c>
      <c r="D195" t="s">
        <v>11</v>
      </c>
      <c r="E195">
        <v>44</v>
      </c>
      <c r="F195">
        <v>0</v>
      </c>
      <c r="G195">
        <v>0</v>
      </c>
      <c r="H195">
        <v>27.720800000000001</v>
      </c>
    </row>
    <row r="196" spans="1:8" x14ac:dyDescent="0.3">
      <c r="A196">
        <v>1</v>
      </c>
      <c r="B196">
        <v>1</v>
      </c>
      <c r="C196" t="s">
        <v>204</v>
      </c>
      <c r="D196" t="s">
        <v>11</v>
      </c>
      <c r="E196">
        <v>58</v>
      </c>
      <c r="F196">
        <v>0</v>
      </c>
      <c r="G196">
        <v>0</v>
      </c>
      <c r="H196">
        <v>146.52080000000001</v>
      </c>
    </row>
    <row r="197" spans="1:8" x14ac:dyDescent="0.3">
      <c r="A197">
        <v>0</v>
      </c>
      <c r="B197">
        <v>3</v>
      </c>
      <c r="C197" t="s">
        <v>205</v>
      </c>
      <c r="D197" t="s">
        <v>9</v>
      </c>
      <c r="E197">
        <v>28</v>
      </c>
      <c r="F197">
        <v>0</v>
      </c>
      <c r="G197">
        <v>0</v>
      </c>
      <c r="H197">
        <v>7.75</v>
      </c>
    </row>
    <row r="198" spans="1:8" x14ac:dyDescent="0.3">
      <c r="A198">
        <v>0</v>
      </c>
      <c r="B198">
        <v>3</v>
      </c>
      <c r="C198" t="s">
        <v>206</v>
      </c>
      <c r="D198" t="s">
        <v>9</v>
      </c>
      <c r="E198">
        <v>42</v>
      </c>
      <c r="F198">
        <v>0</v>
      </c>
      <c r="G198">
        <v>1</v>
      </c>
      <c r="H198">
        <v>8.4041999999999994</v>
      </c>
    </row>
    <row r="199" spans="1:8" x14ac:dyDescent="0.3">
      <c r="A199">
        <v>1</v>
      </c>
      <c r="B199">
        <v>3</v>
      </c>
      <c r="C199" t="s">
        <v>207</v>
      </c>
      <c r="D199" t="s">
        <v>11</v>
      </c>
      <c r="E199">
        <v>21</v>
      </c>
      <c r="F199">
        <v>0</v>
      </c>
      <c r="G199">
        <v>0</v>
      </c>
      <c r="H199">
        <v>7.75</v>
      </c>
    </row>
    <row r="200" spans="1:8" x14ac:dyDescent="0.3">
      <c r="A200">
        <v>0</v>
      </c>
      <c r="B200">
        <v>2</v>
      </c>
      <c r="C200" t="s">
        <v>208</v>
      </c>
      <c r="D200" t="s">
        <v>11</v>
      </c>
      <c r="E200">
        <v>24</v>
      </c>
      <c r="F200">
        <v>0</v>
      </c>
      <c r="G200">
        <v>0</v>
      </c>
      <c r="H200">
        <v>13</v>
      </c>
    </row>
    <row r="201" spans="1:8" x14ac:dyDescent="0.3">
      <c r="A201">
        <v>0</v>
      </c>
      <c r="B201">
        <v>3</v>
      </c>
      <c r="C201" t="s">
        <v>209</v>
      </c>
      <c r="D201" t="s">
        <v>9</v>
      </c>
      <c r="E201">
        <v>28</v>
      </c>
      <c r="F201">
        <v>0</v>
      </c>
      <c r="G201">
        <v>0</v>
      </c>
      <c r="H201">
        <v>9.5</v>
      </c>
    </row>
    <row r="202" spans="1:8" x14ac:dyDescent="0.3">
      <c r="A202">
        <v>0</v>
      </c>
      <c r="B202">
        <v>3</v>
      </c>
      <c r="C202" t="s">
        <v>210</v>
      </c>
      <c r="D202" t="s">
        <v>9</v>
      </c>
      <c r="E202">
        <v>17</v>
      </c>
      <c r="F202">
        <v>8</v>
      </c>
      <c r="G202">
        <v>2</v>
      </c>
      <c r="H202">
        <v>69.55</v>
      </c>
    </row>
    <row r="203" spans="1:8" x14ac:dyDescent="0.3">
      <c r="A203">
        <v>0</v>
      </c>
      <c r="B203">
        <v>3</v>
      </c>
      <c r="C203" t="s">
        <v>211</v>
      </c>
      <c r="D203" t="s">
        <v>9</v>
      </c>
      <c r="E203">
        <v>34</v>
      </c>
      <c r="F203">
        <v>0</v>
      </c>
      <c r="G203">
        <v>0</v>
      </c>
      <c r="H203">
        <v>6.4958</v>
      </c>
    </row>
    <row r="204" spans="1:8" x14ac:dyDescent="0.3">
      <c r="A204">
        <v>0</v>
      </c>
      <c r="B204">
        <v>3</v>
      </c>
      <c r="C204" t="s">
        <v>212</v>
      </c>
      <c r="D204" t="s">
        <v>9</v>
      </c>
      <c r="E204">
        <v>45.5</v>
      </c>
      <c r="F204">
        <v>0</v>
      </c>
      <c r="G204">
        <v>0</v>
      </c>
      <c r="H204">
        <v>7.2249999999999996</v>
      </c>
    </row>
    <row r="205" spans="1:8" x14ac:dyDescent="0.3">
      <c r="A205">
        <v>1</v>
      </c>
      <c r="B205">
        <v>3</v>
      </c>
      <c r="C205" t="s">
        <v>213</v>
      </c>
      <c r="D205" t="s">
        <v>9</v>
      </c>
      <c r="E205">
        <v>18</v>
      </c>
      <c r="F205">
        <v>0</v>
      </c>
      <c r="G205">
        <v>0</v>
      </c>
      <c r="H205">
        <v>8.0500000000000007</v>
      </c>
    </row>
    <row r="206" spans="1:8" x14ac:dyDescent="0.3">
      <c r="A206">
        <v>0</v>
      </c>
      <c r="B206">
        <v>3</v>
      </c>
      <c r="C206" t="s">
        <v>214</v>
      </c>
      <c r="D206" t="s">
        <v>11</v>
      </c>
      <c r="E206">
        <v>2</v>
      </c>
      <c r="F206">
        <v>0</v>
      </c>
      <c r="G206">
        <v>1</v>
      </c>
      <c r="H206">
        <v>10.4625</v>
      </c>
    </row>
    <row r="207" spans="1:8" x14ac:dyDescent="0.3">
      <c r="A207">
        <v>0</v>
      </c>
      <c r="B207">
        <v>3</v>
      </c>
      <c r="C207" t="s">
        <v>215</v>
      </c>
      <c r="D207" t="s">
        <v>9</v>
      </c>
      <c r="E207">
        <v>32</v>
      </c>
      <c r="F207">
        <v>1</v>
      </c>
      <c r="G207">
        <v>0</v>
      </c>
      <c r="H207">
        <v>15.85</v>
      </c>
    </row>
    <row r="208" spans="1:8" x14ac:dyDescent="0.3">
      <c r="A208">
        <v>1</v>
      </c>
      <c r="B208">
        <v>3</v>
      </c>
      <c r="C208" t="s">
        <v>216</v>
      </c>
      <c r="D208" t="s">
        <v>9</v>
      </c>
      <c r="E208">
        <v>26</v>
      </c>
      <c r="F208">
        <v>0</v>
      </c>
      <c r="G208">
        <v>0</v>
      </c>
      <c r="H208">
        <v>18.787500000000001</v>
      </c>
    </row>
    <row r="209" spans="1:8" x14ac:dyDescent="0.3">
      <c r="A209">
        <v>1</v>
      </c>
      <c r="B209">
        <v>3</v>
      </c>
      <c r="C209" t="s">
        <v>217</v>
      </c>
      <c r="D209" t="s">
        <v>11</v>
      </c>
      <c r="E209">
        <v>16</v>
      </c>
      <c r="F209">
        <v>0</v>
      </c>
      <c r="G209">
        <v>0</v>
      </c>
      <c r="H209">
        <v>7.75</v>
      </c>
    </row>
    <row r="210" spans="1:8" x14ac:dyDescent="0.3">
      <c r="A210">
        <v>1</v>
      </c>
      <c r="B210">
        <v>1</v>
      </c>
      <c r="C210" t="s">
        <v>218</v>
      </c>
      <c r="D210" t="s">
        <v>9</v>
      </c>
      <c r="E210">
        <v>40</v>
      </c>
      <c r="F210">
        <v>0</v>
      </c>
      <c r="G210">
        <v>0</v>
      </c>
      <c r="H210">
        <v>31</v>
      </c>
    </row>
    <row r="211" spans="1:8" x14ac:dyDescent="0.3">
      <c r="A211">
        <v>0</v>
      </c>
      <c r="B211">
        <v>3</v>
      </c>
      <c r="C211" t="s">
        <v>219</v>
      </c>
      <c r="D211" t="s">
        <v>9</v>
      </c>
      <c r="E211">
        <v>24</v>
      </c>
      <c r="F211">
        <v>0</v>
      </c>
      <c r="G211">
        <v>0</v>
      </c>
      <c r="H211">
        <v>7.05</v>
      </c>
    </row>
    <row r="212" spans="1:8" x14ac:dyDescent="0.3">
      <c r="A212">
        <v>1</v>
      </c>
      <c r="B212">
        <v>2</v>
      </c>
      <c r="C212" t="s">
        <v>220</v>
      </c>
      <c r="D212" t="s">
        <v>11</v>
      </c>
      <c r="E212">
        <v>35</v>
      </c>
      <c r="F212">
        <v>0</v>
      </c>
      <c r="G212">
        <v>0</v>
      </c>
      <c r="H212">
        <v>21</v>
      </c>
    </row>
    <row r="213" spans="1:8" x14ac:dyDescent="0.3">
      <c r="A213">
        <v>0</v>
      </c>
      <c r="B213">
        <v>3</v>
      </c>
      <c r="C213" t="s">
        <v>221</v>
      </c>
      <c r="D213" t="s">
        <v>9</v>
      </c>
      <c r="E213">
        <v>22</v>
      </c>
      <c r="F213">
        <v>0</v>
      </c>
      <c r="G213">
        <v>0</v>
      </c>
      <c r="H213">
        <v>7.25</v>
      </c>
    </row>
    <row r="214" spans="1:8" x14ac:dyDescent="0.3">
      <c r="A214">
        <v>0</v>
      </c>
      <c r="B214">
        <v>2</v>
      </c>
      <c r="C214" t="s">
        <v>222</v>
      </c>
      <c r="D214" t="s">
        <v>9</v>
      </c>
      <c r="E214">
        <v>30</v>
      </c>
      <c r="F214">
        <v>0</v>
      </c>
      <c r="G214">
        <v>0</v>
      </c>
      <c r="H214">
        <v>13</v>
      </c>
    </row>
    <row r="215" spans="1:8" x14ac:dyDescent="0.3">
      <c r="A215">
        <v>0</v>
      </c>
      <c r="B215">
        <v>3</v>
      </c>
      <c r="C215" t="s">
        <v>223</v>
      </c>
      <c r="D215" t="s">
        <v>9</v>
      </c>
      <c r="E215">
        <v>22</v>
      </c>
      <c r="F215">
        <v>1</v>
      </c>
      <c r="G215">
        <v>0</v>
      </c>
      <c r="H215">
        <v>7.75</v>
      </c>
    </row>
    <row r="216" spans="1:8" x14ac:dyDescent="0.3">
      <c r="A216">
        <v>1</v>
      </c>
      <c r="B216">
        <v>1</v>
      </c>
      <c r="C216" t="s">
        <v>224</v>
      </c>
      <c r="D216" t="s">
        <v>11</v>
      </c>
      <c r="E216">
        <v>31</v>
      </c>
      <c r="F216">
        <v>1</v>
      </c>
      <c r="G216">
        <v>0</v>
      </c>
      <c r="H216">
        <v>113.27500000000001</v>
      </c>
    </row>
    <row r="217" spans="1:8" x14ac:dyDescent="0.3">
      <c r="A217">
        <v>1</v>
      </c>
      <c r="B217">
        <v>3</v>
      </c>
      <c r="C217" t="s">
        <v>225</v>
      </c>
      <c r="D217" t="s">
        <v>11</v>
      </c>
      <c r="E217">
        <v>27</v>
      </c>
      <c r="F217">
        <v>0</v>
      </c>
      <c r="G217">
        <v>0</v>
      </c>
      <c r="H217">
        <v>7.9249999999999998</v>
      </c>
    </row>
    <row r="218" spans="1:8" x14ac:dyDescent="0.3">
      <c r="A218">
        <v>0</v>
      </c>
      <c r="B218">
        <v>2</v>
      </c>
      <c r="C218" t="s">
        <v>226</v>
      </c>
      <c r="D218" t="s">
        <v>9</v>
      </c>
      <c r="E218">
        <v>42</v>
      </c>
      <c r="F218">
        <v>1</v>
      </c>
      <c r="G218">
        <v>0</v>
      </c>
      <c r="H218">
        <v>27</v>
      </c>
    </row>
    <row r="219" spans="1:8" x14ac:dyDescent="0.3">
      <c r="A219">
        <v>1</v>
      </c>
      <c r="B219">
        <v>1</v>
      </c>
      <c r="C219" t="s">
        <v>227</v>
      </c>
      <c r="D219" t="s">
        <v>11</v>
      </c>
      <c r="E219">
        <v>32</v>
      </c>
      <c r="F219">
        <v>0</v>
      </c>
      <c r="G219">
        <v>0</v>
      </c>
      <c r="H219">
        <v>76.291700000000006</v>
      </c>
    </row>
    <row r="220" spans="1:8" x14ac:dyDescent="0.3">
      <c r="A220">
        <v>0</v>
      </c>
      <c r="B220">
        <v>2</v>
      </c>
      <c r="C220" t="s">
        <v>228</v>
      </c>
      <c r="D220" t="s">
        <v>9</v>
      </c>
      <c r="E220">
        <v>30</v>
      </c>
      <c r="F220">
        <v>0</v>
      </c>
      <c r="G220">
        <v>0</v>
      </c>
      <c r="H220">
        <v>10.5</v>
      </c>
    </row>
    <row r="221" spans="1:8" x14ac:dyDescent="0.3">
      <c r="A221">
        <v>1</v>
      </c>
      <c r="B221">
        <v>3</v>
      </c>
      <c r="C221" t="s">
        <v>229</v>
      </c>
      <c r="D221" t="s">
        <v>9</v>
      </c>
      <c r="E221">
        <v>16</v>
      </c>
      <c r="F221">
        <v>0</v>
      </c>
      <c r="G221">
        <v>0</v>
      </c>
      <c r="H221">
        <v>8.0500000000000007</v>
      </c>
    </row>
    <row r="222" spans="1:8" x14ac:dyDescent="0.3">
      <c r="A222">
        <v>0</v>
      </c>
      <c r="B222">
        <v>2</v>
      </c>
      <c r="C222" t="s">
        <v>230</v>
      </c>
      <c r="D222" t="s">
        <v>9</v>
      </c>
      <c r="E222">
        <v>27</v>
      </c>
      <c r="F222">
        <v>0</v>
      </c>
      <c r="G222">
        <v>0</v>
      </c>
      <c r="H222">
        <v>13</v>
      </c>
    </row>
    <row r="223" spans="1:8" x14ac:dyDescent="0.3">
      <c r="A223">
        <v>0</v>
      </c>
      <c r="B223">
        <v>3</v>
      </c>
      <c r="C223" t="s">
        <v>231</v>
      </c>
      <c r="D223" t="s">
        <v>9</v>
      </c>
      <c r="E223">
        <v>51</v>
      </c>
      <c r="F223">
        <v>0</v>
      </c>
      <c r="G223">
        <v>0</v>
      </c>
      <c r="H223">
        <v>8.0500000000000007</v>
      </c>
    </row>
    <row r="224" spans="1:8" x14ac:dyDescent="0.3">
      <c r="A224">
        <v>0</v>
      </c>
      <c r="B224">
        <v>3</v>
      </c>
      <c r="C224" t="s">
        <v>232</v>
      </c>
      <c r="D224" t="s">
        <v>9</v>
      </c>
      <c r="E224">
        <v>22</v>
      </c>
      <c r="F224">
        <v>0</v>
      </c>
      <c r="G224">
        <v>0</v>
      </c>
      <c r="H224">
        <v>7.8958000000000004</v>
      </c>
    </row>
    <row r="225" spans="1:8" x14ac:dyDescent="0.3">
      <c r="A225">
        <v>1</v>
      </c>
      <c r="B225">
        <v>1</v>
      </c>
      <c r="C225" t="s">
        <v>233</v>
      </c>
      <c r="D225" t="s">
        <v>9</v>
      </c>
      <c r="E225">
        <v>38</v>
      </c>
      <c r="F225">
        <v>1</v>
      </c>
      <c r="G225">
        <v>0</v>
      </c>
      <c r="H225">
        <v>90</v>
      </c>
    </row>
    <row r="226" spans="1:8" x14ac:dyDescent="0.3">
      <c r="A226">
        <v>0</v>
      </c>
      <c r="B226">
        <v>3</v>
      </c>
      <c r="C226" t="s">
        <v>234</v>
      </c>
      <c r="D226" t="s">
        <v>9</v>
      </c>
      <c r="E226">
        <v>22</v>
      </c>
      <c r="F226">
        <v>0</v>
      </c>
      <c r="G226">
        <v>0</v>
      </c>
      <c r="H226">
        <v>9.35</v>
      </c>
    </row>
    <row r="227" spans="1:8" x14ac:dyDescent="0.3">
      <c r="A227">
        <v>1</v>
      </c>
      <c r="B227">
        <v>2</v>
      </c>
      <c r="C227" t="s">
        <v>235</v>
      </c>
      <c r="D227" t="s">
        <v>9</v>
      </c>
      <c r="E227">
        <v>19</v>
      </c>
      <c r="F227">
        <v>0</v>
      </c>
      <c r="G227">
        <v>0</v>
      </c>
      <c r="H227">
        <v>10.5</v>
      </c>
    </row>
    <row r="228" spans="1:8" x14ac:dyDescent="0.3">
      <c r="A228">
        <v>0</v>
      </c>
      <c r="B228">
        <v>3</v>
      </c>
      <c r="C228" t="s">
        <v>236</v>
      </c>
      <c r="D228" t="s">
        <v>9</v>
      </c>
      <c r="E228">
        <v>20.5</v>
      </c>
      <c r="F228">
        <v>0</v>
      </c>
      <c r="G228">
        <v>0</v>
      </c>
      <c r="H228">
        <v>7.25</v>
      </c>
    </row>
    <row r="229" spans="1:8" x14ac:dyDescent="0.3">
      <c r="A229">
        <v>0</v>
      </c>
      <c r="B229">
        <v>2</v>
      </c>
      <c r="C229" t="s">
        <v>237</v>
      </c>
      <c r="D229" t="s">
        <v>9</v>
      </c>
      <c r="E229">
        <v>18</v>
      </c>
      <c r="F229">
        <v>0</v>
      </c>
      <c r="G229">
        <v>0</v>
      </c>
      <c r="H229">
        <v>13</v>
      </c>
    </row>
    <row r="230" spans="1:8" x14ac:dyDescent="0.3">
      <c r="A230">
        <v>0</v>
      </c>
      <c r="B230">
        <v>3</v>
      </c>
      <c r="C230" t="s">
        <v>238</v>
      </c>
      <c r="D230" t="s">
        <v>11</v>
      </c>
      <c r="E230">
        <v>12</v>
      </c>
      <c r="F230">
        <v>3</v>
      </c>
      <c r="G230">
        <v>1</v>
      </c>
      <c r="H230">
        <v>25.466699999999999</v>
      </c>
    </row>
    <row r="231" spans="1:8" x14ac:dyDescent="0.3">
      <c r="A231">
        <v>1</v>
      </c>
      <c r="B231">
        <v>1</v>
      </c>
      <c r="C231" t="s">
        <v>239</v>
      </c>
      <c r="D231" t="s">
        <v>11</v>
      </c>
      <c r="E231">
        <v>35</v>
      </c>
      <c r="F231">
        <v>1</v>
      </c>
      <c r="G231">
        <v>0</v>
      </c>
      <c r="H231">
        <v>83.474999999999994</v>
      </c>
    </row>
    <row r="232" spans="1:8" x14ac:dyDescent="0.3">
      <c r="A232">
        <v>0</v>
      </c>
      <c r="B232">
        <v>3</v>
      </c>
      <c r="C232" t="s">
        <v>240</v>
      </c>
      <c r="D232" t="s">
        <v>9</v>
      </c>
      <c r="E232">
        <v>29</v>
      </c>
      <c r="F232">
        <v>0</v>
      </c>
      <c r="G232">
        <v>0</v>
      </c>
      <c r="H232">
        <v>7.7750000000000004</v>
      </c>
    </row>
    <row r="233" spans="1:8" x14ac:dyDescent="0.3">
      <c r="A233">
        <v>0</v>
      </c>
      <c r="B233">
        <v>2</v>
      </c>
      <c r="C233" t="s">
        <v>241</v>
      </c>
      <c r="D233" t="s">
        <v>9</v>
      </c>
      <c r="E233">
        <v>59</v>
      </c>
      <c r="F233">
        <v>0</v>
      </c>
      <c r="G233">
        <v>0</v>
      </c>
      <c r="H233">
        <v>13.5</v>
      </c>
    </row>
    <row r="234" spans="1:8" x14ac:dyDescent="0.3">
      <c r="A234">
        <v>1</v>
      </c>
      <c r="B234">
        <v>3</v>
      </c>
      <c r="C234" t="s">
        <v>242</v>
      </c>
      <c r="D234" t="s">
        <v>11</v>
      </c>
      <c r="E234">
        <v>5</v>
      </c>
      <c r="F234">
        <v>4</v>
      </c>
      <c r="G234">
        <v>2</v>
      </c>
      <c r="H234">
        <v>31.387499999999999</v>
      </c>
    </row>
    <row r="235" spans="1:8" x14ac:dyDescent="0.3">
      <c r="A235">
        <v>0</v>
      </c>
      <c r="B235">
        <v>2</v>
      </c>
      <c r="C235" t="s">
        <v>243</v>
      </c>
      <c r="D235" t="s">
        <v>9</v>
      </c>
      <c r="E235">
        <v>24</v>
      </c>
      <c r="F235">
        <v>0</v>
      </c>
      <c r="G235">
        <v>0</v>
      </c>
      <c r="H235">
        <v>10.5</v>
      </c>
    </row>
    <row r="236" spans="1:8" x14ac:dyDescent="0.3">
      <c r="A236">
        <v>0</v>
      </c>
      <c r="B236">
        <v>3</v>
      </c>
      <c r="C236" t="s">
        <v>244</v>
      </c>
      <c r="D236" t="s">
        <v>11</v>
      </c>
      <c r="E236">
        <v>21</v>
      </c>
      <c r="F236">
        <v>0</v>
      </c>
      <c r="G236">
        <v>0</v>
      </c>
      <c r="H236">
        <v>7.55</v>
      </c>
    </row>
    <row r="237" spans="1:8" x14ac:dyDescent="0.3">
      <c r="A237">
        <v>0</v>
      </c>
      <c r="B237">
        <v>2</v>
      </c>
      <c r="C237" t="s">
        <v>245</v>
      </c>
      <c r="D237" t="s">
        <v>9</v>
      </c>
      <c r="E237">
        <v>44</v>
      </c>
      <c r="F237">
        <v>1</v>
      </c>
      <c r="G237">
        <v>0</v>
      </c>
      <c r="H237">
        <v>26</v>
      </c>
    </row>
    <row r="238" spans="1:8" x14ac:dyDescent="0.3">
      <c r="A238">
        <v>1</v>
      </c>
      <c r="B238">
        <v>2</v>
      </c>
      <c r="C238" t="s">
        <v>246</v>
      </c>
      <c r="D238" t="s">
        <v>11</v>
      </c>
      <c r="E238">
        <v>8</v>
      </c>
      <c r="F238">
        <v>0</v>
      </c>
      <c r="G238">
        <v>2</v>
      </c>
      <c r="H238">
        <v>26.25</v>
      </c>
    </row>
    <row r="239" spans="1:8" x14ac:dyDescent="0.3">
      <c r="A239">
        <v>0</v>
      </c>
      <c r="B239">
        <v>2</v>
      </c>
      <c r="C239" t="s">
        <v>247</v>
      </c>
      <c r="D239" t="s">
        <v>9</v>
      </c>
      <c r="E239">
        <v>19</v>
      </c>
      <c r="F239">
        <v>0</v>
      </c>
      <c r="G239">
        <v>0</v>
      </c>
      <c r="H239">
        <v>10.5</v>
      </c>
    </row>
    <row r="240" spans="1:8" x14ac:dyDescent="0.3">
      <c r="A240">
        <v>0</v>
      </c>
      <c r="B240">
        <v>2</v>
      </c>
      <c r="C240" t="s">
        <v>248</v>
      </c>
      <c r="D240" t="s">
        <v>9</v>
      </c>
      <c r="E240">
        <v>33</v>
      </c>
      <c r="F240">
        <v>0</v>
      </c>
      <c r="G240">
        <v>0</v>
      </c>
      <c r="H240">
        <v>12.275</v>
      </c>
    </row>
    <row r="241" spans="1:8" x14ac:dyDescent="0.3">
      <c r="A241">
        <v>0</v>
      </c>
      <c r="B241">
        <v>3</v>
      </c>
      <c r="C241" t="s">
        <v>249</v>
      </c>
      <c r="D241" t="s">
        <v>11</v>
      </c>
      <c r="E241">
        <v>19</v>
      </c>
      <c r="F241">
        <v>1</v>
      </c>
      <c r="G241">
        <v>0</v>
      </c>
      <c r="H241">
        <v>14.4542</v>
      </c>
    </row>
    <row r="242" spans="1:8" x14ac:dyDescent="0.3">
      <c r="A242">
        <v>1</v>
      </c>
      <c r="B242">
        <v>3</v>
      </c>
      <c r="C242" t="s">
        <v>250</v>
      </c>
      <c r="D242" t="s">
        <v>11</v>
      </c>
      <c r="E242">
        <v>18</v>
      </c>
      <c r="F242">
        <v>1</v>
      </c>
      <c r="G242">
        <v>0</v>
      </c>
      <c r="H242">
        <v>15.5</v>
      </c>
    </row>
    <row r="243" spans="1:8" x14ac:dyDescent="0.3">
      <c r="A243">
        <v>0</v>
      </c>
      <c r="B243">
        <v>2</v>
      </c>
      <c r="C243" t="s">
        <v>251</v>
      </c>
      <c r="D243" t="s">
        <v>9</v>
      </c>
      <c r="E243">
        <v>29</v>
      </c>
      <c r="F243">
        <v>0</v>
      </c>
      <c r="G243">
        <v>0</v>
      </c>
      <c r="H243">
        <v>10.5</v>
      </c>
    </row>
    <row r="244" spans="1:8" x14ac:dyDescent="0.3">
      <c r="A244">
        <v>0</v>
      </c>
      <c r="B244">
        <v>3</v>
      </c>
      <c r="C244" t="s">
        <v>252</v>
      </c>
      <c r="D244" t="s">
        <v>9</v>
      </c>
      <c r="E244">
        <v>22</v>
      </c>
      <c r="F244">
        <v>0</v>
      </c>
      <c r="G244">
        <v>0</v>
      </c>
      <c r="H244">
        <v>7.125</v>
      </c>
    </row>
    <row r="245" spans="1:8" x14ac:dyDescent="0.3">
      <c r="A245">
        <v>0</v>
      </c>
      <c r="B245">
        <v>3</v>
      </c>
      <c r="C245" t="s">
        <v>253</v>
      </c>
      <c r="D245" t="s">
        <v>9</v>
      </c>
      <c r="E245">
        <v>30</v>
      </c>
      <c r="F245">
        <v>0</v>
      </c>
      <c r="G245">
        <v>0</v>
      </c>
      <c r="H245">
        <v>7.2249999999999996</v>
      </c>
    </row>
    <row r="246" spans="1:8" x14ac:dyDescent="0.3">
      <c r="A246">
        <v>0</v>
      </c>
      <c r="B246">
        <v>1</v>
      </c>
      <c r="C246" t="s">
        <v>254</v>
      </c>
      <c r="D246" t="s">
        <v>9</v>
      </c>
      <c r="E246">
        <v>44</v>
      </c>
      <c r="F246">
        <v>2</v>
      </c>
      <c r="G246">
        <v>0</v>
      </c>
      <c r="H246">
        <v>90</v>
      </c>
    </row>
    <row r="247" spans="1:8" x14ac:dyDescent="0.3">
      <c r="A247">
        <v>0</v>
      </c>
      <c r="B247">
        <v>3</v>
      </c>
      <c r="C247" t="s">
        <v>255</v>
      </c>
      <c r="D247" t="s">
        <v>11</v>
      </c>
      <c r="E247">
        <v>25</v>
      </c>
      <c r="F247">
        <v>0</v>
      </c>
      <c r="G247">
        <v>0</v>
      </c>
      <c r="H247">
        <v>7.7750000000000004</v>
      </c>
    </row>
    <row r="248" spans="1:8" x14ac:dyDescent="0.3">
      <c r="A248">
        <v>1</v>
      </c>
      <c r="B248">
        <v>2</v>
      </c>
      <c r="C248" t="s">
        <v>256</v>
      </c>
      <c r="D248" t="s">
        <v>11</v>
      </c>
      <c r="E248">
        <v>24</v>
      </c>
      <c r="F248">
        <v>0</v>
      </c>
      <c r="G248">
        <v>2</v>
      </c>
      <c r="H248">
        <v>14.5</v>
      </c>
    </row>
    <row r="249" spans="1:8" x14ac:dyDescent="0.3">
      <c r="A249">
        <v>1</v>
      </c>
      <c r="B249">
        <v>1</v>
      </c>
      <c r="C249" t="s">
        <v>257</v>
      </c>
      <c r="D249" t="s">
        <v>9</v>
      </c>
      <c r="E249">
        <v>37</v>
      </c>
      <c r="F249">
        <v>1</v>
      </c>
      <c r="G249">
        <v>1</v>
      </c>
      <c r="H249">
        <v>52.554200000000002</v>
      </c>
    </row>
    <row r="250" spans="1:8" x14ac:dyDescent="0.3">
      <c r="A250">
        <v>0</v>
      </c>
      <c r="B250">
        <v>2</v>
      </c>
      <c r="C250" t="s">
        <v>258</v>
      </c>
      <c r="D250" t="s">
        <v>9</v>
      </c>
      <c r="E250">
        <v>54</v>
      </c>
      <c r="F250">
        <v>1</v>
      </c>
      <c r="G250">
        <v>0</v>
      </c>
      <c r="H250">
        <v>26</v>
      </c>
    </row>
    <row r="251" spans="1:8" x14ac:dyDescent="0.3">
      <c r="A251">
        <v>0</v>
      </c>
      <c r="B251">
        <v>3</v>
      </c>
      <c r="C251" t="s">
        <v>259</v>
      </c>
      <c r="D251" t="s">
        <v>9</v>
      </c>
      <c r="E251">
        <v>18</v>
      </c>
      <c r="F251">
        <v>0</v>
      </c>
      <c r="G251">
        <v>0</v>
      </c>
      <c r="H251">
        <v>7.25</v>
      </c>
    </row>
    <row r="252" spans="1:8" x14ac:dyDescent="0.3">
      <c r="A252">
        <v>0</v>
      </c>
      <c r="B252">
        <v>3</v>
      </c>
      <c r="C252" t="s">
        <v>260</v>
      </c>
      <c r="D252" t="s">
        <v>11</v>
      </c>
      <c r="E252">
        <v>29</v>
      </c>
      <c r="F252">
        <v>1</v>
      </c>
      <c r="G252">
        <v>1</v>
      </c>
      <c r="H252">
        <v>10.4625</v>
      </c>
    </row>
    <row r="253" spans="1:8" x14ac:dyDescent="0.3">
      <c r="A253">
        <v>0</v>
      </c>
      <c r="B253">
        <v>1</v>
      </c>
      <c r="C253" t="s">
        <v>261</v>
      </c>
      <c r="D253" t="s">
        <v>9</v>
      </c>
      <c r="E253">
        <v>62</v>
      </c>
      <c r="F253">
        <v>0</v>
      </c>
      <c r="G253">
        <v>0</v>
      </c>
      <c r="H253">
        <v>26.55</v>
      </c>
    </row>
    <row r="254" spans="1:8" x14ac:dyDescent="0.3">
      <c r="A254">
        <v>0</v>
      </c>
      <c r="B254">
        <v>3</v>
      </c>
      <c r="C254" t="s">
        <v>262</v>
      </c>
      <c r="D254" t="s">
        <v>9</v>
      </c>
      <c r="E254">
        <v>30</v>
      </c>
      <c r="F254">
        <v>1</v>
      </c>
      <c r="G254">
        <v>0</v>
      </c>
      <c r="H254">
        <v>16.100000000000001</v>
      </c>
    </row>
    <row r="255" spans="1:8" x14ac:dyDescent="0.3">
      <c r="A255">
        <v>0</v>
      </c>
      <c r="B255">
        <v>3</v>
      </c>
      <c r="C255" t="s">
        <v>263</v>
      </c>
      <c r="D255" t="s">
        <v>11</v>
      </c>
      <c r="E255">
        <v>41</v>
      </c>
      <c r="F255">
        <v>0</v>
      </c>
      <c r="G255">
        <v>2</v>
      </c>
      <c r="H255">
        <v>20.212499999999999</v>
      </c>
    </row>
    <row r="256" spans="1:8" x14ac:dyDescent="0.3">
      <c r="A256">
        <v>1</v>
      </c>
      <c r="B256">
        <v>3</v>
      </c>
      <c r="C256" t="s">
        <v>264</v>
      </c>
      <c r="D256" t="s">
        <v>11</v>
      </c>
      <c r="E256">
        <v>29</v>
      </c>
      <c r="F256">
        <v>0</v>
      </c>
      <c r="G256">
        <v>2</v>
      </c>
      <c r="H256">
        <v>15.245799999999999</v>
      </c>
    </row>
    <row r="257" spans="1:8" x14ac:dyDescent="0.3">
      <c r="A257">
        <v>1</v>
      </c>
      <c r="B257">
        <v>1</v>
      </c>
      <c r="C257" t="s">
        <v>265</v>
      </c>
      <c r="D257" t="s">
        <v>11</v>
      </c>
      <c r="E257">
        <v>38</v>
      </c>
      <c r="F257">
        <v>0</v>
      </c>
      <c r="G257">
        <v>0</v>
      </c>
      <c r="H257">
        <v>79.2</v>
      </c>
    </row>
    <row r="258" spans="1:8" x14ac:dyDescent="0.3">
      <c r="A258">
        <v>1</v>
      </c>
      <c r="B258">
        <v>1</v>
      </c>
      <c r="C258" t="s">
        <v>266</v>
      </c>
      <c r="D258" t="s">
        <v>11</v>
      </c>
      <c r="E258">
        <v>30</v>
      </c>
      <c r="F258">
        <v>0</v>
      </c>
      <c r="G258">
        <v>0</v>
      </c>
      <c r="H258">
        <v>86.5</v>
      </c>
    </row>
    <row r="259" spans="1:8" x14ac:dyDescent="0.3">
      <c r="A259">
        <v>1</v>
      </c>
      <c r="B259">
        <v>1</v>
      </c>
      <c r="C259" t="s">
        <v>267</v>
      </c>
      <c r="D259" t="s">
        <v>11</v>
      </c>
      <c r="E259">
        <v>35</v>
      </c>
      <c r="F259">
        <v>0</v>
      </c>
      <c r="G259">
        <v>0</v>
      </c>
      <c r="H259">
        <v>512.32920000000001</v>
      </c>
    </row>
    <row r="260" spans="1:8" x14ac:dyDescent="0.3">
      <c r="A260">
        <v>1</v>
      </c>
      <c r="B260">
        <v>2</v>
      </c>
      <c r="C260" t="s">
        <v>268</v>
      </c>
      <c r="D260" t="s">
        <v>11</v>
      </c>
      <c r="E260">
        <v>50</v>
      </c>
      <c r="F260">
        <v>0</v>
      </c>
      <c r="G260">
        <v>1</v>
      </c>
      <c r="H260">
        <v>26</v>
      </c>
    </row>
    <row r="261" spans="1:8" x14ac:dyDescent="0.3">
      <c r="A261">
        <v>1</v>
      </c>
      <c r="B261">
        <v>3</v>
      </c>
      <c r="C261" t="s">
        <v>269</v>
      </c>
      <c r="D261" t="s">
        <v>9</v>
      </c>
      <c r="E261">
        <v>3</v>
      </c>
      <c r="F261">
        <v>4</v>
      </c>
      <c r="G261">
        <v>2</v>
      </c>
      <c r="H261">
        <v>31.387499999999999</v>
      </c>
    </row>
    <row r="262" spans="1:8" x14ac:dyDescent="0.3">
      <c r="A262">
        <v>0</v>
      </c>
      <c r="B262">
        <v>1</v>
      </c>
      <c r="C262" t="s">
        <v>270</v>
      </c>
      <c r="D262" t="s">
        <v>9</v>
      </c>
      <c r="E262">
        <v>52</v>
      </c>
      <c r="F262">
        <v>1</v>
      </c>
      <c r="G262">
        <v>1</v>
      </c>
      <c r="H262">
        <v>79.650000000000006</v>
      </c>
    </row>
    <row r="263" spans="1:8" x14ac:dyDescent="0.3">
      <c r="A263">
        <v>0</v>
      </c>
      <c r="B263">
        <v>1</v>
      </c>
      <c r="C263" t="s">
        <v>271</v>
      </c>
      <c r="D263" t="s">
        <v>9</v>
      </c>
      <c r="E263">
        <v>40</v>
      </c>
      <c r="F263">
        <v>0</v>
      </c>
      <c r="G263">
        <v>0</v>
      </c>
      <c r="H263">
        <v>0</v>
      </c>
    </row>
    <row r="264" spans="1:8" x14ac:dyDescent="0.3">
      <c r="A264">
        <v>0</v>
      </c>
      <c r="B264">
        <v>3</v>
      </c>
      <c r="C264" t="s">
        <v>272</v>
      </c>
      <c r="D264" t="s">
        <v>11</v>
      </c>
      <c r="E264">
        <v>21</v>
      </c>
      <c r="F264">
        <v>0</v>
      </c>
      <c r="G264">
        <v>0</v>
      </c>
      <c r="H264">
        <v>7.75</v>
      </c>
    </row>
    <row r="265" spans="1:8" x14ac:dyDescent="0.3">
      <c r="A265">
        <v>0</v>
      </c>
      <c r="B265">
        <v>2</v>
      </c>
      <c r="C265" t="s">
        <v>273</v>
      </c>
      <c r="D265" t="s">
        <v>9</v>
      </c>
      <c r="E265">
        <v>36</v>
      </c>
      <c r="F265">
        <v>0</v>
      </c>
      <c r="G265">
        <v>0</v>
      </c>
      <c r="H265">
        <v>10.5</v>
      </c>
    </row>
    <row r="266" spans="1:8" x14ac:dyDescent="0.3">
      <c r="A266">
        <v>0</v>
      </c>
      <c r="B266">
        <v>3</v>
      </c>
      <c r="C266" t="s">
        <v>274</v>
      </c>
      <c r="D266" t="s">
        <v>9</v>
      </c>
      <c r="E266">
        <v>16</v>
      </c>
      <c r="F266">
        <v>4</v>
      </c>
      <c r="G266">
        <v>1</v>
      </c>
      <c r="H266">
        <v>39.6875</v>
      </c>
    </row>
    <row r="267" spans="1:8" x14ac:dyDescent="0.3">
      <c r="A267">
        <v>1</v>
      </c>
      <c r="B267">
        <v>3</v>
      </c>
      <c r="C267" t="s">
        <v>275</v>
      </c>
      <c r="D267" t="s">
        <v>9</v>
      </c>
      <c r="E267">
        <v>25</v>
      </c>
      <c r="F267">
        <v>1</v>
      </c>
      <c r="G267">
        <v>0</v>
      </c>
      <c r="H267">
        <v>7.7750000000000004</v>
      </c>
    </row>
    <row r="268" spans="1:8" x14ac:dyDescent="0.3">
      <c r="A268">
        <v>1</v>
      </c>
      <c r="B268">
        <v>1</v>
      </c>
      <c r="C268" t="s">
        <v>276</v>
      </c>
      <c r="D268" t="s">
        <v>11</v>
      </c>
      <c r="E268">
        <v>58</v>
      </c>
      <c r="F268">
        <v>0</v>
      </c>
      <c r="G268">
        <v>1</v>
      </c>
      <c r="H268">
        <v>153.46250000000001</v>
      </c>
    </row>
    <row r="269" spans="1:8" x14ac:dyDescent="0.3">
      <c r="A269">
        <v>1</v>
      </c>
      <c r="B269">
        <v>1</v>
      </c>
      <c r="C269" t="s">
        <v>277</v>
      </c>
      <c r="D269" t="s">
        <v>11</v>
      </c>
      <c r="E269">
        <v>35</v>
      </c>
      <c r="F269">
        <v>0</v>
      </c>
      <c r="G269">
        <v>0</v>
      </c>
      <c r="H269">
        <v>135.63329999999999</v>
      </c>
    </row>
    <row r="270" spans="1:8" x14ac:dyDescent="0.3">
      <c r="A270">
        <v>0</v>
      </c>
      <c r="B270">
        <v>1</v>
      </c>
      <c r="C270" t="s">
        <v>278</v>
      </c>
      <c r="D270" t="s">
        <v>9</v>
      </c>
      <c r="E270">
        <v>28</v>
      </c>
      <c r="F270">
        <v>0</v>
      </c>
      <c r="G270">
        <v>0</v>
      </c>
      <c r="H270">
        <v>31</v>
      </c>
    </row>
    <row r="271" spans="1:8" x14ac:dyDescent="0.3">
      <c r="A271">
        <v>1</v>
      </c>
      <c r="B271">
        <v>3</v>
      </c>
      <c r="C271" t="s">
        <v>279</v>
      </c>
      <c r="D271" t="s">
        <v>9</v>
      </c>
      <c r="E271">
        <v>25</v>
      </c>
      <c r="F271">
        <v>0</v>
      </c>
      <c r="G271">
        <v>0</v>
      </c>
      <c r="H271">
        <v>0</v>
      </c>
    </row>
    <row r="272" spans="1:8" x14ac:dyDescent="0.3">
      <c r="A272">
        <v>1</v>
      </c>
      <c r="B272">
        <v>2</v>
      </c>
      <c r="C272" t="s">
        <v>280</v>
      </c>
      <c r="D272" t="s">
        <v>11</v>
      </c>
      <c r="E272">
        <v>41</v>
      </c>
      <c r="F272">
        <v>0</v>
      </c>
      <c r="G272">
        <v>1</v>
      </c>
      <c r="H272">
        <v>19.5</v>
      </c>
    </row>
    <row r="273" spans="1:8" x14ac:dyDescent="0.3">
      <c r="A273">
        <v>0</v>
      </c>
      <c r="B273">
        <v>1</v>
      </c>
      <c r="C273" t="s">
        <v>281</v>
      </c>
      <c r="D273" t="s">
        <v>9</v>
      </c>
      <c r="E273">
        <v>37</v>
      </c>
      <c r="F273">
        <v>0</v>
      </c>
      <c r="G273">
        <v>1</v>
      </c>
      <c r="H273">
        <v>29.7</v>
      </c>
    </row>
    <row r="274" spans="1:8" x14ac:dyDescent="0.3">
      <c r="A274">
        <v>1</v>
      </c>
      <c r="B274">
        <v>3</v>
      </c>
      <c r="C274" t="s">
        <v>282</v>
      </c>
      <c r="D274" t="s">
        <v>11</v>
      </c>
      <c r="E274">
        <v>33</v>
      </c>
      <c r="F274">
        <v>0</v>
      </c>
      <c r="G274">
        <v>0</v>
      </c>
      <c r="H274">
        <v>7.75</v>
      </c>
    </row>
    <row r="275" spans="1:8" x14ac:dyDescent="0.3">
      <c r="A275">
        <v>1</v>
      </c>
      <c r="B275">
        <v>1</v>
      </c>
      <c r="C275" t="s">
        <v>283</v>
      </c>
      <c r="D275" t="s">
        <v>11</v>
      </c>
      <c r="E275">
        <v>63</v>
      </c>
      <c r="F275">
        <v>1</v>
      </c>
      <c r="G275">
        <v>0</v>
      </c>
      <c r="H275">
        <v>77.958299999999994</v>
      </c>
    </row>
    <row r="276" spans="1:8" x14ac:dyDescent="0.3">
      <c r="A276">
        <v>0</v>
      </c>
      <c r="B276">
        <v>3</v>
      </c>
      <c r="C276" t="s">
        <v>284</v>
      </c>
      <c r="D276" t="s">
        <v>11</v>
      </c>
      <c r="E276">
        <v>45</v>
      </c>
      <c r="F276">
        <v>0</v>
      </c>
      <c r="G276">
        <v>0</v>
      </c>
      <c r="H276">
        <v>7.75</v>
      </c>
    </row>
    <row r="277" spans="1:8" x14ac:dyDescent="0.3">
      <c r="A277">
        <v>0</v>
      </c>
      <c r="B277">
        <v>2</v>
      </c>
      <c r="C277" t="s">
        <v>285</v>
      </c>
      <c r="D277" t="s">
        <v>9</v>
      </c>
      <c r="E277">
        <v>21</v>
      </c>
      <c r="F277">
        <v>0</v>
      </c>
      <c r="G277">
        <v>0</v>
      </c>
      <c r="H277">
        <v>0</v>
      </c>
    </row>
    <row r="278" spans="1:8" x14ac:dyDescent="0.3">
      <c r="A278">
        <v>0</v>
      </c>
      <c r="B278">
        <v>3</v>
      </c>
      <c r="C278" t="s">
        <v>286</v>
      </c>
      <c r="D278" t="s">
        <v>9</v>
      </c>
      <c r="E278">
        <v>7</v>
      </c>
      <c r="F278">
        <v>4</v>
      </c>
      <c r="G278">
        <v>1</v>
      </c>
      <c r="H278">
        <v>29.125</v>
      </c>
    </row>
    <row r="279" spans="1:8" x14ac:dyDescent="0.3">
      <c r="A279">
        <v>1</v>
      </c>
      <c r="B279">
        <v>3</v>
      </c>
      <c r="C279" t="s">
        <v>287</v>
      </c>
      <c r="D279" t="s">
        <v>11</v>
      </c>
      <c r="E279">
        <v>35</v>
      </c>
      <c r="F279">
        <v>1</v>
      </c>
      <c r="G279">
        <v>1</v>
      </c>
      <c r="H279">
        <v>20.25</v>
      </c>
    </row>
    <row r="280" spans="1:8" x14ac:dyDescent="0.3">
      <c r="A280">
        <v>0</v>
      </c>
      <c r="B280">
        <v>3</v>
      </c>
      <c r="C280" t="s">
        <v>288</v>
      </c>
      <c r="D280" t="s">
        <v>9</v>
      </c>
      <c r="E280">
        <v>65</v>
      </c>
      <c r="F280">
        <v>0</v>
      </c>
      <c r="G280">
        <v>0</v>
      </c>
      <c r="H280">
        <v>7.75</v>
      </c>
    </row>
    <row r="281" spans="1:8" x14ac:dyDescent="0.3">
      <c r="A281">
        <v>0</v>
      </c>
      <c r="B281">
        <v>3</v>
      </c>
      <c r="C281" t="s">
        <v>289</v>
      </c>
      <c r="D281" t="s">
        <v>9</v>
      </c>
      <c r="E281">
        <v>28</v>
      </c>
      <c r="F281">
        <v>0</v>
      </c>
      <c r="G281">
        <v>0</v>
      </c>
      <c r="H281">
        <v>7.8541999999999996</v>
      </c>
    </row>
    <row r="282" spans="1:8" x14ac:dyDescent="0.3">
      <c r="A282">
        <v>0</v>
      </c>
      <c r="B282">
        <v>3</v>
      </c>
      <c r="C282" t="s">
        <v>290</v>
      </c>
      <c r="D282" t="s">
        <v>9</v>
      </c>
      <c r="E282">
        <v>16</v>
      </c>
      <c r="F282">
        <v>0</v>
      </c>
      <c r="G282">
        <v>0</v>
      </c>
      <c r="H282">
        <v>9.5</v>
      </c>
    </row>
    <row r="283" spans="1:8" x14ac:dyDescent="0.3">
      <c r="A283">
        <v>1</v>
      </c>
      <c r="B283">
        <v>3</v>
      </c>
      <c r="C283" t="s">
        <v>291</v>
      </c>
      <c r="D283" t="s">
        <v>9</v>
      </c>
      <c r="E283">
        <v>19</v>
      </c>
      <c r="F283">
        <v>0</v>
      </c>
      <c r="G283">
        <v>0</v>
      </c>
      <c r="H283">
        <v>8.0500000000000007</v>
      </c>
    </row>
    <row r="284" spans="1:8" x14ac:dyDescent="0.3">
      <c r="A284">
        <v>0</v>
      </c>
      <c r="B284">
        <v>1</v>
      </c>
      <c r="C284" t="s">
        <v>292</v>
      </c>
      <c r="D284" t="s">
        <v>9</v>
      </c>
      <c r="E284">
        <v>57</v>
      </c>
      <c r="F284">
        <v>0</v>
      </c>
      <c r="G284">
        <v>0</v>
      </c>
      <c r="H284">
        <v>26</v>
      </c>
    </row>
    <row r="285" spans="1:8" x14ac:dyDescent="0.3">
      <c r="A285">
        <v>0</v>
      </c>
      <c r="B285">
        <v>3</v>
      </c>
      <c r="C285" t="s">
        <v>293</v>
      </c>
      <c r="D285" t="s">
        <v>9</v>
      </c>
      <c r="E285">
        <v>33</v>
      </c>
      <c r="F285">
        <v>0</v>
      </c>
      <c r="G285">
        <v>0</v>
      </c>
      <c r="H285">
        <v>8.6624999999999996</v>
      </c>
    </row>
    <row r="286" spans="1:8" x14ac:dyDescent="0.3">
      <c r="A286">
        <v>1</v>
      </c>
      <c r="B286">
        <v>3</v>
      </c>
      <c r="C286" t="s">
        <v>294</v>
      </c>
      <c r="D286" t="s">
        <v>9</v>
      </c>
      <c r="E286">
        <v>30</v>
      </c>
      <c r="F286">
        <v>0</v>
      </c>
      <c r="G286">
        <v>0</v>
      </c>
      <c r="H286">
        <v>9.5</v>
      </c>
    </row>
    <row r="287" spans="1:8" x14ac:dyDescent="0.3">
      <c r="A287">
        <v>0</v>
      </c>
      <c r="B287">
        <v>3</v>
      </c>
      <c r="C287" t="s">
        <v>295</v>
      </c>
      <c r="D287" t="s">
        <v>9</v>
      </c>
      <c r="E287">
        <v>22</v>
      </c>
      <c r="F287">
        <v>0</v>
      </c>
      <c r="G287">
        <v>0</v>
      </c>
      <c r="H287">
        <v>7.8958000000000004</v>
      </c>
    </row>
    <row r="288" spans="1:8" x14ac:dyDescent="0.3">
      <c r="A288">
        <v>1</v>
      </c>
      <c r="B288">
        <v>2</v>
      </c>
      <c r="C288" t="s">
        <v>296</v>
      </c>
      <c r="D288" t="s">
        <v>9</v>
      </c>
      <c r="E288">
        <v>42</v>
      </c>
      <c r="F288">
        <v>0</v>
      </c>
      <c r="G288">
        <v>0</v>
      </c>
      <c r="H288">
        <v>13</v>
      </c>
    </row>
    <row r="289" spans="1:8" x14ac:dyDescent="0.3">
      <c r="A289">
        <v>1</v>
      </c>
      <c r="B289">
        <v>3</v>
      </c>
      <c r="C289" t="s">
        <v>297</v>
      </c>
      <c r="D289" t="s">
        <v>11</v>
      </c>
      <c r="E289">
        <v>22</v>
      </c>
      <c r="F289">
        <v>0</v>
      </c>
      <c r="G289">
        <v>0</v>
      </c>
      <c r="H289">
        <v>7.75</v>
      </c>
    </row>
    <row r="290" spans="1:8" x14ac:dyDescent="0.3">
      <c r="A290">
        <v>1</v>
      </c>
      <c r="B290">
        <v>1</v>
      </c>
      <c r="C290" t="s">
        <v>298</v>
      </c>
      <c r="D290" t="s">
        <v>11</v>
      </c>
      <c r="E290">
        <v>26</v>
      </c>
      <c r="F290">
        <v>0</v>
      </c>
      <c r="G290">
        <v>0</v>
      </c>
      <c r="H290">
        <v>78.849999999999994</v>
      </c>
    </row>
    <row r="291" spans="1:8" x14ac:dyDescent="0.3">
      <c r="A291">
        <v>1</v>
      </c>
      <c r="B291">
        <v>1</v>
      </c>
      <c r="C291" t="s">
        <v>299</v>
      </c>
      <c r="D291" t="s">
        <v>11</v>
      </c>
      <c r="E291">
        <v>19</v>
      </c>
      <c r="F291">
        <v>1</v>
      </c>
      <c r="G291">
        <v>0</v>
      </c>
      <c r="H291">
        <v>91.0792</v>
      </c>
    </row>
    <row r="292" spans="1:8" x14ac:dyDescent="0.3">
      <c r="A292">
        <v>0</v>
      </c>
      <c r="B292">
        <v>2</v>
      </c>
      <c r="C292" t="s">
        <v>300</v>
      </c>
      <c r="D292" t="s">
        <v>9</v>
      </c>
      <c r="E292">
        <v>36</v>
      </c>
      <c r="F292">
        <v>0</v>
      </c>
      <c r="G292">
        <v>0</v>
      </c>
      <c r="H292">
        <v>12.875</v>
      </c>
    </row>
    <row r="293" spans="1:8" x14ac:dyDescent="0.3">
      <c r="A293">
        <v>0</v>
      </c>
      <c r="B293">
        <v>3</v>
      </c>
      <c r="C293" t="s">
        <v>301</v>
      </c>
      <c r="D293" t="s">
        <v>11</v>
      </c>
      <c r="E293">
        <v>24</v>
      </c>
      <c r="F293">
        <v>0</v>
      </c>
      <c r="G293">
        <v>0</v>
      </c>
      <c r="H293">
        <v>8.85</v>
      </c>
    </row>
    <row r="294" spans="1:8" x14ac:dyDescent="0.3">
      <c r="A294">
        <v>0</v>
      </c>
      <c r="B294">
        <v>3</v>
      </c>
      <c r="C294" t="s">
        <v>302</v>
      </c>
      <c r="D294" t="s">
        <v>9</v>
      </c>
      <c r="E294">
        <v>24</v>
      </c>
      <c r="F294">
        <v>0</v>
      </c>
      <c r="G294">
        <v>0</v>
      </c>
      <c r="H294">
        <v>7.8958000000000004</v>
      </c>
    </row>
    <row r="295" spans="1:8" x14ac:dyDescent="0.3">
      <c r="A295">
        <v>0</v>
      </c>
      <c r="B295">
        <v>1</v>
      </c>
      <c r="C295" t="s">
        <v>303</v>
      </c>
      <c r="D295" t="s">
        <v>9</v>
      </c>
      <c r="E295">
        <v>30</v>
      </c>
      <c r="F295">
        <v>0</v>
      </c>
      <c r="G295">
        <v>0</v>
      </c>
      <c r="H295">
        <v>27.720800000000001</v>
      </c>
    </row>
    <row r="296" spans="1:8" x14ac:dyDescent="0.3">
      <c r="A296">
        <v>0</v>
      </c>
      <c r="B296">
        <v>3</v>
      </c>
      <c r="C296" t="s">
        <v>304</v>
      </c>
      <c r="D296" t="s">
        <v>9</v>
      </c>
      <c r="E296">
        <v>23.5</v>
      </c>
      <c r="F296">
        <v>0</v>
      </c>
      <c r="G296">
        <v>0</v>
      </c>
      <c r="H296">
        <v>7.2291999999999996</v>
      </c>
    </row>
    <row r="297" spans="1:8" x14ac:dyDescent="0.3">
      <c r="A297">
        <v>0</v>
      </c>
      <c r="B297">
        <v>1</v>
      </c>
      <c r="C297" t="s">
        <v>305</v>
      </c>
      <c r="D297" t="s">
        <v>11</v>
      </c>
      <c r="E297">
        <v>2</v>
      </c>
      <c r="F297">
        <v>1</v>
      </c>
      <c r="G297">
        <v>2</v>
      </c>
      <c r="H297">
        <v>151.55000000000001</v>
      </c>
    </row>
    <row r="298" spans="1:8" x14ac:dyDescent="0.3">
      <c r="A298">
        <v>1</v>
      </c>
      <c r="B298">
        <v>1</v>
      </c>
      <c r="C298" t="s">
        <v>306</v>
      </c>
      <c r="D298" t="s">
        <v>9</v>
      </c>
      <c r="E298">
        <v>47</v>
      </c>
      <c r="F298">
        <v>0</v>
      </c>
      <c r="G298">
        <v>0</v>
      </c>
      <c r="H298">
        <v>30.5</v>
      </c>
    </row>
    <row r="299" spans="1:8" x14ac:dyDescent="0.3">
      <c r="A299">
        <v>1</v>
      </c>
      <c r="B299">
        <v>1</v>
      </c>
      <c r="C299" t="s">
        <v>307</v>
      </c>
      <c r="D299" t="s">
        <v>11</v>
      </c>
      <c r="E299">
        <v>50</v>
      </c>
      <c r="F299">
        <v>0</v>
      </c>
      <c r="G299">
        <v>1</v>
      </c>
      <c r="H299">
        <v>247.52080000000001</v>
      </c>
    </row>
    <row r="300" spans="1:8" x14ac:dyDescent="0.3">
      <c r="A300">
        <v>1</v>
      </c>
      <c r="B300">
        <v>3</v>
      </c>
      <c r="C300" t="s">
        <v>308</v>
      </c>
      <c r="D300" t="s">
        <v>11</v>
      </c>
      <c r="E300">
        <v>20</v>
      </c>
      <c r="F300">
        <v>0</v>
      </c>
      <c r="G300">
        <v>0</v>
      </c>
      <c r="H300">
        <v>7.75</v>
      </c>
    </row>
    <row r="301" spans="1:8" x14ac:dyDescent="0.3">
      <c r="A301">
        <v>1</v>
      </c>
      <c r="B301">
        <v>3</v>
      </c>
      <c r="C301" t="s">
        <v>309</v>
      </c>
      <c r="D301" t="s">
        <v>9</v>
      </c>
      <c r="E301">
        <v>24</v>
      </c>
      <c r="F301">
        <v>2</v>
      </c>
      <c r="G301">
        <v>0</v>
      </c>
      <c r="H301">
        <v>23.25</v>
      </c>
    </row>
    <row r="302" spans="1:8" x14ac:dyDescent="0.3">
      <c r="A302">
        <v>0</v>
      </c>
      <c r="B302">
        <v>3</v>
      </c>
      <c r="C302" t="s">
        <v>310</v>
      </c>
      <c r="D302" t="s">
        <v>9</v>
      </c>
      <c r="E302">
        <v>19</v>
      </c>
      <c r="F302">
        <v>0</v>
      </c>
      <c r="G302">
        <v>0</v>
      </c>
      <c r="H302">
        <v>0</v>
      </c>
    </row>
    <row r="303" spans="1:8" x14ac:dyDescent="0.3">
      <c r="A303">
        <v>1</v>
      </c>
      <c r="B303">
        <v>2</v>
      </c>
      <c r="C303" t="s">
        <v>311</v>
      </c>
      <c r="D303" t="s">
        <v>11</v>
      </c>
      <c r="E303">
        <v>46</v>
      </c>
      <c r="F303">
        <v>0</v>
      </c>
      <c r="G303">
        <v>0</v>
      </c>
      <c r="H303">
        <v>12.35</v>
      </c>
    </row>
    <row r="304" spans="1:8" x14ac:dyDescent="0.3">
      <c r="A304">
        <v>0</v>
      </c>
      <c r="B304">
        <v>3</v>
      </c>
      <c r="C304" t="s">
        <v>312</v>
      </c>
      <c r="D304" t="s">
        <v>9</v>
      </c>
      <c r="E304">
        <v>28</v>
      </c>
      <c r="F304">
        <v>0</v>
      </c>
      <c r="G304">
        <v>0</v>
      </c>
      <c r="H304">
        <v>8.0500000000000007</v>
      </c>
    </row>
    <row r="305" spans="1:8" x14ac:dyDescent="0.3">
      <c r="A305">
        <v>1</v>
      </c>
      <c r="B305">
        <v>1</v>
      </c>
      <c r="C305" t="s">
        <v>313</v>
      </c>
      <c r="D305" t="s">
        <v>9</v>
      </c>
      <c r="E305">
        <v>0.92</v>
      </c>
      <c r="F305">
        <v>1</v>
      </c>
      <c r="G305">
        <v>2</v>
      </c>
      <c r="H305">
        <v>151.55000000000001</v>
      </c>
    </row>
    <row r="306" spans="1:8" x14ac:dyDescent="0.3">
      <c r="A306">
        <v>1</v>
      </c>
      <c r="B306">
        <v>1</v>
      </c>
      <c r="C306" t="s">
        <v>314</v>
      </c>
      <c r="D306" t="s">
        <v>11</v>
      </c>
      <c r="E306">
        <v>42</v>
      </c>
      <c r="F306">
        <v>0</v>
      </c>
      <c r="G306">
        <v>0</v>
      </c>
      <c r="H306">
        <v>110.88330000000001</v>
      </c>
    </row>
    <row r="307" spans="1:8" x14ac:dyDescent="0.3">
      <c r="A307">
        <v>1</v>
      </c>
      <c r="B307">
        <v>1</v>
      </c>
      <c r="C307" t="s">
        <v>315</v>
      </c>
      <c r="D307" t="s">
        <v>11</v>
      </c>
      <c r="E307">
        <v>17</v>
      </c>
      <c r="F307">
        <v>1</v>
      </c>
      <c r="G307">
        <v>0</v>
      </c>
      <c r="H307">
        <v>108.9</v>
      </c>
    </row>
    <row r="308" spans="1:8" x14ac:dyDescent="0.3">
      <c r="A308">
        <v>0</v>
      </c>
      <c r="B308">
        <v>2</v>
      </c>
      <c r="C308" t="s">
        <v>316</v>
      </c>
      <c r="D308" t="s">
        <v>9</v>
      </c>
      <c r="E308">
        <v>30</v>
      </c>
      <c r="F308">
        <v>1</v>
      </c>
      <c r="G308">
        <v>0</v>
      </c>
      <c r="H308">
        <v>24</v>
      </c>
    </row>
    <row r="309" spans="1:8" x14ac:dyDescent="0.3">
      <c r="A309">
        <v>1</v>
      </c>
      <c r="B309">
        <v>1</v>
      </c>
      <c r="C309" t="s">
        <v>317</v>
      </c>
      <c r="D309" t="s">
        <v>11</v>
      </c>
      <c r="E309">
        <v>30</v>
      </c>
      <c r="F309">
        <v>0</v>
      </c>
      <c r="G309">
        <v>0</v>
      </c>
      <c r="H309">
        <v>56.929200000000002</v>
      </c>
    </row>
    <row r="310" spans="1:8" x14ac:dyDescent="0.3">
      <c r="A310">
        <v>1</v>
      </c>
      <c r="B310">
        <v>1</v>
      </c>
      <c r="C310" t="s">
        <v>318</v>
      </c>
      <c r="D310" t="s">
        <v>11</v>
      </c>
      <c r="E310">
        <v>24</v>
      </c>
      <c r="F310">
        <v>0</v>
      </c>
      <c r="G310">
        <v>0</v>
      </c>
      <c r="H310">
        <v>83.158299999999997</v>
      </c>
    </row>
    <row r="311" spans="1:8" x14ac:dyDescent="0.3">
      <c r="A311">
        <v>1</v>
      </c>
      <c r="B311">
        <v>1</v>
      </c>
      <c r="C311" t="s">
        <v>319</v>
      </c>
      <c r="D311" t="s">
        <v>11</v>
      </c>
      <c r="E311">
        <v>18</v>
      </c>
      <c r="F311">
        <v>2</v>
      </c>
      <c r="G311">
        <v>2</v>
      </c>
      <c r="H311">
        <v>262.375</v>
      </c>
    </row>
    <row r="312" spans="1:8" x14ac:dyDescent="0.3">
      <c r="A312">
        <v>0</v>
      </c>
      <c r="B312">
        <v>2</v>
      </c>
      <c r="C312" t="s">
        <v>320</v>
      </c>
      <c r="D312" t="s">
        <v>11</v>
      </c>
      <c r="E312">
        <v>26</v>
      </c>
      <c r="F312">
        <v>1</v>
      </c>
      <c r="G312">
        <v>1</v>
      </c>
      <c r="H312">
        <v>26</v>
      </c>
    </row>
    <row r="313" spans="1:8" x14ac:dyDescent="0.3">
      <c r="A313">
        <v>0</v>
      </c>
      <c r="B313">
        <v>3</v>
      </c>
      <c r="C313" t="s">
        <v>321</v>
      </c>
      <c r="D313" t="s">
        <v>9</v>
      </c>
      <c r="E313">
        <v>28</v>
      </c>
      <c r="F313">
        <v>0</v>
      </c>
      <c r="G313">
        <v>0</v>
      </c>
      <c r="H313">
        <v>7.8958000000000004</v>
      </c>
    </row>
    <row r="314" spans="1:8" x14ac:dyDescent="0.3">
      <c r="A314">
        <v>0</v>
      </c>
      <c r="B314">
        <v>2</v>
      </c>
      <c r="C314" t="s">
        <v>322</v>
      </c>
      <c r="D314" t="s">
        <v>9</v>
      </c>
      <c r="E314">
        <v>43</v>
      </c>
      <c r="F314">
        <v>1</v>
      </c>
      <c r="G314">
        <v>1</v>
      </c>
      <c r="H314">
        <v>26.25</v>
      </c>
    </row>
    <row r="315" spans="1:8" x14ac:dyDescent="0.3">
      <c r="A315">
        <v>1</v>
      </c>
      <c r="B315">
        <v>3</v>
      </c>
      <c r="C315" t="s">
        <v>323</v>
      </c>
      <c r="D315" t="s">
        <v>11</v>
      </c>
      <c r="E315">
        <v>26</v>
      </c>
      <c r="F315">
        <v>0</v>
      </c>
      <c r="G315">
        <v>0</v>
      </c>
      <c r="H315">
        <v>7.8541999999999996</v>
      </c>
    </row>
    <row r="316" spans="1:8" x14ac:dyDescent="0.3">
      <c r="A316">
        <v>1</v>
      </c>
      <c r="B316">
        <v>2</v>
      </c>
      <c r="C316" t="s">
        <v>324</v>
      </c>
      <c r="D316" t="s">
        <v>11</v>
      </c>
      <c r="E316">
        <v>24</v>
      </c>
      <c r="F316">
        <v>1</v>
      </c>
      <c r="G316">
        <v>0</v>
      </c>
      <c r="H316">
        <v>26</v>
      </c>
    </row>
    <row r="317" spans="1:8" x14ac:dyDescent="0.3">
      <c r="A317">
        <v>0</v>
      </c>
      <c r="B317">
        <v>2</v>
      </c>
      <c r="C317" t="s">
        <v>325</v>
      </c>
      <c r="D317" t="s">
        <v>9</v>
      </c>
      <c r="E317">
        <v>54</v>
      </c>
      <c r="F317">
        <v>0</v>
      </c>
      <c r="G317">
        <v>0</v>
      </c>
      <c r="H317">
        <v>14</v>
      </c>
    </row>
    <row r="318" spans="1:8" x14ac:dyDescent="0.3">
      <c r="A318">
        <v>1</v>
      </c>
      <c r="B318">
        <v>1</v>
      </c>
      <c r="C318" t="s">
        <v>326</v>
      </c>
      <c r="D318" t="s">
        <v>11</v>
      </c>
      <c r="E318">
        <v>31</v>
      </c>
      <c r="F318">
        <v>0</v>
      </c>
      <c r="G318">
        <v>2</v>
      </c>
      <c r="H318">
        <v>164.86670000000001</v>
      </c>
    </row>
    <row r="319" spans="1:8" x14ac:dyDescent="0.3">
      <c r="A319">
        <v>1</v>
      </c>
      <c r="B319">
        <v>1</v>
      </c>
      <c r="C319" t="s">
        <v>327</v>
      </c>
      <c r="D319" t="s">
        <v>11</v>
      </c>
      <c r="E319">
        <v>40</v>
      </c>
      <c r="F319">
        <v>1</v>
      </c>
      <c r="G319">
        <v>1</v>
      </c>
      <c r="H319">
        <v>134.5</v>
      </c>
    </row>
    <row r="320" spans="1:8" x14ac:dyDescent="0.3">
      <c r="A320">
        <v>0</v>
      </c>
      <c r="B320">
        <v>3</v>
      </c>
      <c r="C320" t="s">
        <v>328</v>
      </c>
      <c r="D320" t="s">
        <v>9</v>
      </c>
      <c r="E320">
        <v>22</v>
      </c>
      <c r="F320">
        <v>0</v>
      </c>
      <c r="G320">
        <v>0</v>
      </c>
      <c r="H320">
        <v>7.25</v>
      </c>
    </row>
    <row r="321" spans="1:8" x14ac:dyDescent="0.3">
      <c r="A321">
        <v>0</v>
      </c>
      <c r="B321">
        <v>3</v>
      </c>
      <c r="C321" t="s">
        <v>329</v>
      </c>
      <c r="D321" t="s">
        <v>9</v>
      </c>
      <c r="E321">
        <v>27</v>
      </c>
      <c r="F321">
        <v>0</v>
      </c>
      <c r="G321">
        <v>0</v>
      </c>
      <c r="H321">
        <v>7.8958000000000004</v>
      </c>
    </row>
    <row r="322" spans="1:8" x14ac:dyDescent="0.3">
      <c r="A322">
        <v>1</v>
      </c>
      <c r="B322">
        <v>2</v>
      </c>
      <c r="C322" t="s">
        <v>330</v>
      </c>
      <c r="D322" t="s">
        <v>11</v>
      </c>
      <c r="E322">
        <v>30</v>
      </c>
      <c r="F322">
        <v>0</v>
      </c>
      <c r="G322">
        <v>0</v>
      </c>
      <c r="H322">
        <v>12.35</v>
      </c>
    </row>
    <row r="323" spans="1:8" x14ac:dyDescent="0.3">
      <c r="A323">
        <v>1</v>
      </c>
      <c r="B323">
        <v>2</v>
      </c>
      <c r="C323" t="s">
        <v>331</v>
      </c>
      <c r="D323" t="s">
        <v>11</v>
      </c>
      <c r="E323">
        <v>22</v>
      </c>
      <c r="F323">
        <v>1</v>
      </c>
      <c r="G323">
        <v>1</v>
      </c>
      <c r="H323">
        <v>29</v>
      </c>
    </row>
    <row r="324" spans="1:8" x14ac:dyDescent="0.3">
      <c r="A324">
        <v>0</v>
      </c>
      <c r="B324">
        <v>3</v>
      </c>
      <c r="C324" t="s">
        <v>332</v>
      </c>
      <c r="D324" t="s">
        <v>9</v>
      </c>
      <c r="E324">
        <v>20</v>
      </c>
      <c r="F324">
        <v>8</v>
      </c>
      <c r="G324">
        <v>2</v>
      </c>
      <c r="H324">
        <v>69.55</v>
      </c>
    </row>
    <row r="325" spans="1:8" x14ac:dyDescent="0.3">
      <c r="A325">
        <v>1</v>
      </c>
      <c r="B325">
        <v>1</v>
      </c>
      <c r="C325" t="s">
        <v>333</v>
      </c>
      <c r="D325" t="s">
        <v>11</v>
      </c>
      <c r="E325">
        <v>36</v>
      </c>
      <c r="F325">
        <v>0</v>
      </c>
      <c r="G325">
        <v>0</v>
      </c>
      <c r="H325">
        <v>135.63329999999999</v>
      </c>
    </row>
    <row r="326" spans="1:8" x14ac:dyDescent="0.3">
      <c r="A326">
        <v>0</v>
      </c>
      <c r="B326">
        <v>3</v>
      </c>
      <c r="C326" t="s">
        <v>334</v>
      </c>
      <c r="D326" t="s">
        <v>9</v>
      </c>
      <c r="E326">
        <v>61</v>
      </c>
      <c r="F326">
        <v>0</v>
      </c>
      <c r="G326">
        <v>0</v>
      </c>
      <c r="H326">
        <v>6.2374999999999998</v>
      </c>
    </row>
    <row r="327" spans="1:8" x14ac:dyDescent="0.3">
      <c r="A327">
        <v>1</v>
      </c>
      <c r="B327">
        <v>2</v>
      </c>
      <c r="C327" t="s">
        <v>335</v>
      </c>
      <c r="D327" t="s">
        <v>11</v>
      </c>
      <c r="E327">
        <v>36</v>
      </c>
      <c r="F327">
        <v>0</v>
      </c>
      <c r="G327">
        <v>0</v>
      </c>
      <c r="H327">
        <v>13</v>
      </c>
    </row>
    <row r="328" spans="1:8" x14ac:dyDescent="0.3">
      <c r="A328">
        <v>1</v>
      </c>
      <c r="B328">
        <v>3</v>
      </c>
      <c r="C328" t="s">
        <v>336</v>
      </c>
      <c r="D328" t="s">
        <v>11</v>
      </c>
      <c r="E328">
        <v>31</v>
      </c>
      <c r="F328">
        <v>1</v>
      </c>
      <c r="G328">
        <v>1</v>
      </c>
      <c r="H328">
        <v>20.524999999999999</v>
      </c>
    </row>
    <row r="329" spans="1:8" x14ac:dyDescent="0.3">
      <c r="A329">
        <v>1</v>
      </c>
      <c r="B329">
        <v>1</v>
      </c>
      <c r="C329" t="s">
        <v>337</v>
      </c>
      <c r="D329" t="s">
        <v>11</v>
      </c>
      <c r="E329">
        <v>16</v>
      </c>
      <c r="F329">
        <v>0</v>
      </c>
      <c r="G329">
        <v>1</v>
      </c>
      <c r="H329">
        <v>57.979199999999999</v>
      </c>
    </row>
    <row r="330" spans="1:8" x14ac:dyDescent="0.3">
      <c r="A330">
        <v>1</v>
      </c>
      <c r="B330">
        <v>3</v>
      </c>
      <c r="C330" t="s">
        <v>338</v>
      </c>
      <c r="D330" t="s">
        <v>11</v>
      </c>
      <c r="E330">
        <v>28</v>
      </c>
      <c r="F330">
        <v>2</v>
      </c>
      <c r="G330">
        <v>0</v>
      </c>
      <c r="H330">
        <v>23.25</v>
      </c>
    </row>
    <row r="331" spans="1:8" x14ac:dyDescent="0.3">
      <c r="A331">
        <v>0</v>
      </c>
      <c r="B331">
        <v>1</v>
      </c>
      <c r="C331" t="s">
        <v>339</v>
      </c>
      <c r="D331" t="s">
        <v>9</v>
      </c>
      <c r="E331">
        <v>45.5</v>
      </c>
      <c r="F331">
        <v>0</v>
      </c>
      <c r="G331">
        <v>0</v>
      </c>
      <c r="H331">
        <v>28.5</v>
      </c>
    </row>
    <row r="332" spans="1:8" x14ac:dyDescent="0.3">
      <c r="A332">
        <v>0</v>
      </c>
      <c r="B332">
        <v>1</v>
      </c>
      <c r="C332" t="s">
        <v>340</v>
      </c>
      <c r="D332" t="s">
        <v>9</v>
      </c>
      <c r="E332">
        <v>38</v>
      </c>
      <c r="F332">
        <v>0</v>
      </c>
      <c r="G332">
        <v>1</v>
      </c>
      <c r="H332">
        <v>153.46250000000001</v>
      </c>
    </row>
    <row r="333" spans="1:8" x14ac:dyDescent="0.3">
      <c r="A333">
        <v>0</v>
      </c>
      <c r="B333">
        <v>3</v>
      </c>
      <c r="C333" t="s">
        <v>341</v>
      </c>
      <c r="D333" t="s">
        <v>9</v>
      </c>
      <c r="E333">
        <v>16</v>
      </c>
      <c r="F333">
        <v>2</v>
      </c>
      <c r="G333">
        <v>0</v>
      </c>
      <c r="H333">
        <v>18</v>
      </c>
    </row>
    <row r="334" spans="1:8" x14ac:dyDescent="0.3">
      <c r="A334">
        <v>1</v>
      </c>
      <c r="B334">
        <v>1</v>
      </c>
      <c r="C334" t="s">
        <v>342</v>
      </c>
      <c r="D334" t="s">
        <v>11</v>
      </c>
      <c r="E334">
        <v>42</v>
      </c>
      <c r="F334">
        <v>1</v>
      </c>
      <c r="G334">
        <v>0</v>
      </c>
      <c r="H334">
        <v>133.65</v>
      </c>
    </row>
    <row r="335" spans="1:8" x14ac:dyDescent="0.3">
      <c r="A335">
        <v>0</v>
      </c>
      <c r="B335">
        <v>3</v>
      </c>
      <c r="C335" t="s">
        <v>343</v>
      </c>
      <c r="D335" t="s">
        <v>9</v>
      </c>
      <c r="E335">
        <v>30</v>
      </c>
      <c r="F335">
        <v>0</v>
      </c>
      <c r="G335">
        <v>0</v>
      </c>
      <c r="H335">
        <v>7.8958000000000004</v>
      </c>
    </row>
    <row r="336" spans="1:8" x14ac:dyDescent="0.3">
      <c r="A336">
        <v>0</v>
      </c>
      <c r="B336">
        <v>1</v>
      </c>
      <c r="C336" t="s">
        <v>344</v>
      </c>
      <c r="D336" t="s">
        <v>9</v>
      </c>
      <c r="E336">
        <v>29</v>
      </c>
      <c r="F336">
        <v>1</v>
      </c>
      <c r="G336">
        <v>0</v>
      </c>
      <c r="H336">
        <v>66.599999999999994</v>
      </c>
    </row>
    <row r="337" spans="1:8" x14ac:dyDescent="0.3">
      <c r="A337">
        <v>1</v>
      </c>
      <c r="B337">
        <v>1</v>
      </c>
      <c r="C337" t="s">
        <v>345</v>
      </c>
      <c r="D337" t="s">
        <v>11</v>
      </c>
      <c r="E337">
        <v>41</v>
      </c>
      <c r="F337">
        <v>0</v>
      </c>
      <c r="G337">
        <v>0</v>
      </c>
      <c r="H337">
        <v>134.5</v>
      </c>
    </row>
    <row r="338" spans="1:8" x14ac:dyDescent="0.3">
      <c r="A338">
        <v>1</v>
      </c>
      <c r="B338">
        <v>3</v>
      </c>
      <c r="C338" t="s">
        <v>346</v>
      </c>
      <c r="D338" t="s">
        <v>9</v>
      </c>
      <c r="E338">
        <v>45</v>
      </c>
      <c r="F338">
        <v>0</v>
      </c>
      <c r="G338">
        <v>0</v>
      </c>
      <c r="H338">
        <v>8.0500000000000007</v>
      </c>
    </row>
    <row r="339" spans="1:8" x14ac:dyDescent="0.3">
      <c r="A339">
        <v>0</v>
      </c>
      <c r="B339">
        <v>1</v>
      </c>
      <c r="C339" t="s">
        <v>347</v>
      </c>
      <c r="D339" t="s">
        <v>9</v>
      </c>
      <c r="E339">
        <v>45</v>
      </c>
      <c r="F339">
        <v>0</v>
      </c>
      <c r="G339">
        <v>0</v>
      </c>
      <c r="H339">
        <v>35.5</v>
      </c>
    </row>
    <row r="340" spans="1:8" x14ac:dyDescent="0.3">
      <c r="A340">
        <v>1</v>
      </c>
      <c r="B340">
        <v>2</v>
      </c>
      <c r="C340" t="s">
        <v>348</v>
      </c>
      <c r="D340" t="s">
        <v>9</v>
      </c>
      <c r="E340">
        <v>2</v>
      </c>
      <c r="F340">
        <v>1</v>
      </c>
      <c r="G340">
        <v>1</v>
      </c>
      <c r="H340">
        <v>26</v>
      </c>
    </row>
    <row r="341" spans="1:8" x14ac:dyDescent="0.3">
      <c r="A341">
        <v>1</v>
      </c>
      <c r="B341">
        <v>1</v>
      </c>
      <c r="C341" t="s">
        <v>349</v>
      </c>
      <c r="D341" t="s">
        <v>11</v>
      </c>
      <c r="E341">
        <v>24</v>
      </c>
      <c r="F341">
        <v>3</v>
      </c>
      <c r="G341">
        <v>2</v>
      </c>
      <c r="H341">
        <v>263</v>
      </c>
    </row>
    <row r="342" spans="1:8" x14ac:dyDescent="0.3">
      <c r="A342">
        <v>0</v>
      </c>
      <c r="B342">
        <v>2</v>
      </c>
      <c r="C342" t="s">
        <v>350</v>
      </c>
      <c r="D342" t="s">
        <v>9</v>
      </c>
      <c r="E342">
        <v>28</v>
      </c>
      <c r="F342">
        <v>0</v>
      </c>
      <c r="G342">
        <v>0</v>
      </c>
      <c r="H342">
        <v>13</v>
      </c>
    </row>
    <row r="343" spans="1:8" x14ac:dyDescent="0.3">
      <c r="A343">
        <v>0</v>
      </c>
      <c r="B343">
        <v>2</v>
      </c>
      <c r="C343" t="s">
        <v>351</v>
      </c>
      <c r="D343" t="s">
        <v>9</v>
      </c>
      <c r="E343">
        <v>25</v>
      </c>
      <c r="F343">
        <v>0</v>
      </c>
      <c r="G343">
        <v>0</v>
      </c>
      <c r="H343">
        <v>13</v>
      </c>
    </row>
    <row r="344" spans="1:8" x14ac:dyDescent="0.3">
      <c r="A344">
        <v>0</v>
      </c>
      <c r="B344">
        <v>2</v>
      </c>
      <c r="C344" t="s">
        <v>352</v>
      </c>
      <c r="D344" t="s">
        <v>9</v>
      </c>
      <c r="E344">
        <v>36</v>
      </c>
      <c r="F344">
        <v>0</v>
      </c>
      <c r="G344">
        <v>0</v>
      </c>
      <c r="H344">
        <v>13</v>
      </c>
    </row>
    <row r="345" spans="1:8" x14ac:dyDescent="0.3">
      <c r="A345">
        <v>1</v>
      </c>
      <c r="B345">
        <v>2</v>
      </c>
      <c r="C345" t="s">
        <v>353</v>
      </c>
      <c r="D345" t="s">
        <v>11</v>
      </c>
      <c r="E345">
        <v>24</v>
      </c>
      <c r="F345">
        <v>0</v>
      </c>
      <c r="G345">
        <v>0</v>
      </c>
      <c r="H345">
        <v>13</v>
      </c>
    </row>
    <row r="346" spans="1:8" x14ac:dyDescent="0.3">
      <c r="A346">
        <v>1</v>
      </c>
      <c r="B346">
        <v>2</v>
      </c>
      <c r="C346" t="s">
        <v>354</v>
      </c>
      <c r="D346" t="s">
        <v>11</v>
      </c>
      <c r="E346">
        <v>40</v>
      </c>
      <c r="F346">
        <v>0</v>
      </c>
      <c r="G346">
        <v>0</v>
      </c>
      <c r="H346">
        <v>13</v>
      </c>
    </row>
    <row r="347" spans="1:8" x14ac:dyDescent="0.3">
      <c r="A347">
        <v>1</v>
      </c>
      <c r="B347">
        <v>3</v>
      </c>
      <c r="C347" t="s">
        <v>355</v>
      </c>
      <c r="D347" t="s">
        <v>11</v>
      </c>
      <c r="E347">
        <v>34</v>
      </c>
      <c r="F347">
        <v>1</v>
      </c>
      <c r="G347">
        <v>0</v>
      </c>
      <c r="H347">
        <v>16.100000000000001</v>
      </c>
    </row>
    <row r="348" spans="1:8" x14ac:dyDescent="0.3">
      <c r="A348">
        <v>1</v>
      </c>
      <c r="B348">
        <v>3</v>
      </c>
      <c r="C348" t="s">
        <v>356</v>
      </c>
      <c r="D348" t="s">
        <v>9</v>
      </c>
      <c r="E348">
        <v>3</v>
      </c>
      <c r="F348">
        <v>1</v>
      </c>
      <c r="G348">
        <v>1</v>
      </c>
      <c r="H348">
        <v>15.9</v>
      </c>
    </row>
    <row r="349" spans="1:8" x14ac:dyDescent="0.3">
      <c r="A349">
        <v>0</v>
      </c>
      <c r="B349">
        <v>3</v>
      </c>
      <c r="C349" t="s">
        <v>357</v>
      </c>
      <c r="D349" t="s">
        <v>9</v>
      </c>
      <c r="E349">
        <v>42</v>
      </c>
      <c r="F349">
        <v>0</v>
      </c>
      <c r="G349">
        <v>0</v>
      </c>
      <c r="H349">
        <v>8.6624999999999996</v>
      </c>
    </row>
    <row r="350" spans="1:8" x14ac:dyDescent="0.3">
      <c r="A350">
        <v>0</v>
      </c>
      <c r="B350">
        <v>3</v>
      </c>
      <c r="C350" t="s">
        <v>358</v>
      </c>
      <c r="D350" t="s">
        <v>9</v>
      </c>
      <c r="E350">
        <v>23</v>
      </c>
      <c r="F350">
        <v>0</v>
      </c>
      <c r="G350">
        <v>0</v>
      </c>
      <c r="H350">
        <v>9.2249999999999996</v>
      </c>
    </row>
    <row r="351" spans="1:8" x14ac:dyDescent="0.3">
      <c r="A351">
        <v>0</v>
      </c>
      <c r="B351">
        <v>1</v>
      </c>
      <c r="C351" t="s">
        <v>359</v>
      </c>
      <c r="D351" t="s">
        <v>9</v>
      </c>
      <c r="E351">
        <v>43</v>
      </c>
      <c r="F351">
        <v>0</v>
      </c>
      <c r="G351">
        <v>0</v>
      </c>
      <c r="H351">
        <v>35</v>
      </c>
    </row>
    <row r="352" spans="1:8" x14ac:dyDescent="0.3">
      <c r="A352">
        <v>0</v>
      </c>
      <c r="B352">
        <v>3</v>
      </c>
      <c r="C352" t="s">
        <v>360</v>
      </c>
      <c r="D352" t="s">
        <v>9</v>
      </c>
      <c r="E352">
        <v>15</v>
      </c>
      <c r="F352">
        <v>1</v>
      </c>
      <c r="G352">
        <v>1</v>
      </c>
      <c r="H352">
        <v>7.2291999999999996</v>
      </c>
    </row>
    <row r="353" spans="1:8" x14ac:dyDescent="0.3">
      <c r="A353">
        <v>0</v>
      </c>
      <c r="B353">
        <v>3</v>
      </c>
      <c r="C353" t="s">
        <v>361</v>
      </c>
      <c r="D353" t="s">
        <v>9</v>
      </c>
      <c r="E353">
        <v>25</v>
      </c>
      <c r="F353">
        <v>1</v>
      </c>
      <c r="G353">
        <v>0</v>
      </c>
      <c r="H353">
        <v>17.8</v>
      </c>
    </row>
    <row r="354" spans="1:8" x14ac:dyDescent="0.3">
      <c r="A354">
        <v>0</v>
      </c>
      <c r="B354">
        <v>3</v>
      </c>
      <c r="C354" t="s">
        <v>362</v>
      </c>
      <c r="D354" t="s">
        <v>9</v>
      </c>
      <c r="E354">
        <v>23</v>
      </c>
      <c r="F354">
        <v>0</v>
      </c>
      <c r="G354">
        <v>0</v>
      </c>
      <c r="H354">
        <v>7.2249999999999996</v>
      </c>
    </row>
    <row r="355" spans="1:8" x14ac:dyDescent="0.3">
      <c r="A355">
        <v>0</v>
      </c>
      <c r="B355">
        <v>3</v>
      </c>
      <c r="C355" t="s">
        <v>363</v>
      </c>
      <c r="D355" t="s">
        <v>9</v>
      </c>
      <c r="E355">
        <v>28</v>
      </c>
      <c r="F355">
        <v>0</v>
      </c>
      <c r="G355">
        <v>0</v>
      </c>
      <c r="H355">
        <v>9.5</v>
      </c>
    </row>
    <row r="356" spans="1:8" x14ac:dyDescent="0.3">
      <c r="A356">
        <v>1</v>
      </c>
      <c r="B356">
        <v>1</v>
      </c>
      <c r="C356" t="s">
        <v>364</v>
      </c>
      <c r="D356" t="s">
        <v>11</v>
      </c>
      <c r="E356">
        <v>22</v>
      </c>
      <c r="F356">
        <v>0</v>
      </c>
      <c r="G356">
        <v>1</v>
      </c>
      <c r="H356">
        <v>55</v>
      </c>
    </row>
    <row r="357" spans="1:8" x14ac:dyDescent="0.3">
      <c r="A357">
        <v>0</v>
      </c>
      <c r="B357">
        <v>2</v>
      </c>
      <c r="C357" t="s">
        <v>365</v>
      </c>
      <c r="D357" t="s">
        <v>11</v>
      </c>
      <c r="E357">
        <v>38</v>
      </c>
      <c r="F357">
        <v>0</v>
      </c>
      <c r="G357">
        <v>0</v>
      </c>
      <c r="H357">
        <v>13</v>
      </c>
    </row>
    <row r="358" spans="1:8" x14ac:dyDescent="0.3">
      <c r="A358">
        <v>1</v>
      </c>
      <c r="B358">
        <v>3</v>
      </c>
      <c r="C358" t="s">
        <v>366</v>
      </c>
      <c r="D358" t="s">
        <v>11</v>
      </c>
      <c r="E358">
        <v>22</v>
      </c>
      <c r="F358">
        <v>0</v>
      </c>
      <c r="G358">
        <v>0</v>
      </c>
      <c r="H358">
        <v>7.8792</v>
      </c>
    </row>
    <row r="359" spans="1:8" x14ac:dyDescent="0.3">
      <c r="A359">
        <v>1</v>
      </c>
      <c r="B359">
        <v>3</v>
      </c>
      <c r="C359" t="s">
        <v>367</v>
      </c>
      <c r="D359" t="s">
        <v>11</v>
      </c>
      <c r="E359">
        <v>23</v>
      </c>
      <c r="F359">
        <v>0</v>
      </c>
      <c r="G359">
        <v>0</v>
      </c>
      <c r="H359">
        <v>7.8792</v>
      </c>
    </row>
    <row r="360" spans="1:8" x14ac:dyDescent="0.3">
      <c r="A360">
        <v>0</v>
      </c>
      <c r="B360">
        <v>3</v>
      </c>
      <c r="C360" t="s">
        <v>368</v>
      </c>
      <c r="D360" t="s">
        <v>9</v>
      </c>
      <c r="E360">
        <v>40</v>
      </c>
      <c r="F360">
        <v>1</v>
      </c>
      <c r="G360">
        <v>4</v>
      </c>
      <c r="H360">
        <v>27.9</v>
      </c>
    </row>
    <row r="361" spans="1:8" x14ac:dyDescent="0.3">
      <c r="A361">
        <v>0</v>
      </c>
      <c r="B361">
        <v>2</v>
      </c>
      <c r="C361" t="s">
        <v>369</v>
      </c>
      <c r="D361" t="s">
        <v>9</v>
      </c>
      <c r="E361">
        <v>29</v>
      </c>
      <c r="F361">
        <v>1</v>
      </c>
      <c r="G361">
        <v>0</v>
      </c>
      <c r="H361">
        <v>27.720800000000001</v>
      </c>
    </row>
    <row r="362" spans="1:8" x14ac:dyDescent="0.3">
      <c r="A362">
        <v>0</v>
      </c>
      <c r="B362">
        <v>3</v>
      </c>
      <c r="C362" t="s">
        <v>370</v>
      </c>
      <c r="D362" t="s">
        <v>11</v>
      </c>
      <c r="E362">
        <v>45</v>
      </c>
      <c r="F362">
        <v>0</v>
      </c>
      <c r="G362">
        <v>1</v>
      </c>
      <c r="H362">
        <v>14.4542</v>
      </c>
    </row>
    <row r="363" spans="1:8" x14ac:dyDescent="0.3">
      <c r="A363">
        <v>0</v>
      </c>
      <c r="B363">
        <v>3</v>
      </c>
      <c r="C363" t="s">
        <v>371</v>
      </c>
      <c r="D363" t="s">
        <v>9</v>
      </c>
      <c r="E363">
        <v>35</v>
      </c>
      <c r="F363">
        <v>0</v>
      </c>
      <c r="G363">
        <v>0</v>
      </c>
      <c r="H363">
        <v>7.05</v>
      </c>
    </row>
    <row r="364" spans="1:8" x14ac:dyDescent="0.3">
      <c r="A364">
        <v>0</v>
      </c>
      <c r="B364">
        <v>3</v>
      </c>
      <c r="C364" t="s">
        <v>372</v>
      </c>
      <c r="D364" t="s">
        <v>9</v>
      </c>
      <c r="E364">
        <v>27</v>
      </c>
      <c r="F364">
        <v>1</v>
      </c>
      <c r="G364">
        <v>0</v>
      </c>
      <c r="H364">
        <v>15.5</v>
      </c>
    </row>
    <row r="365" spans="1:8" x14ac:dyDescent="0.3">
      <c r="A365">
        <v>0</v>
      </c>
      <c r="B365">
        <v>3</v>
      </c>
      <c r="C365" t="s">
        <v>373</v>
      </c>
      <c r="D365" t="s">
        <v>9</v>
      </c>
      <c r="E365">
        <v>30</v>
      </c>
      <c r="F365">
        <v>0</v>
      </c>
      <c r="G365">
        <v>0</v>
      </c>
      <c r="H365">
        <v>7.25</v>
      </c>
    </row>
    <row r="366" spans="1:8" x14ac:dyDescent="0.3">
      <c r="A366">
        <v>1</v>
      </c>
      <c r="B366">
        <v>1</v>
      </c>
      <c r="C366" t="s">
        <v>374</v>
      </c>
      <c r="D366" t="s">
        <v>11</v>
      </c>
      <c r="E366">
        <v>60</v>
      </c>
      <c r="F366">
        <v>1</v>
      </c>
      <c r="G366">
        <v>0</v>
      </c>
      <c r="H366">
        <v>75.25</v>
      </c>
    </row>
    <row r="367" spans="1:8" x14ac:dyDescent="0.3">
      <c r="A367">
        <v>1</v>
      </c>
      <c r="B367">
        <v>3</v>
      </c>
      <c r="C367" t="s">
        <v>375</v>
      </c>
      <c r="D367" t="s">
        <v>11</v>
      </c>
      <c r="E367">
        <v>35</v>
      </c>
      <c r="F367">
        <v>0</v>
      </c>
      <c r="G367">
        <v>0</v>
      </c>
      <c r="H367">
        <v>7.2291999999999996</v>
      </c>
    </row>
    <row r="368" spans="1:8" x14ac:dyDescent="0.3">
      <c r="A368">
        <v>1</v>
      </c>
      <c r="B368">
        <v>3</v>
      </c>
      <c r="C368" t="s">
        <v>376</v>
      </c>
      <c r="D368" t="s">
        <v>11</v>
      </c>
      <c r="E368">
        <v>22</v>
      </c>
      <c r="F368">
        <v>0</v>
      </c>
      <c r="G368">
        <v>0</v>
      </c>
      <c r="H368">
        <v>7.75</v>
      </c>
    </row>
    <row r="369" spans="1:8" x14ac:dyDescent="0.3">
      <c r="A369">
        <v>1</v>
      </c>
      <c r="B369">
        <v>1</v>
      </c>
      <c r="C369" t="s">
        <v>377</v>
      </c>
      <c r="D369" t="s">
        <v>11</v>
      </c>
      <c r="E369">
        <v>24</v>
      </c>
      <c r="F369">
        <v>0</v>
      </c>
      <c r="G369">
        <v>0</v>
      </c>
      <c r="H369">
        <v>69.3</v>
      </c>
    </row>
    <row r="370" spans="1:8" x14ac:dyDescent="0.3">
      <c r="A370">
        <v>1</v>
      </c>
      <c r="B370">
        <v>1</v>
      </c>
      <c r="C370" t="s">
        <v>378</v>
      </c>
      <c r="D370" t="s">
        <v>9</v>
      </c>
      <c r="E370">
        <v>25</v>
      </c>
      <c r="F370">
        <v>1</v>
      </c>
      <c r="G370">
        <v>0</v>
      </c>
      <c r="H370">
        <v>55.441699999999997</v>
      </c>
    </row>
    <row r="371" spans="1:8" x14ac:dyDescent="0.3">
      <c r="A371">
        <v>0</v>
      </c>
      <c r="B371">
        <v>3</v>
      </c>
      <c r="C371" t="s">
        <v>379</v>
      </c>
      <c r="D371" t="s">
        <v>9</v>
      </c>
      <c r="E371">
        <v>18</v>
      </c>
      <c r="F371">
        <v>1</v>
      </c>
      <c r="G371">
        <v>0</v>
      </c>
      <c r="H371">
        <v>6.4958</v>
      </c>
    </row>
    <row r="372" spans="1:8" x14ac:dyDescent="0.3">
      <c r="A372">
        <v>0</v>
      </c>
      <c r="B372">
        <v>3</v>
      </c>
      <c r="C372" t="s">
        <v>380</v>
      </c>
      <c r="D372" t="s">
        <v>9</v>
      </c>
      <c r="E372">
        <v>19</v>
      </c>
      <c r="F372">
        <v>0</v>
      </c>
      <c r="G372">
        <v>0</v>
      </c>
      <c r="H372">
        <v>8.0500000000000007</v>
      </c>
    </row>
    <row r="373" spans="1:8" x14ac:dyDescent="0.3">
      <c r="A373">
        <v>0</v>
      </c>
      <c r="B373">
        <v>1</v>
      </c>
      <c r="C373" t="s">
        <v>381</v>
      </c>
      <c r="D373" t="s">
        <v>9</v>
      </c>
      <c r="E373">
        <v>22</v>
      </c>
      <c r="F373">
        <v>0</v>
      </c>
      <c r="G373">
        <v>0</v>
      </c>
      <c r="H373">
        <v>135.63329999999999</v>
      </c>
    </row>
    <row r="374" spans="1:8" x14ac:dyDescent="0.3">
      <c r="A374">
        <v>0</v>
      </c>
      <c r="B374">
        <v>3</v>
      </c>
      <c r="C374" t="s">
        <v>382</v>
      </c>
      <c r="D374" t="s">
        <v>11</v>
      </c>
      <c r="E374">
        <v>3</v>
      </c>
      <c r="F374">
        <v>3</v>
      </c>
      <c r="G374">
        <v>1</v>
      </c>
      <c r="H374">
        <v>21.074999999999999</v>
      </c>
    </row>
    <row r="375" spans="1:8" x14ac:dyDescent="0.3">
      <c r="A375">
        <v>1</v>
      </c>
      <c r="B375">
        <v>1</v>
      </c>
      <c r="C375" t="s">
        <v>383</v>
      </c>
      <c r="D375" t="s">
        <v>11</v>
      </c>
      <c r="E375">
        <v>25</v>
      </c>
      <c r="F375">
        <v>1</v>
      </c>
      <c r="G375">
        <v>0</v>
      </c>
      <c r="H375">
        <v>82.1708</v>
      </c>
    </row>
    <row r="376" spans="1:8" x14ac:dyDescent="0.3">
      <c r="A376">
        <v>1</v>
      </c>
      <c r="B376">
        <v>3</v>
      </c>
      <c r="C376" t="s">
        <v>384</v>
      </c>
      <c r="D376" t="s">
        <v>11</v>
      </c>
      <c r="E376">
        <v>22</v>
      </c>
      <c r="F376">
        <v>0</v>
      </c>
      <c r="G376">
        <v>0</v>
      </c>
      <c r="H376">
        <v>7.25</v>
      </c>
    </row>
    <row r="377" spans="1:8" x14ac:dyDescent="0.3">
      <c r="A377">
        <v>0</v>
      </c>
      <c r="B377">
        <v>1</v>
      </c>
      <c r="C377" t="s">
        <v>385</v>
      </c>
      <c r="D377" t="s">
        <v>9</v>
      </c>
      <c r="E377">
        <v>27</v>
      </c>
      <c r="F377">
        <v>0</v>
      </c>
      <c r="G377">
        <v>2</v>
      </c>
      <c r="H377">
        <v>211.5</v>
      </c>
    </row>
    <row r="378" spans="1:8" x14ac:dyDescent="0.3">
      <c r="A378">
        <v>0</v>
      </c>
      <c r="B378">
        <v>3</v>
      </c>
      <c r="C378" t="s">
        <v>386</v>
      </c>
      <c r="D378" t="s">
        <v>9</v>
      </c>
      <c r="E378">
        <v>20</v>
      </c>
      <c r="F378">
        <v>0</v>
      </c>
      <c r="G378">
        <v>0</v>
      </c>
      <c r="H378">
        <v>4.0125000000000002</v>
      </c>
    </row>
    <row r="379" spans="1:8" x14ac:dyDescent="0.3">
      <c r="A379">
        <v>0</v>
      </c>
      <c r="B379">
        <v>3</v>
      </c>
      <c r="C379" t="s">
        <v>387</v>
      </c>
      <c r="D379" t="s">
        <v>9</v>
      </c>
      <c r="E379">
        <v>19</v>
      </c>
      <c r="F379">
        <v>0</v>
      </c>
      <c r="G379">
        <v>0</v>
      </c>
      <c r="H379">
        <v>7.7750000000000004</v>
      </c>
    </row>
    <row r="380" spans="1:8" x14ac:dyDescent="0.3">
      <c r="A380">
        <v>1</v>
      </c>
      <c r="B380">
        <v>1</v>
      </c>
      <c r="C380" t="s">
        <v>388</v>
      </c>
      <c r="D380" t="s">
        <v>11</v>
      </c>
      <c r="E380">
        <v>42</v>
      </c>
      <c r="F380">
        <v>0</v>
      </c>
      <c r="G380">
        <v>0</v>
      </c>
      <c r="H380">
        <v>227.52500000000001</v>
      </c>
    </row>
    <row r="381" spans="1:8" x14ac:dyDescent="0.3">
      <c r="A381">
        <v>1</v>
      </c>
      <c r="B381">
        <v>3</v>
      </c>
      <c r="C381" t="s">
        <v>389</v>
      </c>
      <c r="D381" t="s">
        <v>11</v>
      </c>
      <c r="E381">
        <v>1</v>
      </c>
      <c r="F381">
        <v>0</v>
      </c>
      <c r="G381">
        <v>2</v>
      </c>
      <c r="H381">
        <v>15.7417</v>
      </c>
    </row>
    <row r="382" spans="1:8" x14ac:dyDescent="0.3">
      <c r="A382">
        <v>0</v>
      </c>
      <c r="B382">
        <v>3</v>
      </c>
      <c r="C382" t="s">
        <v>390</v>
      </c>
      <c r="D382" t="s">
        <v>9</v>
      </c>
      <c r="E382">
        <v>32</v>
      </c>
      <c r="F382">
        <v>0</v>
      </c>
      <c r="G382">
        <v>0</v>
      </c>
      <c r="H382">
        <v>7.9249999999999998</v>
      </c>
    </row>
    <row r="383" spans="1:8" x14ac:dyDescent="0.3">
      <c r="A383">
        <v>1</v>
      </c>
      <c r="B383">
        <v>1</v>
      </c>
      <c r="C383" t="s">
        <v>391</v>
      </c>
      <c r="D383" t="s">
        <v>11</v>
      </c>
      <c r="E383">
        <v>35</v>
      </c>
      <c r="F383">
        <v>1</v>
      </c>
      <c r="G383">
        <v>0</v>
      </c>
      <c r="H383">
        <v>52</v>
      </c>
    </row>
    <row r="384" spans="1:8" x14ac:dyDescent="0.3">
      <c r="A384">
        <v>0</v>
      </c>
      <c r="B384">
        <v>3</v>
      </c>
      <c r="C384" t="s">
        <v>392</v>
      </c>
      <c r="D384" t="s">
        <v>9</v>
      </c>
      <c r="E384">
        <v>27</v>
      </c>
      <c r="F384">
        <v>0</v>
      </c>
      <c r="G384">
        <v>0</v>
      </c>
      <c r="H384">
        <v>7.8958000000000004</v>
      </c>
    </row>
    <row r="385" spans="1:8" x14ac:dyDescent="0.3">
      <c r="A385">
        <v>0</v>
      </c>
      <c r="B385">
        <v>2</v>
      </c>
      <c r="C385" t="s">
        <v>393</v>
      </c>
      <c r="D385" t="s">
        <v>9</v>
      </c>
      <c r="E385">
        <v>18</v>
      </c>
      <c r="F385">
        <v>0</v>
      </c>
      <c r="G385">
        <v>0</v>
      </c>
      <c r="H385">
        <v>73.5</v>
      </c>
    </row>
    <row r="386" spans="1:8" x14ac:dyDescent="0.3">
      <c r="A386">
        <v>0</v>
      </c>
      <c r="B386">
        <v>3</v>
      </c>
      <c r="C386" t="s">
        <v>394</v>
      </c>
      <c r="D386" t="s">
        <v>9</v>
      </c>
      <c r="E386">
        <v>1</v>
      </c>
      <c r="F386">
        <v>5</v>
      </c>
      <c r="G386">
        <v>2</v>
      </c>
      <c r="H386">
        <v>46.9</v>
      </c>
    </row>
    <row r="387" spans="1:8" x14ac:dyDescent="0.3">
      <c r="A387">
        <v>1</v>
      </c>
      <c r="B387">
        <v>2</v>
      </c>
      <c r="C387" t="s">
        <v>395</v>
      </c>
      <c r="D387" t="s">
        <v>11</v>
      </c>
      <c r="E387">
        <v>36</v>
      </c>
      <c r="F387">
        <v>0</v>
      </c>
      <c r="G387">
        <v>0</v>
      </c>
      <c r="H387">
        <v>13</v>
      </c>
    </row>
    <row r="388" spans="1:8" x14ac:dyDescent="0.3">
      <c r="A388">
        <v>0</v>
      </c>
      <c r="B388">
        <v>3</v>
      </c>
      <c r="C388" t="s">
        <v>396</v>
      </c>
      <c r="D388" t="s">
        <v>9</v>
      </c>
      <c r="E388">
        <v>19</v>
      </c>
      <c r="F388">
        <v>0</v>
      </c>
      <c r="G388">
        <v>0</v>
      </c>
      <c r="H388">
        <v>7.7291999999999996</v>
      </c>
    </row>
    <row r="389" spans="1:8" x14ac:dyDescent="0.3">
      <c r="A389">
        <v>1</v>
      </c>
      <c r="B389">
        <v>2</v>
      </c>
      <c r="C389" t="s">
        <v>397</v>
      </c>
      <c r="D389" t="s">
        <v>11</v>
      </c>
      <c r="E389">
        <v>17</v>
      </c>
      <c r="F389">
        <v>0</v>
      </c>
      <c r="G389">
        <v>0</v>
      </c>
      <c r="H389">
        <v>12</v>
      </c>
    </row>
    <row r="390" spans="1:8" x14ac:dyDescent="0.3">
      <c r="A390">
        <v>1</v>
      </c>
      <c r="B390">
        <v>1</v>
      </c>
      <c r="C390" t="s">
        <v>398</v>
      </c>
      <c r="D390" t="s">
        <v>9</v>
      </c>
      <c r="E390">
        <v>36</v>
      </c>
      <c r="F390">
        <v>1</v>
      </c>
      <c r="G390">
        <v>2</v>
      </c>
      <c r="H390">
        <v>120</v>
      </c>
    </row>
    <row r="391" spans="1:8" x14ac:dyDescent="0.3">
      <c r="A391">
        <v>1</v>
      </c>
      <c r="B391">
        <v>3</v>
      </c>
      <c r="C391" t="s">
        <v>399</v>
      </c>
      <c r="D391" t="s">
        <v>9</v>
      </c>
      <c r="E391">
        <v>21</v>
      </c>
      <c r="F391">
        <v>0</v>
      </c>
      <c r="G391">
        <v>0</v>
      </c>
      <c r="H391">
        <v>7.7957999999999998</v>
      </c>
    </row>
    <row r="392" spans="1:8" x14ac:dyDescent="0.3">
      <c r="A392">
        <v>0</v>
      </c>
      <c r="B392">
        <v>3</v>
      </c>
      <c r="C392" t="s">
        <v>400</v>
      </c>
      <c r="D392" t="s">
        <v>9</v>
      </c>
      <c r="E392">
        <v>28</v>
      </c>
      <c r="F392">
        <v>2</v>
      </c>
      <c r="G392">
        <v>0</v>
      </c>
      <c r="H392">
        <v>7.9249999999999998</v>
      </c>
    </row>
    <row r="393" spans="1:8" x14ac:dyDescent="0.3">
      <c r="A393">
        <v>1</v>
      </c>
      <c r="B393">
        <v>1</v>
      </c>
      <c r="C393" t="s">
        <v>401</v>
      </c>
      <c r="D393" t="s">
        <v>11</v>
      </c>
      <c r="E393">
        <v>23</v>
      </c>
      <c r="F393">
        <v>1</v>
      </c>
      <c r="G393">
        <v>0</v>
      </c>
      <c r="H393">
        <v>113.27500000000001</v>
      </c>
    </row>
    <row r="394" spans="1:8" x14ac:dyDescent="0.3">
      <c r="A394">
        <v>1</v>
      </c>
      <c r="B394">
        <v>3</v>
      </c>
      <c r="C394" t="s">
        <v>402</v>
      </c>
      <c r="D394" t="s">
        <v>11</v>
      </c>
      <c r="E394">
        <v>24</v>
      </c>
      <c r="F394">
        <v>0</v>
      </c>
      <c r="G394">
        <v>2</v>
      </c>
      <c r="H394">
        <v>16.7</v>
      </c>
    </row>
    <row r="395" spans="1:8" x14ac:dyDescent="0.3">
      <c r="A395">
        <v>0</v>
      </c>
      <c r="B395">
        <v>3</v>
      </c>
      <c r="C395" t="s">
        <v>403</v>
      </c>
      <c r="D395" t="s">
        <v>9</v>
      </c>
      <c r="E395">
        <v>22</v>
      </c>
      <c r="F395">
        <v>0</v>
      </c>
      <c r="G395">
        <v>0</v>
      </c>
      <c r="H395">
        <v>7.7957999999999998</v>
      </c>
    </row>
    <row r="396" spans="1:8" x14ac:dyDescent="0.3">
      <c r="A396">
        <v>0</v>
      </c>
      <c r="B396">
        <v>3</v>
      </c>
      <c r="C396" t="s">
        <v>404</v>
      </c>
      <c r="D396" t="s">
        <v>11</v>
      </c>
      <c r="E396">
        <v>31</v>
      </c>
      <c r="F396">
        <v>0</v>
      </c>
      <c r="G396">
        <v>0</v>
      </c>
      <c r="H396">
        <v>7.8541999999999996</v>
      </c>
    </row>
    <row r="397" spans="1:8" x14ac:dyDescent="0.3">
      <c r="A397">
        <v>0</v>
      </c>
      <c r="B397">
        <v>2</v>
      </c>
      <c r="C397" t="s">
        <v>405</v>
      </c>
      <c r="D397" t="s">
        <v>9</v>
      </c>
      <c r="E397">
        <v>46</v>
      </c>
      <c r="F397">
        <v>0</v>
      </c>
      <c r="G397">
        <v>0</v>
      </c>
      <c r="H397">
        <v>26</v>
      </c>
    </row>
    <row r="398" spans="1:8" x14ac:dyDescent="0.3">
      <c r="A398">
        <v>0</v>
      </c>
      <c r="B398">
        <v>2</v>
      </c>
      <c r="C398" t="s">
        <v>406</v>
      </c>
      <c r="D398" t="s">
        <v>9</v>
      </c>
      <c r="E398">
        <v>23</v>
      </c>
      <c r="F398">
        <v>0</v>
      </c>
      <c r="G398">
        <v>0</v>
      </c>
      <c r="H398">
        <v>10.5</v>
      </c>
    </row>
    <row r="399" spans="1:8" x14ac:dyDescent="0.3">
      <c r="A399">
        <v>1</v>
      </c>
      <c r="B399">
        <v>2</v>
      </c>
      <c r="C399" t="s">
        <v>407</v>
      </c>
      <c r="D399" t="s">
        <v>11</v>
      </c>
      <c r="E399">
        <v>28</v>
      </c>
      <c r="F399">
        <v>0</v>
      </c>
      <c r="G399">
        <v>0</v>
      </c>
      <c r="H399">
        <v>12.65</v>
      </c>
    </row>
    <row r="400" spans="1:8" x14ac:dyDescent="0.3">
      <c r="A400">
        <v>1</v>
      </c>
      <c r="B400">
        <v>3</v>
      </c>
      <c r="C400" t="s">
        <v>408</v>
      </c>
      <c r="D400" t="s">
        <v>9</v>
      </c>
      <c r="E400">
        <v>39</v>
      </c>
      <c r="F400">
        <v>0</v>
      </c>
      <c r="G400">
        <v>0</v>
      </c>
      <c r="H400">
        <v>7.9249999999999998</v>
      </c>
    </row>
    <row r="401" spans="1:8" x14ac:dyDescent="0.3">
      <c r="A401">
        <v>0</v>
      </c>
      <c r="B401">
        <v>3</v>
      </c>
      <c r="C401" t="s">
        <v>409</v>
      </c>
      <c r="D401" t="s">
        <v>9</v>
      </c>
      <c r="E401">
        <v>26</v>
      </c>
      <c r="F401">
        <v>0</v>
      </c>
      <c r="G401">
        <v>0</v>
      </c>
      <c r="H401">
        <v>8.0500000000000007</v>
      </c>
    </row>
    <row r="402" spans="1:8" x14ac:dyDescent="0.3">
      <c r="A402">
        <v>0</v>
      </c>
      <c r="B402">
        <v>3</v>
      </c>
      <c r="C402" t="s">
        <v>410</v>
      </c>
      <c r="D402" t="s">
        <v>11</v>
      </c>
      <c r="E402">
        <v>21</v>
      </c>
      <c r="F402">
        <v>1</v>
      </c>
      <c r="G402">
        <v>0</v>
      </c>
      <c r="H402">
        <v>9.8249999999999993</v>
      </c>
    </row>
    <row r="403" spans="1:8" x14ac:dyDescent="0.3">
      <c r="A403">
        <v>0</v>
      </c>
      <c r="B403">
        <v>3</v>
      </c>
      <c r="C403" t="s">
        <v>411</v>
      </c>
      <c r="D403" t="s">
        <v>9</v>
      </c>
      <c r="E403">
        <v>28</v>
      </c>
      <c r="F403">
        <v>1</v>
      </c>
      <c r="G403">
        <v>0</v>
      </c>
      <c r="H403">
        <v>15.85</v>
      </c>
    </row>
    <row r="404" spans="1:8" x14ac:dyDescent="0.3">
      <c r="A404">
        <v>0</v>
      </c>
      <c r="B404">
        <v>3</v>
      </c>
      <c r="C404" t="s">
        <v>412</v>
      </c>
      <c r="D404" t="s">
        <v>11</v>
      </c>
      <c r="E404">
        <v>20</v>
      </c>
      <c r="F404">
        <v>0</v>
      </c>
      <c r="G404">
        <v>0</v>
      </c>
      <c r="H404">
        <v>8.6624999999999996</v>
      </c>
    </row>
    <row r="405" spans="1:8" x14ac:dyDescent="0.3">
      <c r="A405">
        <v>0</v>
      </c>
      <c r="B405">
        <v>2</v>
      </c>
      <c r="C405" t="s">
        <v>413</v>
      </c>
      <c r="D405" t="s">
        <v>9</v>
      </c>
      <c r="E405">
        <v>34</v>
      </c>
      <c r="F405">
        <v>1</v>
      </c>
      <c r="G405">
        <v>0</v>
      </c>
      <c r="H405">
        <v>21</v>
      </c>
    </row>
    <row r="406" spans="1:8" x14ac:dyDescent="0.3">
      <c r="A406">
        <v>0</v>
      </c>
      <c r="B406">
        <v>3</v>
      </c>
      <c r="C406" t="s">
        <v>414</v>
      </c>
      <c r="D406" t="s">
        <v>9</v>
      </c>
      <c r="E406">
        <v>51</v>
      </c>
      <c r="F406">
        <v>0</v>
      </c>
      <c r="G406">
        <v>0</v>
      </c>
      <c r="H406">
        <v>7.75</v>
      </c>
    </row>
    <row r="407" spans="1:8" x14ac:dyDescent="0.3">
      <c r="A407">
        <v>1</v>
      </c>
      <c r="B407">
        <v>2</v>
      </c>
      <c r="C407" t="s">
        <v>415</v>
      </c>
      <c r="D407" t="s">
        <v>9</v>
      </c>
      <c r="E407">
        <v>3</v>
      </c>
      <c r="F407">
        <v>1</v>
      </c>
      <c r="G407">
        <v>1</v>
      </c>
      <c r="H407">
        <v>18.75</v>
      </c>
    </row>
    <row r="408" spans="1:8" x14ac:dyDescent="0.3">
      <c r="A408">
        <v>0</v>
      </c>
      <c r="B408">
        <v>3</v>
      </c>
      <c r="C408" t="s">
        <v>416</v>
      </c>
      <c r="D408" t="s">
        <v>9</v>
      </c>
      <c r="E408">
        <v>21</v>
      </c>
      <c r="F408">
        <v>0</v>
      </c>
      <c r="G408">
        <v>0</v>
      </c>
      <c r="H408">
        <v>7.7750000000000004</v>
      </c>
    </row>
    <row r="409" spans="1:8" x14ac:dyDescent="0.3">
      <c r="A409">
        <v>0</v>
      </c>
      <c r="B409">
        <v>3</v>
      </c>
      <c r="C409" t="s">
        <v>417</v>
      </c>
      <c r="D409" t="s">
        <v>11</v>
      </c>
      <c r="E409">
        <v>3</v>
      </c>
      <c r="F409">
        <v>3</v>
      </c>
      <c r="G409">
        <v>1</v>
      </c>
      <c r="H409">
        <v>25.466699999999999</v>
      </c>
    </row>
    <row r="410" spans="1:8" x14ac:dyDescent="0.3">
      <c r="A410">
        <v>0</v>
      </c>
      <c r="B410">
        <v>3</v>
      </c>
      <c r="C410" t="s">
        <v>418</v>
      </c>
      <c r="D410" t="s">
        <v>9</v>
      </c>
      <c r="E410">
        <v>42</v>
      </c>
      <c r="F410">
        <v>0</v>
      </c>
      <c r="G410">
        <v>0</v>
      </c>
      <c r="H410">
        <v>7.8958000000000004</v>
      </c>
    </row>
    <row r="411" spans="1:8" x14ac:dyDescent="0.3">
      <c r="A411">
        <v>0</v>
      </c>
      <c r="B411">
        <v>3</v>
      </c>
      <c r="C411" t="s">
        <v>419</v>
      </c>
      <c r="D411" t="s">
        <v>9</v>
      </c>
      <c r="E411">
        <v>27</v>
      </c>
      <c r="F411">
        <v>0</v>
      </c>
      <c r="G411">
        <v>0</v>
      </c>
      <c r="H411">
        <v>6.8582999999999998</v>
      </c>
    </row>
    <row r="412" spans="1:8" x14ac:dyDescent="0.3">
      <c r="A412">
        <v>1</v>
      </c>
      <c r="B412">
        <v>1</v>
      </c>
      <c r="C412" t="s">
        <v>420</v>
      </c>
      <c r="D412" t="s">
        <v>11</v>
      </c>
      <c r="E412">
        <v>33</v>
      </c>
      <c r="F412">
        <v>1</v>
      </c>
      <c r="G412">
        <v>0</v>
      </c>
      <c r="H412">
        <v>90</v>
      </c>
    </row>
    <row r="413" spans="1:8" x14ac:dyDescent="0.3">
      <c r="A413">
        <v>0</v>
      </c>
      <c r="B413">
        <v>2</v>
      </c>
      <c r="C413" t="s">
        <v>421</v>
      </c>
      <c r="D413" t="s">
        <v>9</v>
      </c>
      <c r="E413">
        <v>22</v>
      </c>
      <c r="F413">
        <v>0</v>
      </c>
      <c r="G413">
        <v>0</v>
      </c>
      <c r="H413">
        <v>0</v>
      </c>
    </row>
    <row r="414" spans="1:8" x14ac:dyDescent="0.3">
      <c r="A414">
        <v>1</v>
      </c>
      <c r="B414">
        <v>3</v>
      </c>
      <c r="C414" t="s">
        <v>422</v>
      </c>
      <c r="D414" t="s">
        <v>9</v>
      </c>
      <c r="E414">
        <v>44</v>
      </c>
      <c r="F414">
        <v>0</v>
      </c>
      <c r="G414">
        <v>0</v>
      </c>
      <c r="H414">
        <v>7.9249999999999998</v>
      </c>
    </row>
    <row r="415" spans="1:8" x14ac:dyDescent="0.3">
      <c r="A415">
        <v>0</v>
      </c>
      <c r="B415">
        <v>3</v>
      </c>
      <c r="C415" t="s">
        <v>423</v>
      </c>
      <c r="D415" t="s">
        <v>11</v>
      </c>
      <c r="E415">
        <v>32</v>
      </c>
      <c r="F415">
        <v>0</v>
      </c>
      <c r="G415">
        <v>0</v>
      </c>
      <c r="H415">
        <v>8.0500000000000007</v>
      </c>
    </row>
    <row r="416" spans="1:8" x14ac:dyDescent="0.3">
      <c r="A416">
        <v>1</v>
      </c>
      <c r="B416">
        <v>2</v>
      </c>
      <c r="C416" t="s">
        <v>424</v>
      </c>
      <c r="D416" t="s">
        <v>11</v>
      </c>
      <c r="E416">
        <v>34</v>
      </c>
      <c r="F416">
        <v>1</v>
      </c>
      <c r="G416">
        <v>1</v>
      </c>
      <c r="H416">
        <v>32.5</v>
      </c>
    </row>
    <row r="417" spans="1:8" x14ac:dyDescent="0.3">
      <c r="A417">
        <v>1</v>
      </c>
      <c r="B417">
        <v>2</v>
      </c>
      <c r="C417" t="s">
        <v>425</v>
      </c>
      <c r="D417" t="s">
        <v>11</v>
      </c>
      <c r="E417">
        <v>18</v>
      </c>
      <c r="F417">
        <v>0</v>
      </c>
      <c r="G417">
        <v>2</v>
      </c>
      <c r="H417">
        <v>13</v>
      </c>
    </row>
    <row r="418" spans="1:8" x14ac:dyDescent="0.3">
      <c r="A418">
        <v>0</v>
      </c>
      <c r="B418">
        <v>2</v>
      </c>
      <c r="C418" t="s">
        <v>426</v>
      </c>
      <c r="D418" t="s">
        <v>9</v>
      </c>
      <c r="E418">
        <v>30</v>
      </c>
      <c r="F418">
        <v>0</v>
      </c>
      <c r="G418">
        <v>0</v>
      </c>
      <c r="H418">
        <v>13</v>
      </c>
    </row>
    <row r="419" spans="1:8" x14ac:dyDescent="0.3">
      <c r="A419">
        <v>0</v>
      </c>
      <c r="B419">
        <v>3</v>
      </c>
      <c r="C419" t="s">
        <v>427</v>
      </c>
      <c r="D419" t="s">
        <v>11</v>
      </c>
      <c r="E419">
        <v>10</v>
      </c>
      <c r="F419">
        <v>0</v>
      </c>
      <c r="G419">
        <v>2</v>
      </c>
      <c r="H419">
        <v>24.15</v>
      </c>
    </row>
    <row r="420" spans="1:8" x14ac:dyDescent="0.3">
      <c r="A420">
        <v>0</v>
      </c>
      <c r="B420">
        <v>3</v>
      </c>
      <c r="C420" t="s">
        <v>428</v>
      </c>
      <c r="D420" t="s">
        <v>9</v>
      </c>
      <c r="E420">
        <v>21</v>
      </c>
      <c r="F420">
        <v>0</v>
      </c>
      <c r="G420">
        <v>0</v>
      </c>
      <c r="H420">
        <v>7.7332999999999998</v>
      </c>
    </row>
    <row r="421" spans="1:8" x14ac:dyDescent="0.3">
      <c r="A421">
        <v>0</v>
      </c>
      <c r="B421">
        <v>3</v>
      </c>
      <c r="C421" t="s">
        <v>429</v>
      </c>
      <c r="D421" t="s">
        <v>9</v>
      </c>
      <c r="E421">
        <v>29</v>
      </c>
      <c r="F421">
        <v>0</v>
      </c>
      <c r="G421">
        <v>0</v>
      </c>
      <c r="H421">
        <v>7.875</v>
      </c>
    </row>
    <row r="422" spans="1:8" x14ac:dyDescent="0.3">
      <c r="A422">
        <v>0</v>
      </c>
      <c r="B422">
        <v>3</v>
      </c>
      <c r="C422" t="s">
        <v>430</v>
      </c>
      <c r="D422" t="s">
        <v>11</v>
      </c>
      <c r="E422">
        <v>28</v>
      </c>
      <c r="F422">
        <v>1</v>
      </c>
      <c r="G422">
        <v>1</v>
      </c>
      <c r="H422">
        <v>14.4</v>
      </c>
    </row>
    <row r="423" spans="1:8" x14ac:dyDescent="0.3">
      <c r="A423">
        <v>0</v>
      </c>
      <c r="B423">
        <v>3</v>
      </c>
      <c r="C423" t="s">
        <v>431</v>
      </c>
      <c r="D423" t="s">
        <v>9</v>
      </c>
      <c r="E423">
        <v>18</v>
      </c>
      <c r="F423">
        <v>1</v>
      </c>
      <c r="G423">
        <v>1</v>
      </c>
      <c r="H423">
        <v>20.212499999999999</v>
      </c>
    </row>
    <row r="424" spans="1:8" x14ac:dyDescent="0.3">
      <c r="A424">
        <v>0</v>
      </c>
      <c r="B424">
        <v>3</v>
      </c>
      <c r="C424" t="s">
        <v>432</v>
      </c>
      <c r="D424" t="s">
        <v>9</v>
      </c>
      <c r="E424">
        <v>54</v>
      </c>
      <c r="F424">
        <v>0</v>
      </c>
      <c r="G424">
        <v>0</v>
      </c>
      <c r="H424">
        <v>7.25</v>
      </c>
    </row>
    <row r="425" spans="1:8" x14ac:dyDescent="0.3">
      <c r="A425">
        <v>1</v>
      </c>
      <c r="B425">
        <v>2</v>
      </c>
      <c r="C425" t="s">
        <v>433</v>
      </c>
      <c r="D425" t="s">
        <v>11</v>
      </c>
      <c r="E425">
        <v>28</v>
      </c>
      <c r="F425">
        <v>1</v>
      </c>
      <c r="G425">
        <v>0</v>
      </c>
      <c r="H425">
        <v>26</v>
      </c>
    </row>
    <row r="426" spans="1:8" x14ac:dyDescent="0.3">
      <c r="A426">
        <v>1</v>
      </c>
      <c r="B426">
        <v>2</v>
      </c>
      <c r="C426" t="s">
        <v>434</v>
      </c>
      <c r="D426" t="s">
        <v>11</v>
      </c>
      <c r="E426">
        <v>19</v>
      </c>
      <c r="F426">
        <v>0</v>
      </c>
      <c r="G426">
        <v>0</v>
      </c>
      <c r="H426">
        <v>26</v>
      </c>
    </row>
    <row r="427" spans="1:8" x14ac:dyDescent="0.3">
      <c r="A427">
        <v>0</v>
      </c>
      <c r="B427">
        <v>3</v>
      </c>
      <c r="C427" t="s">
        <v>435</v>
      </c>
      <c r="D427" t="s">
        <v>9</v>
      </c>
      <c r="E427">
        <v>28</v>
      </c>
      <c r="F427">
        <v>0</v>
      </c>
      <c r="G427">
        <v>0</v>
      </c>
      <c r="H427">
        <v>7.75</v>
      </c>
    </row>
    <row r="428" spans="1:8" x14ac:dyDescent="0.3">
      <c r="A428">
        <v>1</v>
      </c>
      <c r="B428">
        <v>3</v>
      </c>
      <c r="C428" t="s">
        <v>436</v>
      </c>
      <c r="D428" t="s">
        <v>9</v>
      </c>
      <c r="E428">
        <v>32</v>
      </c>
      <c r="F428">
        <v>0</v>
      </c>
      <c r="G428">
        <v>0</v>
      </c>
      <c r="H428">
        <v>8.0500000000000007</v>
      </c>
    </row>
    <row r="429" spans="1:8" x14ac:dyDescent="0.3">
      <c r="A429">
        <v>1</v>
      </c>
      <c r="B429">
        <v>1</v>
      </c>
      <c r="C429" t="s">
        <v>437</v>
      </c>
      <c r="D429" t="s">
        <v>9</v>
      </c>
      <c r="E429">
        <v>28</v>
      </c>
      <c r="F429">
        <v>0</v>
      </c>
      <c r="G429">
        <v>0</v>
      </c>
      <c r="H429">
        <v>26.55</v>
      </c>
    </row>
    <row r="430" spans="1:8" x14ac:dyDescent="0.3">
      <c r="A430">
        <v>1</v>
      </c>
      <c r="B430">
        <v>3</v>
      </c>
      <c r="C430" t="s">
        <v>438</v>
      </c>
      <c r="D430" t="s">
        <v>11</v>
      </c>
      <c r="E430">
        <v>33</v>
      </c>
      <c r="F430">
        <v>1</v>
      </c>
      <c r="G430">
        <v>0</v>
      </c>
      <c r="H430">
        <v>16.100000000000001</v>
      </c>
    </row>
    <row r="431" spans="1:8" x14ac:dyDescent="0.3">
      <c r="A431">
        <v>1</v>
      </c>
      <c r="B431">
        <v>2</v>
      </c>
      <c r="C431" t="s">
        <v>439</v>
      </c>
      <c r="D431" t="s">
        <v>11</v>
      </c>
      <c r="E431">
        <v>42</v>
      </c>
      <c r="F431">
        <v>1</v>
      </c>
      <c r="G431">
        <v>0</v>
      </c>
      <c r="H431">
        <v>26</v>
      </c>
    </row>
    <row r="432" spans="1:8" x14ac:dyDescent="0.3">
      <c r="A432">
        <v>0</v>
      </c>
      <c r="B432">
        <v>3</v>
      </c>
      <c r="C432" t="s">
        <v>440</v>
      </c>
      <c r="D432" t="s">
        <v>9</v>
      </c>
      <c r="E432">
        <v>17</v>
      </c>
      <c r="F432">
        <v>0</v>
      </c>
      <c r="G432">
        <v>0</v>
      </c>
      <c r="H432">
        <v>7.125</v>
      </c>
    </row>
    <row r="433" spans="1:8" x14ac:dyDescent="0.3">
      <c r="A433">
        <v>0</v>
      </c>
      <c r="B433">
        <v>1</v>
      </c>
      <c r="C433" t="s">
        <v>441</v>
      </c>
      <c r="D433" t="s">
        <v>9</v>
      </c>
      <c r="E433">
        <v>50</v>
      </c>
      <c r="F433">
        <v>1</v>
      </c>
      <c r="G433">
        <v>0</v>
      </c>
      <c r="H433">
        <v>55.9</v>
      </c>
    </row>
    <row r="434" spans="1:8" x14ac:dyDescent="0.3">
      <c r="A434">
        <v>1</v>
      </c>
      <c r="B434">
        <v>1</v>
      </c>
      <c r="C434" t="s">
        <v>442</v>
      </c>
      <c r="D434" t="s">
        <v>11</v>
      </c>
      <c r="E434">
        <v>14</v>
      </c>
      <c r="F434">
        <v>1</v>
      </c>
      <c r="G434">
        <v>2</v>
      </c>
      <c r="H434">
        <v>120</v>
      </c>
    </row>
    <row r="435" spans="1:8" x14ac:dyDescent="0.3">
      <c r="A435">
        <v>0</v>
      </c>
      <c r="B435">
        <v>3</v>
      </c>
      <c r="C435" t="s">
        <v>443</v>
      </c>
      <c r="D435" t="s">
        <v>11</v>
      </c>
      <c r="E435">
        <v>21</v>
      </c>
      <c r="F435">
        <v>2</v>
      </c>
      <c r="G435">
        <v>2</v>
      </c>
      <c r="H435">
        <v>34.375</v>
      </c>
    </row>
    <row r="436" spans="1:8" x14ac:dyDescent="0.3">
      <c r="A436">
        <v>1</v>
      </c>
      <c r="B436">
        <v>2</v>
      </c>
      <c r="C436" t="s">
        <v>444</v>
      </c>
      <c r="D436" t="s">
        <v>11</v>
      </c>
      <c r="E436">
        <v>24</v>
      </c>
      <c r="F436">
        <v>2</v>
      </c>
      <c r="G436">
        <v>3</v>
      </c>
      <c r="H436">
        <v>18.75</v>
      </c>
    </row>
    <row r="437" spans="1:8" x14ac:dyDescent="0.3">
      <c r="A437">
        <v>0</v>
      </c>
      <c r="B437">
        <v>1</v>
      </c>
      <c r="C437" t="s">
        <v>445</v>
      </c>
      <c r="D437" t="s">
        <v>9</v>
      </c>
      <c r="E437">
        <v>64</v>
      </c>
      <c r="F437">
        <v>1</v>
      </c>
      <c r="G437">
        <v>4</v>
      </c>
      <c r="H437">
        <v>263</v>
      </c>
    </row>
    <row r="438" spans="1:8" x14ac:dyDescent="0.3">
      <c r="A438">
        <v>0</v>
      </c>
      <c r="B438">
        <v>2</v>
      </c>
      <c r="C438" t="s">
        <v>446</v>
      </c>
      <c r="D438" t="s">
        <v>9</v>
      </c>
      <c r="E438">
        <v>31</v>
      </c>
      <c r="F438">
        <v>0</v>
      </c>
      <c r="G438">
        <v>0</v>
      </c>
      <c r="H438">
        <v>10.5</v>
      </c>
    </row>
    <row r="439" spans="1:8" x14ac:dyDescent="0.3">
      <c r="A439">
        <v>1</v>
      </c>
      <c r="B439">
        <v>2</v>
      </c>
      <c r="C439" t="s">
        <v>447</v>
      </c>
      <c r="D439" t="s">
        <v>11</v>
      </c>
      <c r="E439">
        <v>45</v>
      </c>
      <c r="F439">
        <v>1</v>
      </c>
      <c r="G439">
        <v>1</v>
      </c>
      <c r="H439">
        <v>26.25</v>
      </c>
    </row>
    <row r="440" spans="1:8" x14ac:dyDescent="0.3">
      <c r="A440">
        <v>0</v>
      </c>
      <c r="B440">
        <v>3</v>
      </c>
      <c r="C440" t="s">
        <v>448</v>
      </c>
      <c r="D440" t="s">
        <v>9</v>
      </c>
      <c r="E440">
        <v>20</v>
      </c>
      <c r="F440">
        <v>0</v>
      </c>
      <c r="G440">
        <v>0</v>
      </c>
      <c r="H440">
        <v>9.5</v>
      </c>
    </row>
    <row r="441" spans="1:8" x14ac:dyDescent="0.3">
      <c r="A441">
        <v>0</v>
      </c>
      <c r="B441">
        <v>3</v>
      </c>
      <c r="C441" t="s">
        <v>449</v>
      </c>
      <c r="D441" t="s">
        <v>9</v>
      </c>
      <c r="E441">
        <v>25</v>
      </c>
      <c r="F441">
        <v>1</v>
      </c>
      <c r="G441">
        <v>0</v>
      </c>
      <c r="H441">
        <v>7.7750000000000004</v>
      </c>
    </row>
    <row r="442" spans="1:8" x14ac:dyDescent="0.3">
      <c r="A442">
        <v>1</v>
      </c>
      <c r="B442">
        <v>2</v>
      </c>
      <c r="C442" t="s">
        <v>450</v>
      </c>
      <c r="D442" t="s">
        <v>11</v>
      </c>
      <c r="E442">
        <v>28</v>
      </c>
      <c r="F442">
        <v>0</v>
      </c>
      <c r="G442">
        <v>0</v>
      </c>
      <c r="H442">
        <v>13</v>
      </c>
    </row>
    <row r="443" spans="1:8" x14ac:dyDescent="0.3">
      <c r="A443">
        <v>1</v>
      </c>
      <c r="B443">
        <v>3</v>
      </c>
      <c r="C443" t="s">
        <v>451</v>
      </c>
      <c r="D443" t="s">
        <v>9</v>
      </c>
      <c r="E443">
        <v>29</v>
      </c>
      <c r="F443">
        <v>0</v>
      </c>
      <c r="G443">
        <v>0</v>
      </c>
      <c r="H443">
        <v>8.1125000000000007</v>
      </c>
    </row>
    <row r="444" spans="1:8" x14ac:dyDescent="0.3">
      <c r="A444">
        <v>1</v>
      </c>
      <c r="B444">
        <v>1</v>
      </c>
      <c r="C444" t="s">
        <v>452</v>
      </c>
      <c r="D444" t="s">
        <v>9</v>
      </c>
      <c r="E444">
        <v>4</v>
      </c>
      <c r="F444">
        <v>0</v>
      </c>
      <c r="G444">
        <v>2</v>
      </c>
      <c r="H444">
        <v>81.8583</v>
      </c>
    </row>
    <row r="445" spans="1:8" x14ac:dyDescent="0.3">
      <c r="A445">
        <v>1</v>
      </c>
      <c r="B445">
        <v>2</v>
      </c>
      <c r="C445" t="s">
        <v>453</v>
      </c>
      <c r="D445" t="s">
        <v>11</v>
      </c>
      <c r="E445">
        <v>13</v>
      </c>
      <c r="F445">
        <v>0</v>
      </c>
      <c r="G445">
        <v>1</v>
      </c>
      <c r="H445">
        <v>19.5</v>
      </c>
    </row>
    <row r="446" spans="1:8" x14ac:dyDescent="0.3">
      <c r="A446">
        <v>1</v>
      </c>
      <c r="B446">
        <v>1</v>
      </c>
      <c r="C446" t="s">
        <v>454</v>
      </c>
      <c r="D446" t="s">
        <v>9</v>
      </c>
      <c r="E446">
        <v>34</v>
      </c>
      <c r="F446">
        <v>0</v>
      </c>
      <c r="G446">
        <v>0</v>
      </c>
      <c r="H446">
        <v>26.55</v>
      </c>
    </row>
    <row r="447" spans="1:8" x14ac:dyDescent="0.3">
      <c r="A447">
        <v>1</v>
      </c>
      <c r="B447">
        <v>3</v>
      </c>
      <c r="C447" t="s">
        <v>455</v>
      </c>
      <c r="D447" t="s">
        <v>11</v>
      </c>
      <c r="E447">
        <v>5</v>
      </c>
      <c r="F447">
        <v>2</v>
      </c>
      <c r="G447">
        <v>1</v>
      </c>
      <c r="H447">
        <v>19.258299999999998</v>
      </c>
    </row>
    <row r="448" spans="1:8" x14ac:dyDescent="0.3">
      <c r="A448">
        <v>1</v>
      </c>
      <c r="B448">
        <v>1</v>
      </c>
      <c r="C448" t="s">
        <v>456</v>
      </c>
      <c r="D448" t="s">
        <v>9</v>
      </c>
      <c r="E448">
        <v>52</v>
      </c>
      <c r="F448">
        <v>0</v>
      </c>
      <c r="G448">
        <v>0</v>
      </c>
      <c r="H448">
        <v>30.5</v>
      </c>
    </row>
    <row r="449" spans="1:8" x14ac:dyDescent="0.3">
      <c r="A449">
        <v>0</v>
      </c>
      <c r="B449">
        <v>2</v>
      </c>
      <c r="C449" t="s">
        <v>457</v>
      </c>
      <c r="D449" t="s">
        <v>9</v>
      </c>
      <c r="E449">
        <v>36</v>
      </c>
      <c r="F449">
        <v>1</v>
      </c>
      <c r="G449">
        <v>2</v>
      </c>
      <c r="H449">
        <v>27.75</v>
      </c>
    </row>
    <row r="450" spans="1:8" x14ac:dyDescent="0.3">
      <c r="A450">
        <v>0</v>
      </c>
      <c r="B450">
        <v>3</v>
      </c>
      <c r="C450" t="s">
        <v>458</v>
      </c>
      <c r="D450" t="s">
        <v>9</v>
      </c>
      <c r="E450">
        <v>28</v>
      </c>
      <c r="F450">
        <v>1</v>
      </c>
      <c r="G450">
        <v>0</v>
      </c>
      <c r="H450">
        <v>19.966699999999999</v>
      </c>
    </row>
    <row r="451" spans="1:8" x14ac:dyDescent="0.3">
      <c r="A451">
        <v>0</v>
      </c>
      <c r="B451">
        <v>1</v>
      </c>
      <c r="C451" t="s">
        <v>459</v>
      </c>
      <c r="D451" t="s">
        <v>9</v>
      </c>
      <c r="E451">
        <v>30</v>
      </c>
      <c r="F451">
        <v>0</v>
      </c>
      <c r="G451">
        <v>0</v>
      </c>
      <c r="H451">
        <v>27.75</v>
      </c>
    </row>
    <row r="452" spans="1:8" x14ac:dyDescent="0.3">
      <c r="A452">
        <v>1</v>
      </c>
      <c r="B452">
        <v>1</v>
      </c>
      <c r="C452" t="s">
        <v>460</v>
      </c>
      <c r="D452" t="s">
        <v>9</v>
      </c>
      <c r="E452">
        <v>49</v>
      </c>
      <c r="F452">
        <v>1</v>
      </c>
      <c r="G452">
        <v>0</v>
      </c>
      <c r="H452">
        <v>89.104200000000006</v>
      </c>
    </row>
    <row r="453" spans="1:8" x14ac:dyDescent="0.3">
      <c r="A453">
        <v>0</v>
      </c>
      <c r="B453">
        <v>3</v>
      </c>
      <c r="C453" t="s">
        <v>461</v>
      </c>
      <c r="D453" t="s">
        <v>9</v>
      </c>
      <c r="E453">
        <v>24</v>
      </c>
      <c r="F453">
        <v>0</v>
      </c>
      <c r="G453">
        <v>0</v>
      </c>
      <c r="H453">
        <v>8.0500000000000007</v>
      </c>
    </row>
    <row r="454" spans="1:8" x14ac:dyDescent="0.3">
      <c r="A454">
        <v>1</v>
      </c>
      <c r="B454">
        <v>3</v>
      </c>
      <c r="C454" t="s">
        <v>462</v>
      </c>
      <c r="D454" t="s">
        <v>9</v>
      </c>
      <c r="E454">
        <v>29</v>
      </c>
      <c r="F454">
        <v>0</v>
      </c>
      <c r="G454">
        <v>0</v>
      </c>
      <c r="H454">
        <v>7.8958000000000004</v>
      </c>
    </row>
    <row r="455" spans="1:8" x14ac:dyDescent="0.3">
      <c r="A455">
        <v>0</v>
      </c>
      <c r="B455">
        <v>1</v>
      </c>
      <c r="C455" t="s">
        <v>463</v>
      </c>
      <c r="D455" t="s">
        <v>9</v>
      </c>
      <c r="E455">
        <v>65</v>
      </c>
      <c r="F455">
        <v>0</v>
      </c>
      <c r="G455">
        <v>0</v>
      </c>
      <c r="H455">
        <v>26.55</v>
      </c>
    </row>
    <row r="456" spans="1:8" x14ac:dyDescent="0.3">
      <c r="A456">
        <v>1</v>
      </c>
      <c r="B456">
        <v>1</v>
      </c>
      <c r="C456" t="s">
        <v>464</v>
      </c>
      <c r="D456" t="s">
        <v>11</v>
      </c>
      <c r="E456">
        <v>41</v>
      </c>
      <c r="F456">
        <v>1</v>
      </c>
      <c r="G456">
        <v>0</v>
      </c>
      <c r="H456">
        <v>51.862499999999997</v>
      </c>
    </row>
    <row r="457" spans="1:8" x14ac:dyDescent="0.3">
      <c r="A457">
        <v>1</v>
      </c>
      <c r="B457">
        <v>2</v>
      </c>
      <c r="C457" t="s">
        <v>465</v>
      </c>
      <c r="D457" t="s">
        <v>11</v>
      </c>
      <c r="E457">
        <v>50</v>
      </c>
      <c r="F457">
        <v>0</v>
      </c>
      <c r="G457">
        <v>0</v>
      </c>
      <c r="H457">
        <v>10.5</v>
      </c>
    </row>
    <row r="458" spans="1:8" x14ac:dyDescent="0.3">
      <c r="A458">
        <v>0</v>
      </c>
      <c r="B458">
        <v>3</v>
      </c>
      <c r="C458" t="s">
        <v>466</v>
      </c>
      <c r="D458" t="s">
        <v>9</v>
      </c>
      <c r="E458">
        <v>17</v>
      </c>
      <c r="F458">
        <v>0</v>
      </c>
      <c r="G458">
        <v>0</v>
      </c>
      <c r="H458">
        <v>7.75</v>
      </c>
    </row>
    <row r="459" spans="1:8" x14ac:dyDescent="0.3">
      <c r="A459">
        <v>1</v>
      </c>
      <c r="B459">
        <v>1</v>
      </c>
      <c r="C459" t="s">
        <v>467</v>
      </c>
      <c r="D459" t="s">
        <v>9</v>
      </c>
      <c r="E459">
        <v>48</v>
      </c>
      <c r="F459">
        <v>0</v>
      </c>
      <c r="G459">
        <v>0</v>
      </c>
      <c r="H459">
        <v>26.55</v>
      </c>
    </row>
    <row r="460" spans="1:8" x14ac:dyDescent="0.3">
      <c r="A460">
        <v>0</v>
      </c>
      <c r="B460">
        <v>3</v>
      </c>
      <c r="C460" t="s">
        <v>468</v>
      </c>
      <c r="D460" t="s">
        <v>9</v>
      </c>
      <c r="E460">
        <v>34</v>
      </c>
      <c r="F460">
        <v>0</v>
      </c>
      <c r="G460">
        <v>0</v>
      </c>
      <c r="H460">
        <v>8.0500000000000007</v>
      </c>
    </row>
    <row r="461" spans="1:8" x14ac:dyDescent="0.3">
      <c r="A461">
        <v>0</v>
      </c>
      <c r="B461">
        <v>1</v>
      </c>
      <c r="C461" t="s">
        <v>469</v>
      </c>
      <c r="D461" t="s">
        <v>9</v>
      </c>
      <c r="E461">
        <v>47</v>
      </c>
      <c r="F461">
        <v>0</v>
      </c>
      <c r="G461">
        <v>0</v>
      </c>
      <c r="H461">
        <v>38.5</v>
      </c>
    </row>
    <row r="462" spans="1:8" x14ac:dyDescent="0.3">
      <c r="A462">
        <v>0</v>
      </c>
      <c r="B462">
        <v>2</v>
      </c>
      <c r="C462" t="s">
        <v>470</v>
      </c>
      <c r="D462" t="s">
        <v>9</v>
      </c>
      <c r="E462">
        <v>48</v>
      </c>
      <c r="F462">
        <v>0</v>
      </c>
      <c r="G462">
        <v>0</v>
      </c>
      <c r="H462">
        <v>13</v>
      </c>
    </row>
    <row r="463" spans="1:8" x14ac:dyDescent="0.3">
      <c r="A463">
        <v>0</v>
      </c>
      <c r="B463">
        <v>3</v>
      </c>
      <c r="C463" t="s">
        <v>471</v>
      </c>
      <c r="D463" t="s">
        <v>9</v>
      </c>
      <c r="E463">
        <v>34</v>
      </c>
      <c r="F463">
        <v>0</v>
      </c>
      <c r="G463">
        <v>0</v>
      </c>
      <c r="H463">
        <v>8.0500000000000007</v>
      </c>
    </row>
    <row r="464" spans="1:8" x14ac:dyDescent="0.3">
      <c r="A464">
        <v>0</v>
      </c>
      <c r="B464">
        <v>3</v>
      </c>
      <c r="C464" t="s">
        <v>472</v>
      </c>
      <c r="D464" t="s">
        <v>9</v>
      </c>
      <c r="E464">
        <v>38</v>
      </c>
      <c r="F464">
        <v>0</v>
      </c>
      <c r="G464">
        <v>0</v>
      </c>
      <c r="H464">
        <v>7.05</v>
      </c>
    </row>
    <row r="465" spans="1:8" x14ac:dyDescent="0.3">
      <c r="A465">
        <v>0</v>
      </c>
      <c r="B465">
        <v>2</v>
      </c>
      <c r="C465" t="s">
        <v>473</v>
      </c>
      <c r="D465" t="s">
        <v>9</v>
      </c>
      <c r="E465">
        <v>21</v>
      </c>
      <c r="F465">
        <v>0</v>
      </c>
      <c r="G465">
        <v>0</v>
      </c>
      <c r="H465">
        <v>0</v>
      </c>
    </row>
    <row r="466" spans="1:8" x14ac:dyDescent="0.3">
      <c r="A466">
        <v>0</v>
      </c>
      <c r="B466">
        <v>1</v>
      </c>
      <c r="C466" t="s">
        <v>474</v>
      </c>
      <c r="D466" t="s">
        <v>9</v>
      </c>
      <c r="E466">
        <v>56</v>
      </c>
      <c r="F466">
        <v>0</v>
      </c>
      <c r="G466">
        <v>0</v>
      </c>
      <c r="H466">
        <v>26.55</v>
      </c>
    </row>
    <row r="467" spans="1:8" x14ac:dyDescent="0.3">
      <c r="A467">
        <v>0</v>
      </c>
      <c r="B467">
        <v>3</v>
      </c>
      <c r="C467" t="s">
        <v>475</v>
      </c>
      <c r="D467" t="s">
        <v>9</v>
      </c>
      <c r="E467">
        <v>22</v>
      </c>
      <c r="F467">
        <v>0</v>
      </c>
      <c r="G467">
        <v>0</v>
      </c>
      <c r="H467">
        <v>7.7249999999999996</v>
      </c>
    </row>
    <row r="468" spans="1:8" x14ac:dyDescent="0.3">
      <c r="A468">
        <v>1</v>
      </c>
      <c r="B468">
        <v>3</v>
      </c>
      <c r="C468" t="s">
        <v>476</v>
      </c>
      <c r="D468" t="s">
        <v>11</v>
      </c>
      <c r="E468">
        <v>0.75</v>
      </c>
      <c r="F468">
        <v>2</v>
      </c>
      <c r="G468">
        <v>1</v>
      </c>
      <c r="H468">
        <v>19.258299999999998</v>
      </c>
    </row>
    <row r="469" spans="1:8" x14ac:dyDescent="0.3">
      <c r="A469">
        <v>0</v>
      </c>
      <c r="B469">
        <v>3</v>
      </c>
      <c r="C469" t="s">
        <v>477</v>
      </c>
      <c r="D469" t="s">
        <v>9</v>
      </c>
      <c r="E469">
        <v>39</v>
      </c>
      <c r="F469">
        <v>0</v>
      </c>
      <c r="G469">
        <v>0</v>
      </c>
      <c r="H469">
        <v>7.25</v>
      </c>
    </row>
    <row r="470" spans="1:8" x14ac:dyDescent="0.3">
      <c r="A470">
        <v>0</v>
      </c>
      <c r="B470">
        <v>3</v>
      </c>
      <c r="C470" t="s">
        <v>478</v>
      </c>
      <c r="D470" t="s">
        <v>9</v>
      </c>
      <c r="E470">
        <v>38</v>
      </c>
      <c r="F470">
        <v>0</v>
      </c>
      <c r="G470">
        <v>0</v>
      </c>
      <c r="H470">
        <v>8.6624999999999996</v>
      </c>
    </row>
    <row r="471" spans="1:8" x14ac:dyDescent="0.3">
      <c r="A471">
        <v>1</v>
      </c>
      <c r="B471">
        <v>2</v>
      </c>
      <c r="C471" t="s">
        <v>479</v>
      </c>
      <c r="D471" t="s">
        <v>11</v>
      </c>
      <c r="E471">
        <v>33</v>
      </c>
      <c r="F471">
        <v>1</v>
      </c>
      <c r="G471">
        <v>2</v>
      </c>
      <c r="H471">
        <v>27.75</v>
      </c>
    </row>
    <row r="472" spans="1:8" x14ac:dyDescent="0.3">
      <c r="A472">
        <v>1</v>
      </c>
      <c r="B472">
        <v>2</v>
      </c>
      <c r="C472" t="s">
        <v>480</v>
      </c>
      <c r="D472" t="s">
        <v>11</v>
      </c>
      <c r="E472">
        <v>23</v>
      </c>
      <c r="F472">
        <v>0</v>
      </c>
      <c r="G472">
        <v>0</v>
      </c>
      <c r="H472">
        <v>13.791700000000001</v>
      </c>
    </row>
    <row r="473" spans="1:8" x14ac:dyDescent="0.3">
      <c r="A473">
        <v>0</v>
      </c>
      <c r="B473">
        <v>3</v>
      </c>
      <c r="C473" t="s">
        <v>481</v>
      </c>
      <c r="D473" t="s">
        <v>11</v>
      </c>
      <c r="E473">
        <v>22</v>
      </c>
      <c r="F473">
        <v>0</v>
      </c>
      <c r="G473">
        <v>0</v>
      </c>
      <c r="H473">
        <v>9.8375000000000004</v>
      </c>
    </row>
    <row r="474" spans="1:8" x14ac:dyDescent="0.3">
      <c r="A474">
        <v>0</v>
      </c>
      <c r="B474">
        <v>1</v>
      </c>
      <c r="C474" t="s">
        <v>482</v>
      </c>
      <c r="D474" t="s">
        <v>9</v>
      </c>
      <c r="E474">
        <v>40</v>
      </c>
      <c r="F474">
        <v>0</v>
      </c>
      <c r="G474">
        <v>0</v>
      </c>
      <c r="H474">
        <v>52</v>
      </c>
    </row>
    <row r="475" spans="1:8" x14ac:dyDescent="0.3">
      <c r="A475">
        <v>0</v>
      </c>
      <c r="B475">
        <v>2</v>
      </c>
      <c r="C475" t="s">
        <v>483</v>
      </c>
      <c r="D475" t="s">
        <v>9</v>
      </c>
      <c r="E475">
        <v>34</v>
      </c>
      <c r="F475">
        <v>1</v>
      </c>
      <c r="G475">
        <v>0</v>
      </c>
      <c r="H475">
        <v>21</v>
      </c>
    </row>
    <row r="476" spans="1:8" x14ac:dyDescent="0.3">
      <c r="A476">
        <v>0</v>
      </c>
      <c r="B476">
        <v>3</v>
      </c>
      <c r="C476" t="s">
        <v>484</v>
      </c>
      <c r="D476" t="s">
        <v>9</v>
      </c>
      <c r="E476">
        <v>29</v>
      </c>
      <c r="F476">
        <v>1</v>
      </c>
      <c r="G476">
        <v>0</v>
      </c>
      <c r="H476">
        <v>7.0457999999999998</v>
      </c>
    </row>
    <row r="477" spans="1:8" x14ac:dyDescent="0.3">
      <c r="A477">
        <v>0</v>
      </c>
      <c r="B477">
        <v>3</v>
      </c>
      <c r="C477" t="s">
        <v>485</v>
      </c>
      <c r="D477" t="s">
        <v>9</v>
      </c>
      <c r="E477">
        <v>22</v>
      </c>
      <c r="F477">
        <v>0</v>
      </c>
      <c r="G477">
        <v>0</v>
      </c>
      <c r="H477">
        <v>7.5208000000000004</v>
      </c>
    </row>
    <row r="478" spans="1:8" x14ac:dyDescent="0.3">
      <c r="A478">
        <v>1</v>
      </c>
      <c r="B478">
        <v>3</v>
      </c>
      <c r="C478" t="s">
        <v>486</v>
      </c>
      <c r="D478" t="s">
        <v>11</v>
      </c>
      <c r="E478">
        <v>2</v>
      </c>
      <c r="F478">
        <v>0</v>
      </c>
      <c r="G478">
        <v>1</v>
      </c>
      <c r="H478">
        <v>12.2875</v>
      </c>
    </row>
    <row r="479" spans="1:8" x14ac:dyDescent="0.3">
      <c r="A479">
        <v>0</v>
      </c>
      <c r="B479">
        <v>3</v>
      </c>
      <c r="C479" t="s">
        <v>487</v>
      </c>
      <c r="D479" t="s">
        <v>9</v>
      </c>
      <c r="E479">
        <v>9</v>
      </c>
      <c r="F479">
        <v>5</v>
      </c>
      <c r="G479">
        <v>2</v>
      </c>
      <c r="H479">
        <v>46.9</v>
      </c>
    </row>
    <row r="480" spans="1:8" x14ac:dyDescent="0.3">
      <c r="A480">
        <v>0</v>
      </c>
      <c r="B480">
        <v>2</v>
      </c>
      <c r="C480" t="s">
        <v>488</v>
      </c>
      <c r="D480" t="s">
        <v>9</v>
      </c>
      <c r="E480">
        <v>37</v>
      </c>
      <c r="F480">
        <v>0</v>
      </c>
      <c r="G480">
        <v>0</v>
      </c>
      <c r="H480">
        <v>0</v>
      </c>
    </row>
    <row r="481" spans="1:8" x14ac:dyDescent="0.3">
      <c r="A481">
        <v>0</v>
      </c>
      <c r="B481">
        <v>3</v>
      </c>
      <c r="C481" t="s">
        <v>489</v>
      </c>
      <c r="D481" t="s">
        <v>9</v>
      </c>
      <c r="E481">
        <v>50</v>
      </c>
      <c r="F481">
        <v>0</v>
      </c>
      <c r="G481">
        <v>0</v>
      </c>
      <c r="H481">
        <v>8.0500000000000007</v>
      </c>
    </row>
    <row r="482" spans="1:8" x14ac:dyDescent="0.3">
      <c r="A482">
        <v>1</v>
      </c>
      <c r="B482">
        <v>3</v>
      </c>
      <c r="C482" t="s">
        <v>490</v>
      </c>
      <c r="D482" t="s">
        <v>11</v>
      </c>
      <c r="E482">
        <v>63</v>
      </c>
      <c r="F482">
        <v>0</v>
      </c>
      <c r="G482">
        <v>0</v>
      </c>
      <c r="H482">
        <v>9.5875000000000004</v>
      </c>
    </row>
    <row r="483" spans="1:8" x14ac:dyDescent="0.3">
      <c r="A483">
        <v>1</v>
      </c>
      <c r="B483">
        <v>1</v>
      </c>
      <c r="C483" t="s">
        <v>491</v>
      </c>
      <c r="D483" t="s">
        <v>9</v>
      </c>
      <c r="E483">
        <v>25</v>
      </c>
      <c r="F483">
        <v>1</v>
      </c>
      <c r="G483">
        <v>0</v>
      </c>
      <c r="H483">
        <v>91.0792</v>
      </c>
    </row>
    <row r="484" spans="1:8" x14ac:dyDescent="0.3">
      <c r="A484">
        <v>0</v>
      </c>
      <c r="B484">
        <v>3</v>
      </c>
      <c r="C484" t="s">
        <v>492</v>
      </c>
      <c r="D484" t="s">
        <v>11</v>
      </c>
      <c r="E484">
        <v>8</v>
      </c>
      <c r="F484">
        <v>3</v>
      </c>
      <c r="G484">
        <v>1</v>
      </c>
      <c r="H484">
        <v>25.466699999999999</v>
      </c>
    </row>
    <row r="485" spans="1:8" x14ac:dyDescent="0.3">
      <c r="A485">
        <v>1</v>
      </c>
      <c r="B485">
        <v>1</v>
      </c>
      <c r="C485" t="s">
        <v>493</v>
      </c>
      <c r="D485" t="s">
        <v>11</v>
      </c>
      <c r="E485">
        <v>35</v>
      </c>
      <c r="F485">
        <v>1</v>
      </c>
      <c r="G485">
        <v>0</v>
      </c>
      <c r="H485">
        <v>90</v>
      </c>
    </row>
    <row r="486" spans="1:8" x14ac:dyDescent="0.3">
      <c r="A486">
        <v>0</v>
      </c>
      <c r="B486">
        <v>1</v>
      </c>
      <c r="C486" t="s">
        <v>494</v>
      </c>
      <c r="D486" t="s">
        <v>9</v>
      </c>
      <c r="E486">
        <v>58</v>
      </c>
      <c r="F486">
        <v>0</v>
      </c>
      <c r="G486">
        <v>0</v>
      </c>
      <c r="H486">
        <v>29.7</v>
      </c>
    </row>
    <row r="487" spans="1:8" x14ac:dyDescent="0.3">
      <c r="A487">
        <v>0</v>
      </c>
      <c r="B487">
        <v>3</v>
      </c>
      <c r="C487" t="s">
        <v>495</v>
      </c>
      <c r="D487" t="s">
        <v>9</v>
      </c>
      <c r="E487">
        <v>30</v>
      </c>
      <c r="F487">
        <v>0</v>
      </c>
      <c r="G487">
        <v>0</v>
      </c>
      <c r="H487">
        <v>8.0500000000000007</v>
      </c>
    </row>
    <row r="488" spans="1:8" x14ac:dyDescent="0.3">
      <c r="A488">
        <v>1</v>
      </c>
      <c r="B488">
        <v>3</v>
      </c>
      <c r="C488" t="s">
        <v>496</v>
      </c>
      <c r="D488" t="s">
        <v>9</v>
      </c>
      <c r="E488">
        <v>9</v>
      </c>
      <c r="F488">
        <v>1</v>
      </c>
      <c r="G488">
        <v>1</v>
      </c>
      <c r="H488">
        <v>15.9</v>
      </c>
    </row>
    <row r="489" spans="1:8" x14ac:dyDescent="0.3">
      <c r="A489">
        <v>0</v>
      </c>
      <c r="B489">
        <v>3</v>
      </c>
      <c r="C489" t="s">
        <v>497</v>
      </c>
      <c r="D489" t="s">
        <v>9</v>
      </c>
      <c r="E489">
        <v>19</v>
      </c>
      <c r="F489">
        <v>1</v>
      </c>
      <c r="G489">
        <v>0</v>
      </c>
      <c r="H489">
        <v>19.966699999999999</v>
      </c>
    </row>
    <row r="490" spans="1:8" x14ac:dyDescent="0.3">
      <c r="A490">
        <v>0</v>
      </c>
      <c r="B490">
        <v>3</v>
      </c>
      <c r="C490" t="s">
        <v>498</v>
      </c>
      <c r="D490" t="s">
        <v>9</v>
      </c>
      <c r="E490">
        <v>21</v>
      </c>
      <c r="F490">
        <v>0</v>
      </c>
      <c r="G490">
        <v>0</v>
      </c>
      <c r="H490">
        <v>7.25</v>
      </c>
    </row>
    <row r="491" spans="1:8" x14ac:dyDescent="0.3">
      <c r="A491">
        <v>0</v>
      </c>
      <c r="B491">
        <v>1</v>
      </c>
      <c r="C491" t="s">
        <v>499</v>
      </c>
      <c r="D491" t="s">
        <v>9</v>
      </c>
      <c r="E491">
        <v>55</v>
      </c>
      <c r="F491">
        <v>0</v>
      </c>
      <c r="G491">
        <v>0</v>
      </c>
      <c r="H491">
        <v>30.5</v>
      </c>
    </row>
    <row r="492" spans="1:8" x14ac:dyDescent="0.3">
      <c r="A492">
        <v>0</v>
      </c>
      <c r="B492">
        <v>1</v>
      </c>
      <c r="C492" t="s">
        <v>500</v>
      </c>
      <c r="D492" t="s">
        <v>9</v>
      </c>
      <c r="E492">
        <v>71</v>
      </c>
      <c r="F492">
        <v>0</v>
      </c>
      <c r="G492">
        <v>0</v>
      </c>
      <c r="H492">
        <v>49.504199999999997</v>
      </c>
    </row>
    <row r="493" spans="1:8" x14ac:dyDescent="0.3">
      <c r="A493">
        <v>0</v>
      </c>
      <c r="B493">
        <v>3</v>
      </c>
      <c r="C493" t="s">
        <v>501</v>
      </c>
      <c r="D493" t="s">
        <v>9</v>
      </c>
      <c r="E493">
        <v>21</v>
      </c>
      <c r="F493">
        <v>0</v>
      </c>
      <c r="G493">
        <v>0</v>
      </c>
      <c r="H493">
        <v>8.0500000000000007</v>
      </c>
    </row>
    <row r="494" spans="1:8" x14ac:dyDescent="0.3">
      <c r="A494">
        <v>0</v>
      </c>
      <c r="B494">
        <v>3</v>
      </c>
      <c r="C494" t="s">
        <v>502</v>
      </c>
      <c r="D494" t="s">
        <v>9</v>
      </c>
      <c r="E494">
        <v>26</v>
      </c>
      <c r="F494">
        <v>0</v>
      </c>
      <c r="G494">
        <v>0</v>
      </c>
      <c r="H494">
        <v>14.458299999999999</v>
      </c>
    </row>
    <row r="495" spans="1:8" x14ac:dyDescent="0.3">
      <c r="A495">
        <v>1</v>
      </c>
      <c r="B495">
        <v>1</v>
      </c>
      <c r="C495" t="s">
        <v>503</v>
      </c>
      <c r="D495" t="s">
        <v>11</v>
      </c>
      <c r="E495">
        <v>54</v>
      </c>
      <c r="F495">
        <v>1</v>
      </c>
      <c r="G495">
        <v>0</v>
      </c>
      <c r="H495">
        <v>78.2667</v>
      </c>
    </row>
    <row r="496" spans="1:8" x14ac:dyDescent="0.3">
      <c r="A496">
        <v>0</v>
      </c>
      <c r="B496">
        <v>3</v>
      </c>
      <c r="C496" t="s">
        <v>504</v>
      </c>
      <c r="D496" t="s">
        <v>9</v>
      </c>
      <c r="E496">
        <v>55</v>
      </c>
      <c r="F496">
        <v>0</v>
      </c>
      <c r="G496">
        <v>0</v>
      </c>
      <c r="H496">
        <v>15.1</v>
      </c>
    </row>
    <row r="497" spans="1:8" x14ac:dyDescent="0.3">
      <c r="A497">
        <v>0</v>
      </c>
      <c r="B497">
        <v>1</v>
      </c>
      <c r="C497" t="s">
        <v>505</v>
      </c>
      <c r="D497" t="s">
        <v>11</v>
      </c>
      <c r="E497">
        <v>25</v>
      </c>
      <c r="F497">
        <v>1</v>
      </c>
      <c r="G497">
        <v>2</v>
      </c>
      <c r="H497">
        <v>151.55000000000001</v>
      </c>
    </row>
    <row r="498" spans="1:8" x14ac:dyDescent="0.3">
      <c r="A498">
        <v>0</v>
      </c>
      <c r="B498">
        <v>3</v>
      </c>
      <c r="C498" t="s">
        <v>506</v>
      </c>
      <c r="D498" t="s">
        <v>9</v>
      </c>
      <c r="E498">
        <v>24</v>
      </c>
      <c r="F498">
        <v>0</v>
      </c>
      <c r="G498">
        <v>0</v>
      </c>
      <c r="H498">
        <v>7.7957999999999998</v>
      </c>
    </row>
    <row r="499" spans="1:8" x14ac:dyDescent="0.3">
      <c r="A499">
        <v>0</v>
      </c>
      <c r="B499">
        <v>3</v>
      </c>
      <c r="C499" t="s">
        <v>507</v>
      </c>
      <c r="D499" t="s">
        <v>9</v>
      </c>
      <c r="E499">
        <v>17</v>
      </c>
      <c r="F499">
        <v>0</v>
      </c>
      <c r="G499">
        <v>0</v>
      </c>
      <c r="H499">
        <v>8.6624999999999996</v>
      </c>
    </row>
    <row r="500" spans="1:8" x14ac:dyDescent="0.3">
      <c r="A500">
        <v>0</v>
      </c>
      <c r="B500">
        <v>3</v>
      </c>
      <c r="C500" t="s">
        <v>508</v>
      </c>
      <c r="D500" t="s">
        <v>11</v>
      </c>
      <c r="E500">
        <v>21</v>
      </c>
      <c r="F500">
        <v>0</v>
      </c>
      <c r="G500">
        <v>0</v>
      </c>
      <c r="H500">
        <v>7.75</v>
      </c>
    </row>
    <row r="501" spans="1:8" x14ac:dyDescent="0.3">
      <c r="A501">
        <v>0</v>
      </c>
      <c r="B501">
        <v>3</v>
      </c>
      <c r="C501" t="s">
        <v>509</v>
      </c>
      <c r="D501" t="s">
        <v>11</v>
      </c>
      <c r="E501">
        <v>21</v>
      </c>
      <c r="F501">
        <v>0</v>
      </c>
      <c r="G501">
        <v>0</v>
      </c>
      <c r="H501">
        <v>7.6292</v>
      </c>
    </row>
    <row r="502" spans="1:8" x14ac:dyDescent="0.3">
      <c r="A502">
        <v>0</v>
      </c>
      <c r="B502">
        <v>3</v>
      </c>
      <c r="C502" t="s">
        <v>510</v>
      </c>
      <c r="D502" t="s">
        <v>11</v>
      </c>
      <c r="E502">
        <v>37</v>
      </c>
      <c r="F502">
        <v>0</v>
      </c>
      <c r="G502">
        <v>0</v>
      </c>
      <c r="H502">
        <v>9.5875000000000004</v>
      </c>
    </row>
    <row r="503" spans="1:8" x14ac:dyDescent="0.3">
      <c r="A503">
        <v>1</v>
      </c>
      <c r="B503">
        <v>1</v>
      </c>
      <c r="C503" t="s">
        <v>511</v>
      </c>
      <c r="D503" t="s">
        <v>11</v>
      </c>
      <c r="E503">
        <v>16</v>
      </c>
      <c r="F503">
        <v>0</v>
      </c>
      <c r="G503">
        <v>0</v>
      </c>
      <c r="H503">
        <v>86.5</v>
      </c>
    </row>
    <row r="504" spans="1:8" x14ac:dyDescent="0.3">
      <c r="A504">
        <v>0</v>
      </c>
      <c r="B504">
        <v>1</v>
      </c>
      <c r="C504" t="s">
        <v>512</v>
      </c>
      <c r="D504" t="s">
        <v>9</v>
      </c>
      <c r="E504">
        <v>18</v>
      </c>
      <c r="F504">
        <v>1</v>
      </c>
      <c r="G504">
        <v>0</v>
      </c>
      <c r="H504">
        <v>108.9</v>
      </c>
    </row>
    <row r="505" spans="1:8" x14ac:dyDescent="0.3">
      <c r="A505">
        <v>1</v>
      </c>
      <c r="B505">
        <v>2</v>
      </c>
      <c r="C505" t="s">
        <v>513</v>
      </c>
      <c r="D505" t="s">
        <v>11</v>
      </c>
      <c r="E505">
        <v>33</v>
      </c>
      <c r="F505">
        <v>0</v>
      </c>
      <c r="G505">
        <v>2</v>
      </c>
      <c r="H505">
        <v>26</v>
      </c>
    </row>
    <row r="506" spans="1:8" x14ac:dyDescent="0.3">
      <c r="A506">
        <v>1</v>
      </c>
      <c r="B506">
        <v>1</v>
      </c>
      <c r="C506" t="s">
        <v>514</v>
      </c>
      <c r="D506" t="s">
        <v>9</v>
      </c>
      <c r="E506">
        <v>37</v>
      </c>
      <c r="F506">
        <v>0</v>
      </c>
      <c r="G506">
        <v>0</v>
      </c>
      <c r="H506">
        <v>26.55</v>
      </c>
    </row>
    <row r="507" spans="1:8" x14ac:dyDescent="0.3">
      <c r="A507">
        <v>0</v>
      </c>
      <c r="B507">
        <v>3</v>
      </c>
      <c r="C507" t="s">
        <v>515</v>
      </c>
      <c r="D507" t="s">
        <v>9</v>
      </c>
      <c r="E507">
        <v>28</v>
      </c>
      <c r="F507">
        <v>0</v>
      </c>
      <c r="G507">
        <v>0</v>
      </c>
      <c r="H507">
        <v>22.524999999999999</v>
      </c>
    </row>
    <row r="508" spans="1:8" x14ac:dyDescent="0.3">
      <c r="A508">
        <v>1</v>
      </c>
      <c r="B508">
        <v>3</v>
      </c>
      <c r="C508" t="s">
        <v>516</v>
      </c>
      <c r="D508" t="s">
        <v>9</v>
      </c>
      <c r="E508">
        <v>26</v>
      </c>
      <c r="F508">
        <v>0</v>
      </c>
      <c r="G508">
        <v>0</v>
      </c>
      <c r="H508">
        <v>56.495800000000003</v>
      </c>
    </row>
    <row r="509" spans="1:8" x14ac:dyDescent="0.3">
      <c r="A509">
        <v>1</v>
      </c>
      <c r="B509">
        <v>3</v>
      </c>
      <c r="C509" t="s">
        <v>517</v>
      </c>
      <c r="D509" t="s">
        <v>9</v>
      </c>
      <c r="E509">
        <v>29</v>
      </c>
      <c r="F509">
        <v>0</v>
      </c>
      <c r="G509">
        <v>0</v>
      </c>
      <c r="H509">
        <v>7.75</v>
      </c>
    </row>
    <row r="510" spans="1:8" x14ac:dyDescent="0.3">
      <c r="A510">
        <v>0</v>
      </c>
      <c r="B510">
        <v>3</v>
      </c>
      <c r="C510" t="s">
        <v>518</v>
      </c>
      <c r="D510" t="s">
        <v>9</v>
      </c>
      <c r="E510">
        <v>66</v>
      </c>
      <c r="F510">
        <v>0</v>
      </c>
      <c r="G510">
        <v>0</v>
      </c>
      <c r="H510">
        <v>8.0500000000000007</v>
      </c>
    </row>
    <row r="511" spans="1:8" x14ac:dyDescent="0.3">
      <c r="A511">
        <v>1</v>
      </c>
      <c r="B511">
        <v>1</v>
      </c>
      <c r="C511" t="s">
        <v>519</v>
      </c>
      <c r="D511" t="s">
        <v>9</v>
      </c>
      <c r="E511">
        <v>36</v>
      </c>
      <c r="F511">
        <v>0</v>
      </c>
      <c r="G511">
        <v>0</v>
      </c>
      <c r="H511">
        <v>26.287500000000001</v>
      </c>
    </row>
    <row r="512" spans="1:8" x14ac:dyDescent="0.3">
      <c r="A512">
        <v>1</v>
      </c>
      <c r="B512">
        <v>1</v>
      </c>
      <c r="C512" t="s">
        <v>520</v>
      </c>
      <c r="D512" t="s">
        <v>11</v>
      </c>
      <c r="E512">
        <v>54</v>
      </c>
      <c r="F512">
        <v>1</v>
      </c>
      <c r="G512">
        <v>0</v>
      </c>
      <c r="H512">
        <v>59.4</v>
      </c>
    </row>
    <row r="513" spans="1:8" x14ac:dyDescent="0.3">
      <c r="A513">
        <v>0</v>
      </c>
      <c r="B513">
        <v>3</v>
      </c>
      <c r="C513" t="s">
        <v>521</v>
      </c>
      <c r="D513" t="s">
        <v>9</v>
      </c>
      <c r="E513">
        <v>24</v>
      </c>
      <c r="F513">
        <v>0</v>
      </c>
      <c r="G513">
        <v>0</v>
      </c>
      <c r="H513">
        <v>7.4958</v>
      </c>
    </row>
    <row r="514" spans="1:8" x14ac:dyDescent="0.3">
      <c r="A514">
        <v>0</v>
      </c>
      <c r="B514">
        <v>1</v>
      </c>
      <c r="C514" t="s">
        <v>522</v>
      </c>
      <c r="D514" t="s">
        <v>9</v>
      </c>
      <c r="E514">
        <v>47</v>
      </c>
      <c r="F514">
        <v>0</v>
      </c>
      <c r="G514">
        <v>0</v>
      </c>
      <c r="H514">
        <v>34.020800000000001</v>
      </c>
    </row>
    <row r="515" spans="1:8" x14ac:dyDescent="0.3">
      <c r="A515">
        <v>1</v>
      </c>
      <c r="B515">
        <v>2</v>
      </c>
      <c r="C515" t="s">
        <v>523</v>
      </c>
      <c r="D515" t="s">
        <v>11</v>
      </c>
      <c r="E515">
        <v>34</v>
      </c>
      <c r="F515">
        <v>0</v>
      </c>
      <c r="G515">
        <v>0</v>
      </c>
      <c r="H515">
        <v>10.5</v>
      </c>
    </row>
    <row r="516" spans="1:8" x14ac:dyDescent="0.3">
      <c r="A516">
        <v>0</v>
      </c>
      <c r="B516">
        <v>3</v>
      </c>
      <c r="C516" t="s">
        <v>524</v>
      </c>
      <c r="D516" t="s">
        <v>9</v>
      </c>
      <c r="E516">
        <v>30</v>
      </c>
      <c r="F516">
        <v>0</v>
      </c>
      <c r="G516">
        <v>0</v>
      </c>
      <c r="H516">
        <v>24.15</v>
      </c>
    </row>
    <row r="517" spans="1:8" x14ac:dyDescent="0.3">
      <c r="A517">
        <v>1</v>
      </c>
      <c r="B517">
        <v>2</v>
      </c>
      <c r="C517" t="s">
        <v>525</v>
      </c>
      <c r="D517" t="s">
        <v>11</v>
      </c>
      <c r="E517">
        <v>36</v>
      </c>
      <c r="F517">
        <v>1</v>
      </c>
      <c r="G517">
        <v>0</v>
      </c>
      <c r="H517">
        <v>26</v>
      </c>
    </row>
    <row r="518" spans="1:8" x14ac:dyDescent="0.3">
      <c r="A518">
        <v>0</v>
      </c>
      <c r="B518">
        <v>3</v>
      </c>
      <c r="C518" t="s">
        <v>526</v>
      </c>
      <c r="D518" t="s">
        <v>9</v>
      </c>
      <c r="E518">
        <v>32</v>
      </c>
      <c r="F518">
        <v>0</v>
      </c>
      <c r="G518">
        <v>0</v>
      </c>
      <c r="H518">
        <v>7.8958000000000004</v>
      </c>
    </row>
    <row r="519" spans="1:8" x14ac:dyDescent="0.3">
      <c r="A519">
        <v>1</v>
      </c>
      <c r="B519">
        <v>1</v>
      </c>
      <c r="C519" t="s">
        <v>527</v>
      </c>
      <c r="D519" t="s">
        <v>11</v>
      </c>
      <c r="E519">
        <v>30</v>
      </c>
      <c r="F519">
        <v>0</v>
      </c>
      <c r="G519">
        <v>0</v>
      </c>
      <c r="H519">
        <v>93.5</v>
      </c>
    </row>
    <row r="520" spans="1:8" x14ac:dyDescent="0.3">
      <c r="A520">
        <v>0</v>
      </c>
      <c r="B520">
        <v>3</v>
      </c>
      <c r="C520" t="s">
        <v>528</v>
      </c>
      <c r="D520" t="s">
        <v>9</v>
      </c>
      <c r="E520">
        <v>22</v>
      </c>
      <c r="F520">
        <v>0</v>
      </c>
      <c r="G520">
        <v>0</v>
      </c>
      <c r="H520">
        <v>7.8958000000000004</v>
      </c>
    </row>
    <row r="521" spans="1:8" x14ac:dyDescent="0.3">
      <c r="A521">
        <v>0</v>
      </c>
      <c r="B521">
        <v>3</v>
      </c>
      <c r="C521" t="s">
        <v>529</v>
      </c>
      <c r="D521" t="s">
        <v>9</v>
      </c>
      <c r="E521">
        <v>35</v>
      </c>
      <c r="F521">
        <v>0</v>
      </c>
      <c r="G521">
        <v>0</v>
      </c>
      <c r="H521">
        <v>7.2249999999999996</v>
      </c>
    </row>
    <row r="522" spans="1:8" x14ac:dyDescent="0.3">
      <c r="A522">
        <v>1</v>
      </c>
      <c r="B522">
        <v>1</v>
      </c>
      <c r="C522" t="s">
        <v>530</v>
      </c>
      <c r="D522" t="s">
        <v>11</v>
      </c>
      <c r="E522">
        <v>44</v>
      </c>
      <c r="F522">
        <v>0</v>
      </c>
      <c r="G522">
        <v>1</v>
      </c>
      <c r="H522">
        <v>57.979199999999999</v>
      </c>
    </row>
    <row r="523" spans="1:8" x14ac:dyDescent="0.3">
      <c r="A523">
        <v>0</v>
      </c>
      <c r="B523">
        <v>3</v>
      </c>
      <c r="C523" t="s">
        <v>531</v>
      </c>
      <c r="D523" t="s">
        <v>9</v>
      </c>
      <c r="E523">
        <v>18</v>
      </c>
      <c r="F523">
        <v>0</v>
      </c>
      <c r="G523">
        <v>0</v>
      </c>
      <c r="H523">
        <v>7.2291999999999996</v>
      </c>
    </row>
    <row r="524" spans="1:8" x14ac:dyDescent="0.3">
      <c r="A524">
        <v>0</v>
      </c>
      <c r="B524">
        <v>3</v>
      </c>
      <c r="C524" t="s">
        <v>532</v>
      </c>
      <c r="D524" t="s">
        <v>9</v>
      </c>
      <c r="E524">
        <v>40.5</v>
      </c>
      <c r="F524">
        <v>0</v>
      </c>
      <c r="G524">
        <v>0</v>
      </c>
      <c r="H524">
        <v>7.75</v>
      </c>
    </row>
    <row r="525" spans="1:8" x14ac:dyDescent="0.3">
      <c r="A525">
        <v>1</v>
      </c>
      <c r="B525">
        <v>2</v>
      </c>
      <c r="C525" t="s">
        <v>533</v>
      </c>
      <c r="D525" t="s">
        <v>11</v>
      </c>
      <c r="E525">
        <v>50</v>
      </c>
      <c r="F525">
        <v>0</v>
      </c>
      <c r="G525">
        <v>0</v>
      </c>
      <c r="H525">
        <v>10.5</v>
      </c>
    </row>
    <row r="526" spans="1:8" x14ac:dyDescent="0.3">
      <c r="A526">
        <v>0</v>
      </c>
      <c r="B526">
        <v>1</v>
      </c>
      <c r="C526" t="s">
        <v>534</v>
      </c>
      <c r="D526" t="s">
        <v>9</v>
      </c>
      <c r="E526">
        <v>49</v>
      </c>
      <c r="F526">
        <v>0</v>
      </c>
      <c r="G526">
        <v>0</v>
      </c>
      <c r="H526">
        <v>221.7792</v>
      </c>
    </row>
    <row r="527" spans="1:8" x14ac:dyDescent="0.3">
      <c r="A527">
        <v>0</v>
      </c>
      <c r="B527">
        <v>3</v>
      </c>
      <c r="C527" t="s">
        <v>535</v>
      </c>
      <c r="D527" t="s">
        <v>9</v>
      </c>
      <c r="E527">
        <v>39</v>
      </c>
      <c r="F527">
        <v>0</v>
      </c>
      <c r="G527">
        <v>0</v>
      </c>
      <c r="H527">
        <v>7.9249999999999998</v>
      </c>
    </row>
    <row r="528" spans="1:8" x14ac:dyDescent="0.3">
      <c r="A528">
        <v>0</v>
      </c>
      <c r="B528">
        <v>2</v>
      </c>
      <c r="C528" t="s">
        <v>536</v>
      </c>
      <c r="D528" t="s">
        <v>9</v>
      </c>
      <c r="E528">
        <v>23</v>
      </c>
      <c r="F528">
        <v>2</v>
      </c>
      <c r="G528">
        <v>1</v>
      </c>
      <c r="H528">
        <v>11.5</v>
      </c>
    </row>
    <row r="529" spans="1:8" x14ac:dyDescent="0.3">
      <c r="A529">
        <v>1</v>
      </c>
      <c r="B529">
        <v>2</v>
      </c>
      <c r="C529" t="s">
        <v>537</v>
      </c>
      <c r="D529" t="s">
        <v>11</v>
      </c>
      <c r="E529">
        <v>2</v>
      </c>
      <c r="F529">
        <v>1</v>
      </c>
      <c r="G529">
        <v>1</v>
      </c>
      <c r="H529">
        <v>26</v>
      </c>
    </row>
    <row r="530" spans="1:8" x14ac:dyDescent="0.3">
      <c r="A530">
        <v>0</v>
      </c>
      <c r="B530">
        <v>3</v>
      </c>
      <c r="C530" t="s">
        <v>538</v>
      </c>
      <c r="D530" t="s">
        <v>9</v>
      </c>
      <c r="E530">
        <v>17</v>
      </c>
      <c r="F530">
        <v>0</v>
      </c>
      <c r="G530">
        <v>0</v>
      </c>
      <c r="H530">
        <v>7.2291999999999996</v>
      </c>
    </row>
    <row r="531" spans="1:8" x14ac:dyDescent="0.3">
      <c r="A531">
        <v>0</v>
      </c>
      <c r="B531">
        <v>3</v>
      </c>
      <c r="C531" t="s">
        <v>539</v>
      </c>
      <c r="D531" t="s">
        <v>9</v>
      </c>
      <c r="E531">
        <v>17</v>
      </c>
      <c r="F531">
        <v>1</v>
      </c>
      <c r="G531">
        <v>1</v>
      </c>
      <c r="H531">
        <v>7.2291999999999996</v>
      </c>
    </row>
    <row r="532" spans="1:8" x14ac:dyDescent="0.3">
      <c r="A532">
        <v>1</v>
      </c>
      <c r="B532">
        <v>3</v>
      </c>
      <c r="C532" t="s">
        <v>540</v>
      </c>
      <c r="D532" t="s">
        <v>11</v>
      </c>
      <c r="E532">
        <v>24</v>
      </c>
      <c r="F532">
        <v>0</v>
      </c>
      <c r="G532">
        <v>2</v>
      </c>
      <c r="H532">
        <v>22.3583</v>
      </c>
    </row>
    <row r="533" spans="1:8" x14ac:dyDescent="0.3">
      <c r="A533">
        <v>0</v>
      </c>
      <c r="B533">
        <v>3</v>
      </c>
      <c r="C533" t="s">
        <v>541</v>
      </c>
      <c r="D533" t="s">
        <v>11</v>
      </c>
      <c r="E533">
        <v>30</v>
      </c>
      <c r="F533">
        <v>0</v>
      </c>
      <c r="G533">
        <v>0</v>
      </c>
      <c r="H533">
        <v>8.6624999999999996</v>
      </c>
    </row>
    <row r="534" spans="1:8" x14ac:dyDescent="0.3">
      <c r="A534">
        <v>1</v>
      </c>
      <c r="B534">
        <v>2</v>
      </c>
      <c r="C534" t="s">
        <v>542</v>
      </c>
      <c r="D534" t="s">
        <v>11</v>
      </c>
      <c r="E534">
        <v>7</v>
      </c>
      <c r="F534">
        <v>0</v>
      </c>
      <c r="G534">
        <v>2</v>
      </c>
      <c r="H534">
        <v>26.25</v>
      </c>
    </row>
    <row r="535" spans="1:8" x14ac:dyDescent="0.3">
      <c r="A535">
        <v>0</v>
      </c>
      <c r="B535">
        <v>1</v>
      </c>
      <c r="C535" t="s">
        <v>543</v>
      </c>
      <c r="D535" t="s">
        <v>9</v>
      </c>
      <c r="E535">
        <v>45</v>
      </c>
      <c r="F535">
        <v>0</v>
      </c>
      <c r="G535">
        <v>0</v>
      </c>
      <c r="H535">
        <v>26.55</v>
      </c>
    </row>
    <row r="536" spans="1:8" x14ac:dyDescent="0.3">
      <c r="A536">
        <v>1</v>
      </c>
      <c r="B536">
        <v>1</v>
      </c>
      <c r="C536" t="s">
        <v>544</v>
      </c>
      <c r="D536" t="s">
        <v>11</v>
      </c>
      <c r="E536">
        <v>30</v>
      </c>
      <c r="F536">
        <v>0</v>
      </c>
      <c r="G536">
        <v>0</v>
      </c>
      <c r="H536">
        <v>106.425</v>
      </c>
    </row>
    <row r="537" spans="1:8" x14ac:dyDescent="0.3">
      <c r="A537">
        <v>0</v>
      </c>
      <c r="B537">
        <v>3</v>
      </c>
      <c r="C537" t="s">
        <v>545</v>
      </c>
      <c r="D537" t="s">
        <v>9</v>
      </c>
      <c r="E537">
        <v>69</v>
      </c>
      <c r="F537">
        <v>0</v>
      </c>
      <c r="G537">
        <v>0</v>
      </c>
      <c r="H537">
        <v>14.5</v>
      </c>
    </row>
    <row r="538" spans="1:8" x14ac:dyDescent="0.3">
      <c r="A538">
        <v>1</v>
      </c>
      <c r="B538">
        <v>1</v>
      </c>
      <c r="C538" t="s">
        <v>546</v>
      </c>
      <c r="D538" t="s">
        <v>11</v>
      </c>
      <c r="E538">
        <v>22</v>
      </c>
      <c r="F538">
        <v>0</v>
      </c>
      <c r="G538">
        <v>2</v>
      </c>
      <c r="H538">
        <v>49.5</v>
      </c>
    </row>
    <row r="539" spans="1:8" x14ac:dyDescent="0.3">
      <c r="A539">
        <v>1</v>
      </c>
      <c r="B539">
        <v>1</v>
      </c>
      <c r="C539" t="s">
        <v>547</v>
      </c>
      <c r="D539" t="s">
        <v>11</v>
      </c>
      <c r="E539">
        <v>36</v>
      </c>
      <c r="F539">
        <v>0</v>
      </c>
      <c r="G539">
        <v>2</v>
      </c>
      <c r="H539">
        <v>71</v>
      </c>
    </row>
    <row r="540" spans="1:8" x14ac:dyDescent="0.3">
      <c r="A540">
        <v>0</v>
      </c>
      <c r="B540">
        <v>3</v>
      </c>
      <c r="C540" t="s">
        <v>548</v>
      </c>
      <c r="D540" t="s">
        <v>11</v>
      </c>
      <c r="E540">
        <v>9</v>
      </c>
      <c r="F540">
        <v>4</v>
      </c>
      <c r="G540">
        <v>2</v>
      </c>
      <c r="H540">
        <v>31.274999999999999</v>
      </c>
    </row>
    <row r="541" spans="1:8" x14ac:dyDescent="0.3">
      <c r="A541">
        <v>0</v>
      </c>
      <c r="B541">
        <v>3</v>
      </c>
      <c r="C541" t="s">
        <v>549</v>
      </c>
      <c r="D541" t="s">
        <v>11</v>
      </c>
      <c r="E541">
        <v>11</v>
      </c>
      <c r="F541">
        <v>4</v>
      </c>
      <c r="G541">
        <v>2</v>
      </c>
      <c r="H541">
        <v>31.274999999999999</v>
      </c>
    </row>
    <row r="542" spans="1:8" x14ac:dyDescent="0.3">
      <c r="A542">
        <v>1</v>
      </c>
      <c r="B542">
        <v>2</v>
      </c>
      <c r="C542" t="s">
        <v>550</v>
      </c>
      <c r="D542" t="s">
        <v>9</v>
      </c>
      <c r="E542">
        <v>32</v>
      </c>
      <c r="F542">
        <v>1</v>
      </c>
      <c r="G542">
        <v>0</v>
      </c>
      <c r="H542">
        <v>26</v>
      </c>
    </row>
    <row r="543" spans="1:8" x14ac:dyDescent="0.3">
      <c r="A543">
        <v>0</v>
      </c>
      <c r="B543">
        <v>1</v>
      </c>
      <c r="C543" t="s">
        <v>551</v>
      </c>
      <c r="D543" t="s">
        <v>9</v>
      </c>
      <c r="E543">
        <v>50</v>
      </c>
      <c r="F543">
        <v>1</v>
      </c>
      <c r="G543">
        <v>0</v>
      </c>
      <c r="H543">
        <v>106.425</v>
      </c>
    </row>
    <row r="544" spans="1:8" x14ac:dyDescent="0.3">
      <c r="A544">
        <v>0</v>
      </c>
      <c r="B544">
        <v>1</v>
      </c>
      <c r="C544" t="s">
        <v>552</v>
      </c>
      <c r="D544" t="s">
        <v>9</v>
      </c>
      <c r="E544">
        <v>64</v>
      </c>
      <c r="F544">
        <v>0</v>
      </c>
      <c r="G544">
        <v>0</v>
      </c>
      <c r="H544">
        <v>26</v>
      </c>
    </row>
    <row r="545" spans="1:8" x14ac:dyDescent="0.3">
      <c r="A545">
        <v>1</v>
      </c>
      <c r="B545">
        <v>2</v>
      </c>
      <c r="C545" t="s">
        <v>553</v>
      </c>
      <c r="D545" t="s">
        <v>11</v>
      </c>
      <c r="E545">
        <v>19</v>
      </c>
      <c r="F545">
        <v>1</v>
      </c>
      <c r="G545">
        <v>0</v>
      </c>
      <c r="H545">
        <v>26</v>
      </c>
    </row>
    <row r="546" spans="1:8" x14ac:dyDescent="0.3">
      <c r="A546">
        <v>1</v>
      </c>
      <c r="B546">
        <v>2</v>
      </c>
      <c r="C546" t="s">
        <v>554</v>
      </c>
      <c r="D546" t="s">
        <v>9</v>
      </c>
      <c r="E546">
        <v>27</v>
      </c>
      <c r="F546">
        <v>0</v>
      </c>
      <c r="G546">
        <v>0</v>
      </c>
      <c r="H546">
        <v>13.862500000000001</v>
      </c>
    </row>
    <row r="547" spans="1:8" x14ac:dyDescent="0.3">
      <c r="A547">
        <v>0</v>
      </c>
      <c r="B547">
        <v>3</v>
      </c>
      <c r="C547" t="s">
        <v>555</v>
      </c>
      <c r="D547" t="s">
        <v>9</v>
      </c>
      <c r="E547">
        <v>33</v>
      </c>
      <c r="F547">
        <v>1</v>
      </c>
      <c r="G547">
        <v>1</v>
      </c>
      <c r="H547">
        <v>20.524999999999999</v>
      </c>
    </row>
    <row r="548" spans="1:8" x14ac:dyDescent="0.3">
      <c r="A548">
        <v>1</v>
      </c>
      <c r="B548">
        <v>2</v>
      </c>
      <c r="C548" t="s">
        <v>556</v>
      </c>
      <c r="D548" t="s">
        <v>9</v>
      </c>
      <c r="E548">
        <v>8</v>
      </c>
      <c r="F548">
        <v>1</v>
      </c>
      <c r="G548">
        <v>1</v>
      </c>
      <c r="H548">
        <v>36.75</v>
      </c>
    </row>
    <row r="549" spans="1:8" x14ac:dyDescent="0.3">
      <c r="A549">
        <v>1</v>
      </c>
      <c r="B549">
        <v>1</v>
      </c>
      <c r="C549" t="s">
        <v>557</v>
      </c>
      <c r="D549" t="s">
        <v>9</v>
      </c>
      <c r="E549">
        <v>17</v>
      </c>
      <c r="F549">
        <v>0</v>
      </c>
      <c r="G549">
        <v>2</v>
      </c>
      <c r="H549">
        <v>110.88330000000001</v>
      </c>
    </row>
    <row r="550" spans="1:8" x14ac:dyDescent="0.3">
      <c r="A550">
        <v>0</v>
      </c>
      <c r="B550">
        <v>2</v>
      </c>
      <c r="C550" t="s">
        <v>558</v>
      </c>
      <c r="D550" t="s">
        <v>9</v>
      </c>
      <c r="E550">
        <v>27</v>
      </c>
      <c r="F550">
        <v>0</v>
      </c>
      <c r="G550">
        <v>0</v>
      </c>
      <c r="H550">
        <v>26</v>
      </c>
    </row>
    <row r="551" spans="1:8" x14ac:dyDescent="0.3">
      <c r="A551">
        <v>0</v>
      </c>
      <c r="B551">
        <v>3</v>
      </c>
      <c r="C551" t="s">
        <v>559</v>
      </c>
      <c r="D551" t="s">
        <v>9</v>
      </c>
      <c r="E551">
        <v>21</v>
      </c>
      <c r="F551">
        <v>0</v>
      </c>
      <c r="G551">
        <v>0</v>
      </c>
      <c r="H551">
        <v>7.8292000000000002</v>
      </c>
    </row>
    <row r="552" spans="1:8" x14ac:dyDescent="0.3">
      <c r="A552">
        <v>1</v>
      </c>
      <c r="B552">
        <v>3</v>
      </c>
      <c r="C552" t="s">
        <v>560</v>
      </c>
      <c r="D552" t="s">
        <v>9</v>
      </c>
      <c r="E552">
        <v>22</v>
      </c>
      <c r="F552">
        <v>0</v>
      </c>
      <c r="G552">
        <v>0</v>
      </c>
      <c r="H552">
        <v>7.2249999999999996</v>
      </c>
    </row>
    <row r="553" spans="1:8" x14ac:dyDescent="0.3">
      <c r="A553">
        <v>1</v>
      </c>
      <c r="B553">
        <v>3</v>
      </c>
      <c r="C553" t="s">
        <v>561</v>
      </c>
      <c r="D553" t="s">
        <v>11</v>
      </c>
      <c r="E553">
        <v>22</v>
      </c>
      <c r="F553">
        <v>0</v>
      </c>
      <c r="G553">
        <v>0</v>
      </c>
      <c r="H553">
        <v>7.7750000000000004</v>
      </c>
    </row>
    <row r="554" spans="1:8" x14ac:dyDescent="0.3">
      <c r="A554">
        <v>0</v>
      </c>
      <c r="B554">
        <v>1</v>
      </c>
      <c r="C554" t="s">
        <v>562</v>
      </c>
      <c r="D554" t="s">
        <v>9</v>
      </c>
      <c r="E554">
        <v>62</v>
      </c>
      <c r="F554">
        <v>0</v>
      </c>
      <c r="G554">
        <v>0</v>
      </c>
      <c r="H554">
        <v>26.55</v>
      </c>
    </row>
    <row r="555" spans="1:8" x14ac:dyDescent="0.3">
      <c r="A555">
        <v>1</v>
      </c>
      <c r="B555">
        <v>1</v>
      </c>
      <c r="C555" t="s">
        <v>563</v>
      </c>
      <c r="D555" t="s">
        <v>11</v>
      </c>
      <c r="E555">
        <v>48</v>
      </c>
      <c r="F555">
        <v>1</v>
      </c>
      <c r="G555">
        <v>0</v>
      </c>
      <c r="H555">
        <v>39.6</v>
      </c>
    </row>
    <row r="556" spans="1:8" x14ac:dyDescent="0.3">
      <c r="A556">
        <v>0</v>
      </c>
      <c r="B556">
        <v>1</v>
      </c>
      <c r="C556" t="s">
        <v>564</v>
      </c>
      <c r="D556" t="s">
        <v>9</v>
      </c>
      <c r="E556">
        <v>45</v>
      </c>
      <c r="F556">
        <v>0</v>
      </c>
      <c r="G556">
        <v>0</v>
      </c>
      <c r="H556">
        <v>227.52500000000001</v>
      </c>
    </row>
    <row r="557" spans="1:8" x14ac:dyDescent="0.3">
      <c r="A557">
        <v>1</v>
      </c>
      <c r="B557">
        <v>1</v>
      </c>
      <c r="C557" t="s">
        <v>565</v>
      </c>
      <c r="D557" t="s">
        <v>11</v>
      </c>
      <c r="E557">
        <v>39</v>
      </c>
      <c r="F557">
        <v>1</v>
      </c>
      <c r="G557">
        <v>1</v>
      </c>
      <c r="H557">
        <v>79.650000000000006</v>
      </c>
    </row>
    <row r="558" spans="1:8" x14ac:dyDescent="0.3">
      <c r="A558">
        <v>1</v>
      </c>
      <c r="B558">
        <v>3</v>
      </c>
      <c r="C558" t="s">
        <v>566</v>
      </c>
      <c r="D558" t="s">
        <v>11</v>
      </c>
      <c r="E558">
        <v>36</v>
      </c>
      <c r="F558">
        <v>1</v>
      </c>
      <c r="G558">
        <v>0</v>
      </c>
      <c r="H558">
        <v>17.399999999999999</v>
      </c>
    </row>
    <row r="559" spans="1:8" x14ac:dyDescent="0.3">
      <c r="A559">
        <v>0</v>
      </c>
      <c r="B559">
        <v>3</v>
      </c>
      <c r="C559" t="s">
        <v>567</v>
      </c>
      <c r="D559" t="s">
        <v>9</v>
      </c>
      <c r="E559">
        <v>30</v>
      </c>
      <c r="F559">
        <v>0</v>
      </c>
      <c r="G559">
        <v>0</v>
      </c>
      <c r="H559">
        <v>7.75</v>
      </c>
    </row>
    <row r="560" spans="1:8" x14ac:dyDescent="0.3">
      <c r="A560">
        <v>0</v>
      </c>
      <c r="B560">
        <v>3</v>
      </c>
      <c r="C560" t="s">
        <v>568</v>
      </c>
      <c r="D560" t="s">
        <v>9</v>
      </c>
      <c r="E560">
        <v>40</v>
      </c>
      <c r="F560">
        <v>0</v>
      </c>
      <c r="G560">
        <v>0</v>
      </c>
      <c r="H560">
        <v>7.8958000000000004</v>
      </c>
    </row>
    <row r="561" spans="1:8" x14ac:dyDescent="0.3">
      <c r="A561">
        <v>0</v>
      </c>
      <c r="B561">
        <v>2</v>
      </c>
      <c r="C561" t="s">
        <v>569</v>
      </c>
      <c r="D561" t="s">
        <v>9</v>
      </c>
      <c r="E561">
        <v>28</v>
      </c>
      <c r="F561">
        <v>0</v>
      </c>
      <c r="G561">
        <v>0</v>
      </c>
      <c r="H561">
        <v>13.5</v>
      </c>
    </row>
    <row r="562" spans="1:8" x14ac:dyDescent="0.3">
      <c r="A562">
        <v>0</v>
      </c>
      <c r="B562">
        <v>3</v>
      </c>
      <c r="C562" t="s">
        <v>570</v>
      </c>
      <c r="D562" t="s">
        <v>9</v>
      </c>
      <c r="E562">
        <v>40</v>
      </c>
      <c r="F562">
        <v>0</v>
      </c>
      <c r="G562">
        <v>0</v>
      </c>
      <c r="H562">
        <v>8.0500000000000007</v>
      </c>
    </row>
    <row r="563" spans="1:8" x14ac:dyDescent="0.3">
      <c r="A563">
        <v>0</v>
      </c>
      <c r="B563">
        <v>3</v>
      </c>
      <c r="C563" t="s">
        <v>571</v>
      </c>
      <c r="D563" t="s">
        <v>11</v>
      </c>
      <c r="E563">
        <v>62</v>
      </c>
      <c r="F563">
        <v>0</v>
      </c>
      <c r="G563">
        <v>0</v>
      </c>
      <c r="H563">
        <v>8.0500000000000007</v>
      </c>
    </row>
    <row r="564" spans="1:8" x14ac:dyDescent="0.3">
      <c r="A564">
        <v>0</v>
      </c>
      <c r="B564">
        <v>3</v>
      </c>
      <c r="C564" t="s">
        <v>572</v>
      </c>
      <c r="D564" t="s">
        <v>9</v>
      </c>
      <c r="E564">
        <v>24</v>
      </c>
      <c r="F564">
        <v>2</v>
      </c>
      <c r="G564">
        <v>0</v>
      </c>
      <c r="H564">
        <v>24.15</v>
      </c>
    </row>
    <row r="565" spans="1:8" x14ac:dyDescent="0.3">
      <c r="A565">
        <v>0</v>
      </c>
      <c r="B565">
        <v>3</v>
      </c>
      <c r="C565" t="s">
        <v>573</v>
      </c>
      <c r="D565" t="s">
        <v>9</v>
      </c>
      <c r="E565">
        <v>19</v>
      </c>
      <c r="F565">
        <v>0</v>
      </c>
      <c r="G565">
        <v>0</v>
      </c>
      <c r="H565">
        <v>7.8958000000000004</v>
      </c>
    </row>
    <row r="566" spans="1:8" x14ac:dyDescent="0.3">
      <c r="A566">
        <v>0</v>
      </c>
      <c r="B566">
        <v>3</v>
      </c>
      <c r="C566" t="s">
        <v>574</v>
      </c>
      <c r="D566" t="s">
        <v>11</v>
      </c>
      <c r="E566">
        <v>29</v>
      </c>
      <c r="F566">
        <v>0</v>
      </c>
      <c r="G566">
        <v>4</v>
      </c>
      <c r="H566">
        <v>21.074999999999999</v>
      </c>
    </row>
    <row r="567" spans="1:8" x14ac:dyDescent="0.3">
      <c r="A567">
        <v>0</v>
      </c>
      <c r="B567">
        <v>3</v>
      </c>
      <c r="C567" t="s">
        <v>575</v>
      </c>
      <c r="D567" t="s">
        <v>9</v>
      </c>
      <c r="E567">
        <v>28</v>
      </c>
      <c r="F567">
        <v>0</v>
      </c>
      <c r="G567">
        <v>0</v>
      </c>
      <c r="H567">
        <v>7.2291999999999996</v>
      </c>
    </row>
    <row r="568" spans="1:8" x14ac:dyDescent="0.3">
      <c r="A568">
        <v>1</v>
      </c>
      <c r="B568">
        <v>3</v>
      </c>
      <c r="C568" t="s">
        <v>576</v>
      </c>
      <c r="D568" t="s">
        <v>9</v>
      </c>
      <c r="E568">
        <v>32</v>
      </c>
      <c r="F568">
        <v>0</v>
      </c>
      <c r="G568">
        <v>0</v>
      </c>
      <c r="H568">
        <v>7.8541999999999996</v>
      </c>
    </row>
    <row r="569" spans="1:8" x14ac:dyDescent="0.3">
      <c r="A569">
        <v>1</v>
      </c>
      <c r="B569">
        <v>2</v>
      </c>
      <c r="C569" t="s">
        <v>577</v>
      </c>
      <c r="D569" t="s">
        <v>9</v>
      </c>
      <c r="E569">
        <v>62</v>
      </c>
      <c r="F569">
        <v>0</v>
      </c>
      <c r="G569">
        <v>0</v>
      </c>
      <c r="H569">
        <v>10.5</v>
      </c>
    </row>
    <row r="570" spans="1:8" x14ac:dyDescent="0.3">
      <c r="A570">
        <v>1</v>
      </c>
      <c r="B570">
        <v>1</v>
      </c>
      <c r="C570" t="s">
        <v>578</v>
      </c>
      <c r="D570" t="s">
        <v>11</v>
      </c>
      <c r="E570">
        <v>53</v>
      </c>
      <c r="F570">
        <v>2</v>
      </c>
      <c r="G570">
        <v>0</v>
      </c>
      <c r="H570">
        <v>51.479199999999999</v>
      </c>
    </row>
    <row r="571" spans="1:8" x14ac:dyDescent="0.3">
      <c r="A571">
        <v>1</v>
      </c>
      <c r="B571">
        <v>1</v>
      </c>
      <c r="C571" t="s">
        <v>579</v>
      </c>
      <c r="D571" t="s">
        <v>9</v>
      </c>
      <c r="E571">
        <v>36</v>
      </c>
      <c r="F571">
        <v>0</v>
      </c>
      <c r="G571">
        <v>0</v>
      </c>
      <c r="H571">
        <v>26.387499999999999</v>
      </c>
    </row>
    <row r="572" spans="1:8" x14ac:dyDescent="0.3">
      <c r="A572">
        <v>1</v>
      </c>
      <c r="B572">
        <v>3</v>
      </c>
      <c r="C572" t="s">
        <v>580</v>
      </c>
      <c r="D572" t="s">
        <v>11</v>
      </c>
      <c r="E572">
        <v>22</v>
      </c>
      <c r="F572">
        <v>0</v>
      </c>
      <c r="G572">
        <v>0</v>
      </c>
      <c r="H572">
        <v>7.75</v>
      </c>
    </row>
    <row r="573" spans="1:8" x14ac:dyDescent="0.3">
      <c r="A573">
        <v>0</v>
      </c>
      <c r="B573">
        <v>3</v>
      </c>
      <c r="C573" t="s">
        <v>581</v>
      </c>
      <c r="D573" t="s">
        <v>9</v>
      </c>
      <c r="E573">
        <v>16</v>
      </c>
      <c r="F573">
        <v>0</v>
      </c>
      <c r="G573">
        <v>0</v>
      </c>
      <c r="H573">
        <v>8.0500000000000007</v>
      </c>
    </row>
    <row r="574" spans="1:8" x14ac:dyDescent="0.3">
      <c r="A574">
        <v>0</v>
      </c>
      <c r="B574">
        <v>3</v>
      </c>
      <c r="C574" t="s">
        <v>582</v>
      </c>
      <c r="D574" t="s">
        <v>9</v>
      </c>
      <c r="E574">
        <v>19</v>
      </c>
      <c r="F574">
        <v>0</v>
      </c>
      <c r="G574">
        <v>0</v>
      </c>
      <c r="H574">
        <v>14.5</v>
      </c>
    </row>
    <row r="575" spans="1:8" x14ac:dyDescent="0.3">
      <c r="A575">
        <v>1</v>
      </c>
      <c r="B575">
        <v>2</v>
      </c>
      <c r="C575" t="s">
        <v>583</v>
      </c>
      <c r="D575" t="s">
        <v>11</v>
      </c>
      <c r="E575">
        <v>34</v>
      </c>
      <c r="F575">
        <v>0</v>
      </c>
      <c r="G575">
        <v>0</v>
      </c>
      <c r="H575">
        <v>13</v>
      </c>
    </row>
    <row r="576" spans="1:8" x14ac:dyDescent="0.3">
      <c r="A576">
        <v>1</v>
      </c>
      <c r="B576">
        <v>1</v>
      </c>
      <c r="C576" t="s">
        <v>584</v>
      </c>
      <c r="D576" t="s">
        <v>11</v>
      </c>
      <c r="E576">
        <v>39</v>
      </c>
      <c r="F576">
        <v>1</v>
      </c>
      <c r="G576">
        <v>0</v>
      </c>
      <c r="H576">
        <v>55.9</v>
      </c>
    </row>
    <row r="577" spans="1:8" x14ac:dyDescent="0.3">
      <c r="A577">
        <v>0</v>
      </c>
      <c r="B577">
        <v>3</v>
      </c>
      <c r="C577" t="s">
        <v>585</v>
      </c>
      <c r="D577" t="s">
        <v>11</v>
      </c>
      <c r="E577">
        <v>18</v>
      </c>
      <c r="F577">
        <v>1</v>
      </c>
      <c r="G577">
        <v>0</v>
      </c>
      <c r="H577">
        <v>14.458299999999999</v>
      </c>
    </row>
    <row r="578" spans="1:8" x14ac:dyDescent="0.3">
      <c r="A578">
        <v>1</v>
      </c>
      <c r="B578">
        <v>3</v>
      </c>
      <c r="C578" t="s">
        <v>586</v>
      </c>
      <c r="D578" t="s">
        <v>9</v>
      </c>
      <c r="E578">
        <v>32</v>
      </c>
      <c r="F578">
        <v>0</v>
      </c>
      <c r="G578">
        <v>0</v>
      </c>
      <c r="H578">
        <v>7.9249999999999998</v>
      </c>
    </row>
    <row r="579" spans="1:8" x14ac:dyDescent="0.3">
      <c r="A579">
        <v>1</v>
      </c>
      <c r="B579">
        <v>2</v>
      </c>
      <c r="C579" t="s">
        <v>587</v>
      </c>
      <c r="D579" t="s">
        <v>11</v>
      </c>
      <c r="E579">
        <v>25</v>
      </c>
      <c r="F579">
        <v>1</v>
      </c>
      <c r="G579">
        <v>1</v>
      </c>
      <c r="H579">
        <v>30</v>
      </c>
    </row>
    <row r="580" spans="1:8" x14ac:dyDescent="0.3">
      <c r="A580">
        <v>1</v>
      </c>
      <c r="B580">
        <v>1</v>
      </c>
      <c r="C580" t="s">
        <v>588</v>
      </c>
      <c r="D580" t="s">
        <v>11</v>
      </c>
      <c r="E580">
        <v>39</v>
      </c>
      <c r="F580">
        <v>1</v>
      </c>
      <c r="G580">
        <v>1</v>
      </c>
      <c r="H580">
        <v>110.88330000000001</v>
      </c>
    </row>
    <row r="581" spans="1:8" x14ac:dyDescent="0.3">
      <c r="A581">
        <v>0</v>
      </c>
      <c r="B581">
        <v>2</v>
      </c>
      <c r="C581" t="s">
        <v>589</v>
      </c>
      <c r="D581" t="s">
        <v>9</v>
      </c>
      <c r="E581">
        <v>54</v>
      </c>
      <c r="F581">
        <v>0</v>
      </c>
      <c r="G581">
        <v>0</v>
      </c>
      <c r="H581">
        <v>26</v>
      </c>
    </row>
    <row r="582" spans="1:8" x14ac:dyDescent="0.3">
      <c r="A582">
        <v>0</v>
      </c>
      <c r="B582">
        <v>1</v>
      </c>
      <c r="C582" t="s">
        <v>590</v>
      </c>
      <c r="D582" t="s">
        <v>9</v>
      </c>
      <c r="E582">
        <v>36</v>
      </c>
      <c r="F582">
        <v>0</v>
      </c>
      <c r="G582">
        <v>0</v>
      </c>
      <c r="H582">
        <v>40.125</v>
      </c>
    </row>
    <row r="583" spans="1:8" x14ac:dyDescent="0.3">
      <c r="A583">
        <v>0</v>
      </c>
      <c r="B583">
        <v>3</v>
      </c>
      <c r="C583" t="s">
        <v>591</v>
      </c>
      <c r="D583" t="s">
        <v>9</v>
      </c>
      <c r="E583">
        <v>16</v>
      </c>
      <c r="F583">
        <v>0</v>
      </c>
      <c r="G583">
        <v>0</v>
      </c>
      <c r="H583">
        <v>8.7125000000000004</v>
      </c>
    </row>
    <row r="584" spans="1:8" x14ac:dyDescent="0.3">
      <c r="A584">
        <v>1</v>
      </c>
      <c r="B584">
        <v>1</v>
      </c>
      <c r="C584" t="s">
        <v>592</v>
      </c>
      <c r="D584" t="s">
        <v>11</v>
      </c>
      <c r="E584">
        <v>18</v>
      </c>
      <c r="F584">
        <v>0</v>
      </c>
      <c r="G584">
        <v>2</v>
      </c>
      <c r="H584">
        <v>79.650000000000006</v>
      </c>
    </row>
    <row r="585" spans="1:8" x14ac:dyDescent="0.3">
      <c r="A585">
        <v>0</v>
      </c>
      <c r="B585">
        <v>2</v>
      </c>
      <c r="C585" t="s">
        <v>593</v>
      </c>
      <c r="D585" t="s">
        <v>9</v>
      </c>
      <c r="E585">
        <v>47</v>
      </c>
      <c r="F585">
        <v>0</v>
      </c>
      <c r="G585">
        <v>0</v>
      </c>
      <c r="H585">
        <v>15</v>
      </c>
    </row>
    <row r="586" spans="1:8" x14ac:dyDescent="0.3">
      <c r="A586">
        <v>1</v>
      </c>
      <c r="B586">
        <v>1</v>
      </c>
      <c r="C586" t="s">
        <v>594</v>
      </c>
      <c r="D586" t="s">
        <v>9</v>
      </c>
      <c r="E586">
        <v>60</v>
      </c>
      <c r="F586">
        <v>1</v>
      </c>
      <c r="G586">
        <v>1</v>
      </c>
      <c r="H586">
        <v>79.2</v>
      </c>
    </row>
    <row r="587" spans="1:8" x14ac:dyDescent="0.3">
      <c r="A587">
        <v>0</v>
      </c>
      <c r="B587">
        <v>3</v>
      </c>
      <c r="C587" t="s">
        <v>595</v>
      </c>
      <c r="D587" t="s">
        <v>9</v>
      </c>
      <c r="E587">
        <v>22</v>
      </c>
      <c r="F587">
        <v>0</v>
      </c>
      <c r="G587">
        <v>0</v>
      </c>
      <c r="H587">
        <v>8.0500000000000007</v>
      </c>
    </row>
    <row r="588" spans="1:8" x14ac:dyDescent="0.3">
      <c r="A588">
        <v>0</v>
      </c>
      <c r="B588">
        <v>3</v>
      </c>
      <c r="C588" t="s">
        <v>596</v>
      </c>
      <c r="D588" t="s">
        <v>9</v>
      </c>
      <c r="E588">
        <v>22</v>
      </c>
      <c r="F588">
        <v>0</v>
      </c>
      <c r="G588">
        <v>0</v>
      </c>
      <c r="H588">
        <v>8.0500000000000007</v>
      </c>
    </row>
    <row r="589" spans="1:8" x14ac:dyDescent="0.3">
      <c r="A589">
        <v>0</v>
      </c>
      <c r="B589">
        <v>3</v>
      </c>
      <c r="C589" t="s">
        <v>597</v>
      </c>
      <c r="D589" t="s">
        <v>9</v>
      </c>
      <c r="E589">
        <v>35</v>
      </c>
      <c r="F589">
        <v>0</v>
      </c>
      <c r="G589">
        <v>0</v>
      </c>
      <c r="H589">
        <v>7.125</v>
      </c>
    </row>
    <row r="590" spans="1:8" x14ac:dyDescent="0.3">
      <c r="A590">
        <v>1</v>
      </c>
      <c r="B590">
        <v>1</v>
      </c>
      <c r="C590" t="s">
        <v>598</v>
      </c>
      <c r="D590" t="s">
        <v>11</v>
      </c>
      <c r="E590">
        <v>52</v>
      </c>
      <c r="F590">
        <v>1</v>
      </c>
      <c r="G590">
        <v>0</v>
      </c>
      <c r="H590">
        <v>78.2667</v>
      </c>
    </row>
    <row r="591" spans="1:8" x14ac:dyDescent="0.3">
      <c r="A591">
        <v>0</v>
      </c>
      <c r="B591">
        <v>3</v>
      </c>
      <c r="C591" t="s">
        <v>599</v>
      </c>
      <c r="D591" t="s">
        <v>9</v>
      </c>
      <c r="E591">
        <v>47</v>
      </c>
      <c r="F591">
        <v>0</v>
      </c>
      <c r="G591">
        <v>0</v>
      </c>
      <c r="H591">
        <v>7.25</v>
      </c>
    </row>
    <row r="592" spans="1:8" x14ac:dyDescent="0.3">
      <c r="A592">
        <v>0</v>
      </c>
      <c r="B592">
        <v>3</v>
      </c>
      <c r="C592" t="s">
        <v>600</v>
      </c>
      <c r="D592" t="s">
        <v>11</v>
      </c>
      <c r="E592">
        <v>40</v>
      </c>
      <c r="F592">
        <v>0</v>
      </c>
      <c r="G592">
        <v>2</v>
      </c>
      <c r="H592">
        <v>7.75</v>
      </c>
    </row>
    <row r="593" spans="1:8" x14ac:dyDescent="0.3">
      <c r="A593">
        <v>0</v>
      </c>
      <c r="B593">
        <v>2</v>
      </c>
      <c r="C593" t="s">
        <v>601</v>
      </c>
      <c r="D593" t="s">
        <v>9</v>
      </c>
      <c r="E593">
        <v>37</v>
      </c>
      <c r="F593">
        <v>1</v>
      </c>
      <c r="G593">
        <v>0</v>
      </c>
      <c r="H593">
        <v>26</v>
      </c>
    </row>
    <row r="594" spans="1:8" x14ac:dyDescent="0.3">
      <c r="A594">
        <v>0</v>
      </c>
      <c r="B594">
        <v>3</v>
      </c>
      <c r="C594" t="s">
        <v>602</v>
      </c>
      <c r="D594" t="s">
        <v>9</v>
      </c>
      <c r="E594">
        <v>36</v>
      </c>
      <c r="F594">
        <v>1</v>
      </c>
      <c r="G594">
        <v>1</v>
      </c>
      <c r="H594">
        <v>24.15</v>
      </c>
    </row>
    <row r="595" spans="1:8" x14ac:dyDescent="0.3">
      <c r="A595">
        <v>1</v>
      </c>
      <c r="B595">
        <v>2</v>
      </c>
      <c r="C595" t="s">
        <v>603</v>
      </c>
      <c r="D595" t="s">
        <v>11</v>
      </c>
      <c r="E595">
        <v>31</v>
      </c>
      <c r="F595">
        <v>0</v>
      </c>
      <c r="G595">
        <v>0</v>
      </c>
      <c r="H595">
        <v>33</v>
      </c>
    </row>
    <row r="596" spans="1:8" x14ac:dyDescent="0.3">
      <c r="A596">
        <v>0</v>
      </c>
      <c r="B596">
        <v>3</v>
      </c>
      <c r="C596" t="s">
        <v>604</v>
      </c>
      <c r="D596" t="s">
        <v>9</v>
      </c>
      <c r="E596">
        <v>49</v>
      </c>
      <c r="F596">
        <v>0</v>
      </c>
      <c r="G596">
        <v>0</v>
      </c>
      <c r="H596">
        <v>0</v>
      </c>
    </row>
    <row r="597" spans="1:8" x14ac:dyDescent="0.3">
      <c r="A597">
        <v>0</v>
      </c>
      <c r="B597">
        <v>3</v>
      </c>
      <c r="C597" t="s">
        <v>605</v>
      </c>
      <c r="D597" t="s">
        <v>9</v>
      </c>
      <c r="E597">
        <v>18</v>
      </c>
      <c r="F597">
        <v>0</v>
      </c>
      <c r="G597">
        <v>0</v>
      </c>
      <c r="H597">
        <v>7.2249999999999996</v>
      </c>
    </row>
    <row r="598" spans="1:8" x14ac:dyDescent="0.3">
      <c r="A598">
        <v>1</v>
      </c>
      <c r="B598">
        <v>1</v>
      </c>
      <c r="C598" t="s">
        <v>606</v>
      </c>
      <c r="D598" t="s">
        <v>9</v>
      </c>
      <c r="E598">
        <v>49</v>
      </c>
      <c r="F598">
        <v>1</v>
      </c>
      <c r="G598">
        <v>0</v>
      </c>
      <c r="H598">
        <v>56.929200000000002</v>
      </c>
    </row>
    <row r="599" spans="1:8" x14ac:dyDescent="0.3">
      <c r="A599">
        <v>1</v>
      </c>
      <c r="B599">
        <v>2</v>
      </c>
      <c r="C599" t="s">
        <v>607</v>
      </c>
      <c r="D599" t="s">
        <v>11</v>
      </c>
      <c r="E599">
        <v>24</v>
      </c>
      <c r="F599">
        <v>2</v>
      </c>
      <c r="G599">
        <v>1</v>
      </c>
      <c r="H599">
        <v>27</v>
      </c>
    </row>
    <row r="600" spans="1:8" x14ac:dyDescent="0.3">
      <c r="A600">
        <v>0</v>
      </c>
      <c r="B600">
        <v>3</v>
      </c>
      <c r="C600" t="s">
        <v>608</v>
      </c>
      <c r="D600" t="s">
        <v>9</v>
      </c>
      <c r="E600">
        <v>42</v>
      </c>
      <c r="F600">
        <v>0</v>
      </c>
      <c r="G600">
        <v>0</v>
      </c>
      <c r="H600">
        <v>7.8958000000000004</v>
      </c>
    </row>
    <row r="601" spans="1:8" x14ac:dyDescent="0.3">
      <c r="A601">
        <v>0</v>
      </c>
      <c r="B601">
        <v>1</v>
      </c>
      <c r="C601" t="s">
        <v>609</v>
      </c>
      <c r="D601" t="s">
        <v>9</v>
      </c>
      <c r="E601">
        <v>37</v>
      </c>
      <c r="F601">
        <v>0</v>
      </c>
      <c r="G601">
        <v>0</v>
      </c>
      <c r="H601">
        <v>42.4</v>
      </c>
    </row>
    <row r="602" spans="1:8" x14ac:dyDescent="0.3">
      <c r="A602">
        <v>0</v>
      </c>
      <c r="B602">
        <v>3</v>
      </c>
      <c r="C602" t="s">
        <v>610</v>
      </c>
      <c r="D602" t="s">
        <v>9</v>
      </c>
      <c r="E602">
        <v>44</v>
      </c>
      <c r="F602">
        <v>0</v>
      </c>
      <c r="G602">
        <v>0</v>
      </c>
      <c r="H602">
        <v>8.0500000000000007</v>
      </c>
    </row>
    <row r="603" spans="1:8" x14ac:dyDescent="0.3">
      <c r="A603">
        <v>1</v>
      </c>
      <c r="B603">
        <v>1</v>
      </c>
      <c r="C603" t="s">
        <v>611</v>
      </c>
      <c r="D603" t="s">
        <v>9</v>
      </c>
      <c r="E603">
        <v>35</v>
      </c>
      <c r="F603">
        <v>0</v>
      </c>
      <c r="G603">
        <v>0</v>
      </c>
      <c r="H603">
        <v>26.55</v>
      </c>
    </row>
    <row r="604" spans="1:8" x14ac:dyDescent="0.3">
      <c r="A604">
        <v>0</v>
      </c>
      <c r="B604">
        <v>3</v>
      </c>
      <c r="C604" t="s">
        <v>612</v>
      </c>
      <c r="D604" t="s">
        <v>9</v>
      </c>
      <c r="E604">
        <v>36</v>
      </c>
      <c r="F604">
        <v>1</v>
      </c>
      <c r="G604">
        <v>0</v>
      </c>
      <c r="H604">
        <v>15.55</v>
      </c>
    </row>
    <row r="605" spans="1:8" x14ac:dyDescent="0.3">
      <c r="A605">
        <v>0</v>
      </c>
      <c r="B605">
        <v>3</v>
      </c>
      <c r="C605" t="s">
        <v>613</v>
      </c>
      <c r="D605" t="s">
        <v>9</v>
      </c>
      <c r="E605">
        <v>30</v>
      </c>
      <c r="F605">
        <v>0</v>
      </c>
      <c r="G605">
        <v>0</v>
      </c>
      <c r="H605">
        <v>7.8958000000000004</v>
      </c>
    </row>
    <row r="606" spans="1:8" x14ac:dyDescent="0.3">
      <c r="A606">
        <v>1</v>
      </c>
      <c r="B606">
        <v>1</v>
      </c>
      <c r="C606" t="s">
        <v>614</v>
      </c>
      <c r="D606" t="s">
        <v>9</v>
      </c>
      <c r="E606">
        <v>27</v>
      </c>
      <c r="F606">
        <v>0</v>
      </c>
      <c r="G606">
        <v>0</v>
      </c>
      <c r="H606">
        <v>30.5</v>
      </c>
    </row>
    <row r="607" spans="1:8" x14ac:dyDescent="0.3">
      <c r="A607">
        <v>1</v>
      </c>
      <c r="B607">
        <v>2</v>
      </c>
      <c r="C607" t="s">
        <v>615</v>
      </c>
      <c r="D607" t="s">
        <v>11</v>
      </c>
      <c r="E607">
        <v>22</v>
      </c>
      <c r="F607">
        <v>1</v>
      </c>
      <c r="G607">
        <v>2</v>
      </c>
      <c r="H607">
        <v>41.5792</v>
      </c>
    </row>
    <row r="608" spans="1:8" x14ac:dyDescent="0.3">
      <c r="A608">
        <v>1</v>
      </c>
      <c r="B608">
        <v>1</v>
      </c>
      <c r="C608" t="s">
        <v>616</v>
      </c>
      <c r="D608" t="s">
        <v>11</v>
      </c>
      <c r="E608">
        <v>40</v>
      </c>
      <c r="F608">
        <v>0</v>
      </c>
      <c r="G608">
        <v>0</v>
      </c>
      <c r="H608">
        <v>153.46250000000001</v>
      </c>
    </row>
    <row r="609" spans="1:8" x14ac:dyDescent="0.3">
      <c r="A609">
        <v>0</v>
      </c>
      <c r="B609">
        <v>3</v>
      </c>
      <c r="C609" t="s">
        <v>617</v>
      </c>
      <c r="D609" t="s">
        <v>11</v>
      </c>
      <c r="E609">
        <v>39</v>
      </c>
      <c r="F609">
        <v>1</v>
      </c>
      <c r="G609">
        <v>5</v>
      </c>
      <c r="H609">
        <v>31.274999999999999</v>
      </c>
    </row>
    <row r="610" spans="1:8" x14ac:dyDescent="0.3">
      <c r="A610">
        <v>0</v>
      </c>
      <c r="B610">
        <v>3</v>
      </c>
      <c r="C610" t="s">
        <v>618</v>
      </c>
      <c r="D610" t="s">
        <v>9</v>
      </c>
      <c r="E610">
        <v>21</v>
      </c>
      <c r="F610">
        <v>0</v>
      </c>
      <c r="G610">
        <v>0</v>
      </c>
      <c r="H610">
        <v>7.05</v>
      </c>
    </row>
    <row r="611" spans="1:8" x14ac:dyDescent="0.3">
      <c r="A611">
        <v>1</v>
      </c>
      <c r="B611">
        <v>3</v>
      </c>
      <c r="C611" t="s">
        <v>619</v>
      </c>
      <c r="D611" t="s">
        <v>11</v>
      </c>
      <c r="E611">
        <v>18</v>
      </c>
      <c r="F611">
        <v>1</v>
      </c>
      <c r="G611">
        <v>0</v>
      </c>
      <c r="H611">
        <v>15.5</v>
      </c>
    </row>
    <row r="612" spans="1:8" x14ac:dyDescent="0.3">
      <c r="A612">
        <v>0</v>
      </c>
      <c r="B612">
        <v>3</v>
      </c>
      <c r="C612" t="s">
        <v>620</v>
      </c>
      <c r="D612" t="s">
        <v>9</v>
      </c>
      <c r="E612">
        <v>22</v>
      </c>
      <c r="F612">
        <v>0</v>
      </c>
      <c r="G612">
        <v>0</v>
      </c>
      <c r="H612">
        <v>7.75</v>
      </c>
    </row>
    <row r="613" spans="1:8" x14ac:dyDescent="0.3">
      <c r="A613">
        <v>0</v>
      </c>
      <c r="B613">
        <v>3</v>
      </c>
      <c r="C613" t="s">
        <v>621</v>
      </c>
      <c r="D613" t="s">
        <v>9</v>
      </c>
      <c r="E613">
        <v>35</v>
      </c>
      <c r="F613">
        <v>0</v>
      </c>
      <c r="G613">
        <v>0</v>
      </c>
      <c r="H613">
        <v>8.0500000000000007</v>
      </c>
    </row>
    <row r="614" spans="1:8" x14ac:dyDescent="0.3">
      <c r="A614">
        <v>1</v>
      </c>
      <c r="B614">
        <v>2</v>
      </c>
      <c r="C614" t="s">
        <v>622</v>
      </c>
      <c r="D614" t="s">
        <v>11</v>
      </c>
      <c r="E614">
        <v>24</v>
      </c>
      <c r="F614">
        <v>1</v>
      </c>
      <c r="G614">
        <v>2</v>
      </c>
      <c r="H614">
        <v>65</v>
      </c>
    </row>
    <row r="615" spans="1:8" x14ac:dyDescent="0.3">
      <c r="A615">
        <v>0</v>
      </c>
      <c r="B615">
        <v>3</v>
      </c>
      <c r="C615" t="s">
        <v>623</v>
      </c>
      <c r="D615" t="s">
        <v>9</v>
      </c>
      <c r="E615">
        <v>34</v>
      </c>
      <c r="F615">
        <v>1</v>
      </c>
      <c r="G615">
        <v>1</v>
      </c>
      <c r="H615">
        <v>14.4</v>
      </c>
    </row>
    <row r="616" spans="1:8" x14ac:dyDescent="0.3">
      <c r="A616">
        <v>0</v>
      </c>
      <c r="B616">
        <v>3</v>
      </c>
      <c r="C616" t="s">
        <v>624</v>
      </c>
      <c r="D616" t="s">
        <v>11</v>
      </c>
      <c r="E616">
        <v>26</v>
      </c>
      <c r="F616">
        <v>1</v>
      </c>
      <c r="G616">
        <v>0</v>
      </c>
      <c r="H616">
        <v>16.100000000000001</v>
      </c>
    </row>
    <row r="617" spans="1:8" x14ac:dyDescent="0.3">
      <c r="A617">
        <v>1</v>
      </c>
      <c r="B617">
        <v>2</v>
      </c>
      <c r="C617" t="s">
        <v>625</v>
      </c>
      <c r="D617" t="s">
        <v>11</v>
      </c>
      <c r="E617">
        <v>4</v>
      </c>
      <c r="F617">
        <v>2</v>
      </c>
      <c r="G617">
        <v>1</v>
      </c>
      <c r="H617">
        <v>39</v>
      </c>
    </row>
    <row r="618" spans="1:8" x14ac:dyDescent="0.3">
      <c r="A618">
        <v>0</v>
      </c>
      <c r="B618">
        <v>2</v>
      </c>
      <c r="C618" t="s">
        <v>626</v>
      </c>
      <c r="D618" t="s">
        <v>9</v>
      </c>
      <c r="E618">
        <v>26</v>
      </c>
      <c r="F618">
        <v>0</v>
      </c>
      <c r="G618">
        <v>0</v>
      </c>
      <c r="H618">
        <v>10.5</v>
      </c>
    </row>
    <row r="619" spans="1:8" x14ac:dyDescent="0.3">
      <c r="A619">
        <v>0</v>
      </c>
      <c r="B619">
        <v>3</v>
      </c>
      <c r="C619" t="s">
        <v>627</v>
      </c>
      <c r="D619" t="s">
        <v>9</v>
      </c>
      <c r="E619">
        <v>27</v>
      </c>
      <c r="F619">
        <v>1</v>
      </c>
      <c r="G619">
        <v>0</v>
      </c>
      <c r="H619">
        <v>14.4542</v>
      </c>
    </row>
    <row r="620" spans="1:8" x14ac:dyDescent="0.3">
      <c r="A620">
        <v>1</v>
      </c>
      <c r="B620">
        <v>1</v>
      </c>
      <c r="C620" t="s">
        <v>628</v>
      </c>
      <c r="D620" t="s">
        <v>9</v>
      </c>
      <c r="E620">
        <v>42</v>
      </c>
      <c r="F620">
        <v>1</v>
      </c>
      <c r="G620">
        <v>0</v>
      </c>
      <c r="H620">
        <v>52.554200000000002</v>
      </c>
    </row>
    <row r="621" spans="1:8" x14ac:dyDescent="0.3">
      <c r="A621">
        <v>1</v>
      </c>
      <c r="B621">
        <v>3</v>
      </c>
      <c r="C621" t="s">
        <v>629</v>
      </c>
      <c r="D621" t="s">
        <v>9</v>
      </c>
      <c r="E621">
        <v>20</v>
      </c>
      <c r="F621">
        <v>1</v>
      </c>
      <c r="G621">
        <v>1</v>
      </c>
      <c r="H621">
        <v>15.7417</v>
      </c>
    </row>
    <row r="622" spans="1:8" x14ac:dyDescent="0.3">
      <c r="A622">
        <v>0</v>
      </c>
      <c r="B622">
        <v>3</v>
      </c>
      <c r="C622" t="s">
        <v>630</v>
      </c>
      <c r="D622" t="s">
        <v>9</v>
      </c>
      <c r="E622">
        <v>21</v>
      </c>
      <c r="F622">
        <v>0</v>
      </c>
      <c r="G622">
        <v>0</v>
      </c>
      <c r="H622">
        <v>7.8541999999999996</v>
      </c>
    </row>
    <row r="623" spans="1:8" x14ac:dyDescent="0.3">
      <c r="A623">
        <v>0</v>
      </c>
      <c r="B623">
        <v>3</v>
      </c>
      <c r="C623" t="s">
        <v>631</v>
      </c>
      <c r="D623" t="s">
        <v>9</v>
      </c>
      <c r="E623">
        <v>21</v>
      </c>
      <c r="F623">
        <v>0</v>
      </c>
      <c r="G623">
        <v>0</v>
      </c>
      <c r="H623">
        <v>16.100000000000001</v>
      </c>
    </row>
    <row r="624" spans="1:8" x14ac:dyDescent="0.3">
      <c r="A624">
        <v>0</v>
      </c>
      <c r="B624">
        <v>1</v>
      </c>
      <c r="C624" t="s">
        <v>632</v>
      </c>
      <c r="D624" t="s">
        <v>9</v>
      </c>
      <c r="E624">
        <v>61</v>
      </c>
      <c r="F624">
        <v>0</v>
      </c>
      <c r="G624">
        <v>0</v>
      </c>
      <c r="H624">
        <v>32.320799999999998</v>
      </c>
    </row>
    <row r="625" spans="1:8" x14ac:dyDescent="0.3">
      <c r="A625">
        <v>0</v>
      </c>
      <c r="B625">
        <v>2</v>
      </c>
      <c r="C625" t="s">
        <v>633</v>
      </c>
      <c r="D625" t="s">
        <v>9</v>
      </c>
      <c r="E625">
        <v>57</v>
      </c>
      <c r="F625">
        <v>0</v>
      </c>
      <c r="G625">
        <v>0</v>
      </c>
      <c r="H625">
        <v>12.35</v>
      </c>
    </row>
    <row r="626" spans="1:8" x14ac:dyDescent="0.3">
      <c r="A626">
        <v>1</v>
      </c>
      <c r="B626">
        <v>1</v>
      </c>
      <c r="C626" t="s">
        <v>634</v>
      </c>
      <c r="D626" t="s">
        <v>11</v>
      </c>
      <c r="E626">
        <v>21</v>
      </c>
      <c r="F626">
        <v>0</v>
      </c>
      <c r="G626">
        <v>0</v>
      </c>
      <c r="H626">
        <v>77.958299999999994</v>
      </c>
    </row>
    <row r="627" spans="1:8" x14ac:dyDescent="0.3">
      <c r="A627">
        <v>0</v>
      </c>
      <c r="B627">
        <v>3</v>
      </c>
      <c r="C627" t="s">
        <v>635</v>
      </c>
      <c r="D627" t="s">
        <v>9</v>
      </c>
      <c r="E627">
        <v>26</v>
      </c>
      <c r="F627">
        <v>0</v>
      </c>
      <c r="G627">
        <v>0</v>
      </c>
      <c r="H627">
        <v>7.8958000000000004</v>
      </c>
    </row>
    <row r="628" spans="1:8" x14ac:dyDescent="0.3">
      <c r="A628">
        <v>0</v>
      </c>
      <c r="B628">
        <v>3</v>
      </c>
      <c r="C628" t="s">
        <v>636</v>
      </c>
      <c r="D628" t="s">
        <v>9</v>
      </c>
      <c r="E628">
        <v>18</v>
      </c>
      <c r="F628">
        <v>0</v>
      </c>
      <c r="G628">
        <v>0</v>
      </c>
      <c r="H628">
        <v>7.7332999999999998</v>
      </c>
    </row>
    <row r="629" spans="1:8" x14ac:dyDescent="0.3">
      <c r="A629">
        <v>1</v>
      </c>
      <c r="B629">
        <v>1</v>
      </c>
      <c r="C629" t="s">
        <v>637</v>
      </c>
      <c r="D629" t="s">
        <v>9</v>
      </c>
      <c r="E629">
        <v>80</v>
      </c>
      <c r="F629">
        <v>0</v>
      </c>
      <c r="G629">
        <v>0</v>
      </c>
      <c r="H629">
        <v>30</v>
      </c>
    </row>
    <row r="630" spans="1:8" x14ac:dyDescent="0.3">
      <c r="A630">
        <v>0</v>
      </c>
      <c r="B630">
        <v>3</v>
      </c>
      <c r="C630" t="s">
        <v>638</v>
      </c>
      <c r="D630" t="s">
        <v>9</v>
      </c>
      <c r="E630">
        <v>51</v>
      </c>
      <c r="F630">
        <v>0</v>
      </c>
      <c r="G630">
        <v>0</v>
      </c>
      <c r="H630">
        <v>7.0541999999999998</v>
      </c>
    </row>
    <row r="631" spans="1:8" x14ac:dyDescent="0.3">
      <c r="A631">
        <v>1</v>
      </c>
      <c r="B631">
        <v>1</v>
      </c>
      <c r="C631" t="s">
        <v>639</v>
      </c>
      <c r="D631" t="s">
        <v>9</v>
      </c>
      <c r="E631">
        <v>32</v>
      </c>
      <c r="F631">
        <v>0</v>
      </c>
      <c r="G631">
        <v>0</v>
      </c>
      <c r="H631">
        <v>30.5</v>
      </c>
    </row>
    <row r="632" spans="1:8" x14ac:dyDescent="0.3">
      <c r="A632">
        <v>0</v>
      </c>
      <c r="B632">
        <v>1</v>
      </c>
      <c r="C632" t="s">
        <v>640</v>
      </c>
      <c r="D632" t="s">
        <v>9</v>
      </c>
      <c r="E632">
        <v>30</v>
      </c>
      <c r="F632">
        <v>0</v>
      </c>
      <c r="G632">
        <v>0</v>
      </c>
      <c r="H632">
        <v>0</v>
      </c>
    </row>
    <row r="633" spans="1:8" x14ac:dyDescent="0.3">
      <c r="A633">
        <v>0</v>
      </c>
      <c r="B633">
        <v>3</v>
      </c>
      <c r="C633" t="s">
        <v>641</v>
      </c>
      <c r="D633" t="s">
        <v>11</v>
      </c>
      <c r="E633">
        <v>9</v>
      </c>
      <c r="F633">
        <v>3</v>
      </c>
      <c r="G633">
        <v>2</v>
      </c>
      <c r="H633">
        <v>27.9</v>
      </c>
    </row>
    <row r="634" spans="1:8" x14ac:dyDescent="0.3">
      <c r="A634">
        <v>1</v>
      </c>
      <c r="B634">
        <v>2</v>
      </c>
      <c r="C634" t="s">
        <v>642</v>
      </c>
      <c r="D634" t="s">
        <v>11</v>
      </c>
      <c r="E634">
        <v>28</v>
      </c>
      <c r="F634">
        <v>0</v>
      </c>
      <c r="G634">
        <v>0</v>
      </c>
      <c r="H634">
        <v>13</v>
      </c>
    </row>
    <row r="635" spans="1:8" x14ac:dyDescent="0.3">
      <c r="A635">
        <v>0</v>
      </c>
      <c r="B635">
        <v>3</v>
      </c>
      <c r="C635" t="s">
        <v>643</v>
      </c>
      <c r="D635" t="s">
        <v>9</v>
      </c>
      <c r="E635">
        <v>32</v>
      </c>
      <c r="F635">
        <v>0</v>
      </c>
      <c r="G635">
        <v>0</v>
      </c>
      <c r="H635">
        <v>7.9249999999999998</v>
      </c>
    </row>
    <row r="636" spans="1:8" x14ac:dyDescent="0.3">
      <c r="A636">
        <v>0</v>
      </c>
      <c r="B636">
        <v>2</v>
      </c>
      <c r="C636" t="s">
        <v>644</v>
      </c>
      <c r="D636" t="s">
        <v>9</v>
      </c>
      <c r="E636">
        <v>31</v>
      </c>
      <c r="F636">
        <v>1</v>
      </c>
      <c r="G636">
        <v>1</v>
      </c>
      <c r="H636">
        <v>26.25</v>
      </c>
    </row>
    <row r="637" spans="1:8" x14ac:dyDescent="0.3">
      <c r="A637">
        <v>0</v>
      </c>
      <c r="B637">
        <v>3</v>
      </c>
      <c r="C637" t="s">
        <v>645</v>
      </c>
      <c r="D637" t="s">
        <v>11</v>
      </c>
      <c r="E637">
        <v>41</v>
      </c>
      <c r="F637">
        <v>0</v>
      </c>
      <c r="G637">
        <v>5</v>
      </c>
      <c r="H637">
        <v>39.6875</v>
      </c>
    </row>
    <row r="638" spans="1:8" x14ac:dyDescent="0.3">
      <c r="A638">
        <v>0</v>
      </c>
      <c r="B638">
        <v>3</v>
      </c>
      <c r="C638" t="s">
        <v>646</v>
      </c>
      <c r="D638" t="s">
        <v>9</v>
      </c>
      <c r="E638">
        <v>37</v>
      </c>
      <c r="F638">
        <v>1</v>
      </c>
      <c r="G638">
        <v>0</v>
      </c>
      <c r="H638">
        <v>16.100000000000001</v>
      </c>
    </row>
    <row r="639" spans="1:8" x14ac:dyDescent="0.3">
      <c r="A639">
        <v>0</v>
      </c>
      <c r="B639">
        <v>3</v>
      </c>
      <c r="C639" t="s">
        <v>647</v>
      </c>
      <c r="D639" t="s">
        <v>9</v>
      </c>
      <c r="E639">
        <v>20</v>
      </c>
      <c r="F639">
        <v>0</v>
      </c>
      <c r="G639">
        <v>0</v>
      </c>
      <c r="H639">
        <v>7.8541999999999996</v>
      </c>
    </row>
    <row r="640" spans="1:8" x14ac:dyDescent="0.3">
      <c r="A640">
        <v>1</v>
      </c>
      <c r="B640">
        <v>1</v>
      </c>
      <c r="C640" t="s">
        <v>648</v>
      </c>
      <c r="D640" t="s">
        <v>11</v>
      </c>
      <c r="E640">
        <v>24</v>
      </c>
      <c r="F640">
        <v>0</v>
      </c>
      <c r="G640">
        <v>0</v>
      </c>
      <c r="H640">
        <v>69.3</v>
      </c>
    </row>
    <row r="641" spans="1:8" x14ac:dyDescent="0.3">
      <c r="A641">
        <v>0</v>
      </c>
      <c r="B641">
        <v>3</v>
      </c>
      <c r="C641" t="s">
        <v>649</v>
      </c>
      <c r="D641" t="s">
        <v>11</v>
      </c>
      <c r="E641">
        <v>2</v>
      </c>
      <c r="F641">
        <v>3</v>
      </c>
      <c r="G641">
        <v>2</v>
      </c>
      <c r="H641">
        <v>27.9</v>
      </c>
    </row>
    <row r="642" spans="1:8" x14ac:dyDescent="0.3">
      <c r="A642">
        <v>1</v>
      </c>
      <c r="B642">
        <v>3</v>
      </c>
      <c r="C642" t="s">
        <v>650</v>
      </c>
      <c r="D642" t="s">
        <v>9</v>
      </c>
      <c r="E642">
        <v>32</v>
      </c>
      <c r="F642">
        <v>0</v>
      </c>
      <c r="G642">
        <v>0</v>
      </c>
      <c r="H642">
        <v>56.495800000000003</v>
      </c>
    </row>
    <row r="643" spans="1:8" x14ac:dyDescent="0.3">
      <c r="A643">
        <v>1</v>
      </c>
      <c r="B643">
        <v>3</v>
      </c>
      <c r="C643" t="s">
        <v>651</v>
      </c>
      <c r="D643" t="s">
        <v>11</v>
      </c>
      <c r="E643">
        <v>0.75</v>
      </c>
      <c r="F643">
        <v>2</v>
      </c>
      <c r="G643">
        <v>1</v>
      </c>
      <c r="H643">
        <v>19.258299999999998</v>
      </c>
    </row>
    <row r="644" spans="1:8" x14ac:dyDescent="0.3">
      <c r="A644">
        <v>1</v>
      </c>
      <c r="B644">
        <v>1</v>
      </c>
      <c r="C644" t="s">
        <v>652</v>
      </c>
      <c r="D644" t="s">
        <v>9</v>
      </c>
      <c r="E644">
        <v>48</v>
      </c>
      <c r="F644">
        <v>1</v>
      </c>
      <c r="G644">
        <v>0</v>
      </c>
      <c r="H644">
        <v>76.729200000000006</v>
      </c>
    </row>
    <row r="645" spans="1:8" x14ac:dyDescent="0.3">
      <c r="A645">
        <v>0</v>
      </c>
      <c r="B645">
        <v>3</v>
      </c>
      <c r="C645" t="s">
        <v>653</v>
      </c>
      <c r="D645" t="s">
        <v>9</v>
      </c>
      <c r="E645">
        <v>19</v>
      </c>
      <c r="F645">
        <v>0</v>
      </c>
      <c r="G645">
        <v>0</v>
      </c>
      <c r="H645">
        <v>7.8958000000000004</v>
      </c>
    </row>
    <row r="646" spans="1:8" x14ac:dyDescent="0.3">
      <c r="A646">
        <v>1</v>
      </c>
      <c r="B646">
        <v>1</v>
      </c>
      <c r="C646" t="s">
        <v>654</v>
      </c>
      <c r="D646" t="s">
        <v>9</v>
      </c>
      <c r="E646">
        <v>56</v>
      </c>
      <c r="F646">
        <v>0</v>
      </c>
      <c r="G646">
        <v>0</v>
      </c>
      <c r="H646">
        <v>35.5</v>
      </c>
    </row>
    <row r="647" spans="1:8" x14ac:dyDescent="0.3">
      <c r="A647">
        <v>0</v>
      </c>
      <c r="B647">
        <v>3</v>
      </c>
      <c r="C647" t="s">
        <v>655</v>
      </c>
      <c r="D647" t="s">
        <v>9</v>
      </c>
      <c r="E647">
        <v>21</v>
      </c>
      <c r="F647">
        <v>0</v>
      </c>
      <c r="G647">
        <v>0</v>
      </c>
      <c r="H647">
        <v>7.55</v>
      </c>
    </row>
    <row r="648" spans="1:8" x14ac:dyDescent="0.3">
      <c r="A648">
        <v>1</v>
      </c>
      <c r="B648">
        <v>3</v>
      </c>
      <c r="C648" t="s">
        <v>656</v>
      </c>
      <c r="D648" t="s">
        <v>11</v>
      </c>
      <c r="E648">
        <v>23</v>
      </c>
      <c r="F648">
        <v>0</v>
      </c>
      <c r="G648">
        <v>0</v>
      </c>
      <c r="H648">
        <v>7.55</v>
      </c>
    </row>
    <row r="649" spans="1:8" x14ac:dyDescent="0.3">
      <c r="A649">
        <v>0</v>
      </c>
      <c r="B649">
        <v>3</v>
      </c>
      <c r="C649" t="s">
        <v>657</v>
      </c>
      <c r="D649" t="s">
        <v>9</v>
      </c>
      <c r="E649">
        <v>23</v>
      </c>
      <c r="F649">
        <v>0</v>
      </c>
      <c r="G649">
        <v>0</v>
      </c>
      <c r="H649">
        <v>7.8958000000000004</v>
      </c>
    </row>
    <row r="650" spans="1:8" x14ac:dyDescent="0.3">
      <c r="A650">
        <v>1</v>
      </c>
      <c r="B650">
        <v>2</v>
      </c>
      <c r="C650" t="s">
        <v>658</v>
      </c>
      <c r="D650" t="s">
        <v>11</v>
      </c>
      <c r="E650">
        <v>18</v>
      </c>
      <c r="F650">
        <v>0</v>
      </c>
      <c r="G650">
        <v>1</v>
      </c>
      <c r="H650">
        <v>23</v>
      </c>
    </row>
    <row r="651" spans="1:8" x14ac:dyDescent="0.3">
      <c r="A651">
        <v>0</v>
      </c>
      <c r="B651">
        <v>3</v>
      </c>
      <c r="C651" t="s">
        <v>659</v>
      </c>
      <c r="D651" t="s">
        <v>9</v>
      </c>
      <c r="E651">
        <v>21</v>
      </c>
      <c r="F651">
        <v>0</v>
      </c>
      <c r="G651">
        <v>0</v>
      </c>
      <c r="H651">
        <v>8.4332999999999991</v>
      </c>
    </row>
    <row r="652" spans="1:8" x14ac:dyDescent="0.3">
      <c r="A652">
        <v>1</v>
      </c>
      <c r="B652">
        <v>3</v>
      </c>
      <c r="C652" t="s">
        <v>660</v>
      </c>
      <c r="D652" t="s">
        <v>11</v>
      </c>
      <c r="E652">
        <v>16</v>
      </c>
      <c r="F652">
        <v>0</v>
      </c>
      <c r="G652">
        <v>0</v>
      </c>
      <c r="H652">
        <v>7.8292000000000002</v>
      </c>
    </row>
    <row r="653" spans="1:8" x14ac:dyDescent="0.3">
      <c r="A653">
        <v>0</v>
      </c>
      <c r="B653">
        <v>3</v>
      </c>
      <c r="C653" t="s">
        <v>661</v>
      </c>
      <c r="D653" t="s">
        <v>11</v>
      </c>
      <c r="E653">
        <v>18</v>
      </c>
      <c r="F653">
        <v>0</v>
      </c>
      <c r="G653">
        <v>0</v>
      </c>
      <c r="H653">
        <v>6.75</v>
      </c>
    </row>
    <row r="654" spans="1:8" x14ac:dyDescent="0.3">
      <c r="A654">
        <v>0</v>
      </c>
      <c r="B654">
        <v>2</v>
      </c>
      <c r="C654" t="s">
        <v>662</v>
      </c>
      <c r="D654" t="s">
        <v>9</v>
      </c>
      <c r="E654">
        <v>24</v>
      </c>
      <c r="F654">
        <v>2</v>
      </c>
      <c r="G654">
        <v>0</v>
      </c>
      <c r="H654">
        <v>73.5</v>
      </c>
    </row>
    <row r="655" spans="1:8" x14ac:dyDescent="0.3">
      <c r="A655">
        <v>0</v>
      </c>
      <c r="B655">
        <v>3</v>
      </c>
      <c r="C655" t="s">
        <v>663</v>
      </c>
      <c r="D655" t="s">
        <v>9</v>
      </c>
      <c r="E655">
        <v>27</v>
      </c>
      <c r="F655">
        <v>0</v>
      </c>
      <c r="G655">
        <v>0</v>
      </c>
      <c r="H655">
        <v>7.8958000000000004</v>
      </c>
    </row>
    <row r="656" spans="1:8" x14ac:dyDescent="0.3">
      <c r="A656">
        <v>0</v>
      </c>
      <c r="B656">
        <v>3</v>
      </c>
      <c r="C656" t="s">
        <v>664</v>
      </c>
      <c r="D656" t="s">
        <v>11</v>
      </c>
      <c r="E656">
        <v>32</v>
      </c>
      <c r="F656">
        <v>1</v>
      </c>
      <c r="G656">
        <v>1</v>
      </c>
      <c r="H656">
        <v>15.5</v>
      </c>
    </row>
    <row r="657" spans="1:8" x14ac:dyDescent="0.3">
      <c r="A657">
        <v>0</v>
      </c>
      <c r="B657">
        <v>2</v>
      </c>
      <c r="C657" t="s">
        <v>665</v>
      </c>
      <c r="D657" t="s">
        <v>9</v>
      </c>
      <c r="E657">
        <v>23</v>
      </c>
      <c r="F657">
        <v>0</v>
      </c>
      <c r="G657">
        <v>0</v>
      </c>
      <c r="H657">
        <v>13</v>
      </c>
    </row>
    <row r="658" spans="1:8" x14ac:dyDescent="0.3">
      <c r="A658">
        <v>0</v>
      </c>
      <c r="B658">
        <v>1</v>
      </c>
      <c r="C658" t="s">
        <v>666</v>
      </c>
      <c r="D658" t="s">
        <v>9</v>
      </c>
      <c r="E658">
        <v>58</v>
      </c>
      <c r="F658">
        <v>0</v>
      </c>
      <c r="G658">
        <v>2</v>
      </c>
      <c r="H658">
        <v>113.27500000000001</v>
      </c>
    </row>
    <row r="659" spans="1:8" x14ac:dyDescent="0.3">
      <c r="A659">
        <v>1</v>
      </c>
      <c r="B659">
        <v>1</v>
      </c>
      <c r="C659" t="s">
        <v>667</v>
      </c>
      <c r="D659" t="s">
        <v>9</v>
      </c>
      <c r="E659">
        <v>50</v>
      </c>
      <c r="F659">
        <v>2</v>
      </c>
      <c r="G659">
        <v>0</v>
      </c>
      <c r="H659">
        <v>133.65</v>
      </c>
    </row>
    <row r="660" spans="1:8" x14ac:dyDescent="0.3">
      <c r="A660">
        <v>0</v>
      </c>
      <c r="B660">
        <v>3</v>
      </c>
      <c r="C660" t="s">
        <v>668</v>
      </c>
      <c r="D660" t="s">
        <v>9</v>
      </c>
      <c r="E660">
        <v>40</v>
      </c>
      <c r="F660">
        <v>0</v>
      </c>
      <c r="G660">
        <v>0</v>
      </c>
      <c r="H660">
        <v>7.2249999999999996</v>
      </c>
    </row>
    <row r="661" spans="1:8" x14ac:dyDescent="0.3">
      <c r="A661">
        <v>0</v>
      </c>
      <c r="B661">
        <v>1</v>
      </c>
      <c r="C661" t="s">
        <v>669</v>
      </c>
      <c r="D661" t="s">
        <v>9</v>
      </c>
      <c r="E661">
        <v>47</v>
      </c>
      <c r="F661">
        <v>0</v>
      </c>
      <c r="G661">
        <v>0</v>
      </c>
      <c r="H661">
        <v>25.587499999999999</v>
      </c>
    </row>
    <row r="662" spans="1:8" x14ac:dyDescent="0.3">
      <c r="A662">
        <v>0</v>
      </c>
      <c r="B662">
        <v>3</v>
      </c>
      <c r="C662" t="s">
        <v>670</v>
      </c>
      <c r="D662" t="s">
        <v>9</v>
      </c>
      <c r="E662">
        <v>36</v>
      </c>
      <c r="F662">
        <v>0</v>
      </c>
      <c r="G662">
        <v>0</v>
      </c>
      <c r="H662">
        <v>7.4958</v>
      </c>
    </row>
    <row r="663" spans="1:8" x14ac:dyDescent="0.3">
      <c r="A663">
        <v>1</v>
      </c>
      <c r="B663">
        <v>3</v>
      </c>
      <c r="C663" t="s">
        <v>671</v>
      </c>
      <c r="D663" t="s">
        <v>9</v>
      </c>
      <c r="E663">
        <v>20</v>
      </c>
      <c r="F663">
        <v>1</v>
      </c>
      <c r="G663">
        <v>0</v>
      </c>
      <c r="H663">
        <v>7.9249999999999998</v>
      </c>
    </row>
    <row r="664" spans="1:8" x14ac:dyDescent="0.3">
      <c r="A664">
        <v>0</v>
      </c>
      <c r="B664">
        <v>2</v>
      </c>
      <c r="C664" t="s">
        <v>672</v>
      </c>
      <c r="D664" t="s">
        <v>9</v>
      </c>
      <c r="E664">
        <v>32</v>
      </c>
      <c r="F664">
        <v>2</v>
      </c>
      <c r="G664">
        <v>0</v>
      </c>
      <c r="H664">
        <v>73.5</v>
      </c>
    </row>
    <row r="665" spans="1:8" x14ac:dyDescent="0.3">
      <c r="A665">
        <v>0</v>
      </c>
      <c r="B665">
        <v>2</v>
      </c>
      <c r="C665" t="s">
        <v>673</v>
      </c>
      <c r="D665" t="s">
        <v>9</v>
      </c>
      <c r="E665">
        <v>25</v>
      </c>
      <c r="F665">
        <v>0</v>
      </c>
      <c r="G665">
        <v>0</v>
      </c>
      <c r="H665">
        <v>13</v>
      </c>
    </row>
    <row r="666" spans="1:8" x14ac:dyDescent="0.3">
      <c r="A666">
        <v>0</v>
      </c>
      <c r="B666">
        <v>3</v>
      </c>
      <c r="C666" t="s">
        <v>674</v>
      </c>
      <c r="D666" t="s">
        <v>9</v>
      </c>
      <c r="E666">
        <v>49</v>
      </c>
      <c r="F666">
        <v>0</v>
      </c>
      <c r="G666">
        <v>0</v>
      </c>
      <c r="H666">
        <v>7.7750000000000004</v>
      </c>
    </row>
    <row r="667" spans="1:8" x14ac:dyDescent="0.3">
      <c r="A667">
        <v>0</v>
      </c>
      <c r="B667">
        <v>3</v>
      </c>
      <c r="C667" t="s">
        <v>675</v>
      </c>
      <c r="D667" t="s">
        <v>9</v>
      </c>
      <c r="E667">
        <v>43</v>
      </c>
      <c r="F667">
        <v>0</v>
      </c>
      <c r="G667">
        <v>0</v>
      </c>
      <c r="H667">
        <v>8.0500000000000007</v>
      </c>
    </row>
    <row r="668" spans="1:8" x14ac:dyDescent="0.3">
      <c r="A668">
        <v>1</v>
      </c>
      <c r="B668">
        <v>1</v>
      </c>
      <c r="C668" t="s">
        <v>676</v>
      </c>
      <c r="D668" t="s">
        <v>11</v>
      </c>
      <c r="E668">
        <v>48</v>
      </c>
      <c r="F668">
        <v>1</v>
      </c>
      <c r="G668">
        <v>0</v>
      </c>
      <c r="H668">
        <v>52</v>
      </c>
    </row>
    <row r="669" spans="1:8" x14ac:dyDescent="0.3">
      <c r="A669">
        <v>1</v>
      </c>
      <c r="B669">
        <v>2</v>
      </c>
      <c r="C669" t="s">
        <v>677</v>
      </c>
      <c r="D669" t="s">
        <v>11</v>
      </c>
      <c r="E669">
        <v>40</v>
      </c>
      <c r="F669">
        <v>1</v>
      </c>
      <c r="G669">
        <v>1</v>
      </c>
      <c r="H669">
        <v>39</v>
      </c>
    </row>
    <row r="670" spans="1:8" x14ac:dyDescent="0.3">
      <c r="A670">
        <v>0</v>
      </c>
      <c r="B670">
        <v>1</v>
      </c>
      <c r="C670" t="s">
        <v>678</v>
      </c>
      <c r="D670" t="s">
        <v>9</v>
      </c>
      <c r="E670">
        <v>31</v>
      </c>
      <c r="F670">
        <v>1</v>
      </c>
      <c r="G670">
        <v>0</v>
      </c>
      <c r="H670">
        <v>52</v>
      </c>
    </row>
    <row r="671" spans="1:8" x14ac:dyDescent="0.3">
      <c r="A671">
        <v>0</v>
      </c>
      <c r="B671">
        <v>2</v>
      </c>
      <c r="C671" t="s">
        <v>679</v>
      </c>
      <c r="D671" t="s">
        <v>9</v>
      </c>
      <c r="E671">
        <v>70</v>
      </c>
      <c r="F671">
        <v>0</v>
      </c>
      <c r="G671">
        <v>0</v>
      </c>
      <c r="H671">
        <v>10.5</v>
      </c>
    </row>
    <row r="672" spans="1:8" x14ac:dyDescent="0.3">
      <c r="A672">
        <v>1</v>
      </c>
      <c r="B672">
        <v>2</v>
      </c>
      <c r="C672" t="s">
        <v>680</v>
      </c>
      <c r="D672" t="s">
        <v>9</v>
      </c>
      <c r="E672">
        <v>31</v>
      </c>
      <c r="F672">
        <v>0</v>
      </c>
      <c r="G672">
        <v>0</v>
      </c>
      <c r="H672">
        <v>13</v>
      </c>
    </row>
    <row r="673" spans="1:8" x14ac:dyDescent="0.3">
      <c r="A673">
        <v>0</v>
      </c>
      <c r="B673">
        <v>2</v>
      </c>
      <c r="C673" t="s">
        <v>681</v>
      </c>
      <c r="D673" t="s">
        <v>9</v>
      </c>
      <c r="E673">
        <v>19</v>
      </c>
      <c r="F673">
        <v>0</v>
      </c>
      <c r="G673">
        <v>0</v>
      </c>
      <c r="H673">
        <v>0</v>
      </c>
    </row>
    <row r="674" spans="1:8" x14ac:dyDescent="0.3">
      <c r="A674">
        <v>0</v>
      </c>
      <c r="B674">
        <v>3</v>
      </c>
      <c r="C674" t="s">
        <v>682</v>
      </c>
      <c r="D674" t="s">
        <v>9</v>
      </c>
      <c r="E674">
        <v>18</v>
      </c>
      <c r="F674">
        <v>0</v>
      </c>
      <c r="G674">
        <v>0</v>
      </c>
      <c r="H674">
        <v>7.7750000000000004</v>
      </c>
    </row>
    <row r="675" spans="1:8" x14ac:dyDescent="0.3">
      <c r="A675">
        <v>0</v>
      </c>
      <c r="B675">
        <v>3</v>
      </c>
      <c r="C675" t="s">
        <v>683</v>
      </c>
      <c r="D675" t="s">
        <v>9</v>
      </c>
      <c r="E675">
        <v>24.5</v>
      </c>
      <c r="F675">
        <v>0</v>
      </c>
      <c r="G675">
        <v>0</v>
      </c>
      <c r="H675">
        <v>8.0500000000000007</v>
      </c>
    </row>
    <row r="676" spans="1:8" x14ac:dyDescent="0.3">
      <c r="A676">
        <v>1</v>
      </c>
      <c r="B676">
        <v>3</v>
      </c>
      <c r="C676" t="s">
        <v>684</v>
      </c>
      <c r="D676" t="s">
        <v>11</v>
      </c>
      <c r="E676">
        <v>18</v>
      </c>
      <c r="F676">
        <v>0</v>
      </c>
      <c r="G676">
        <v>0</v>
      </c>
      <c r="H676">
        <v>9.8416999999999994</v>
      </c>
    </row>
    <row r="677" spans="1:8" x14ac:dyDescent="0.3">
      <c r="A677">
        <v>0</v>
      </c>
      <c r="B677">
        <v>3</v>
      </c>
      <c r="C677" t="s">
        <v>685</v>
      </c>
      <c r="D677" t="s">
        <v>11</v>
      </c>
      <c r="E677">
        <v>43</v>
      </c>
      <c r="F677">
        <v>1</v>
      </c>
      <c r="G677">
        <v>6</v>
      </c>
      <c r="H677">
        <v>46.9</v>
      </c>
    </row>
    <row r="678" spans="1:8" x14ac:dyDescent="0.3">
      <c r="A678">
        <v>1</v>
      </c>
      <c r="B678">
        <v>1</v>
      </c>
      <c r="C678" t="s">
        <v>686</v>
      </c>
      <c r="D678" t="s">
        <v>9</v>
      </c>
      <c r="E678">
        <v>36</v>
      </c>
      <c r="F678">
        <v>0</v>
      </c>
      <c r="G678">
        <v>1</v>
      </c>
      <c r="H678">
        <v>512.32920000000001</v>
      </c>
    </row>
    <row r="679" spans="1:8" x14ac:dyDescent="0.3">
      <c r="A679">
        <v>0</v>
      </c>
      <c r="B679">
        <v>3</v>
      </c>
      <c r="C679" t="s">
        <v>687</v>
      </c>
      <c r="D679" t="s">
        <v>11</v>
      </c>
      <c r="E679">
        <v>28</v>
      </c>
      <c r="F679">
        <v>0</v>
      </c>
      <c r="G679">
        <v>0</v>
      </c>
      <c r="H679">
        <v>8.1374999999999993</v>
      </c>
    </row>
    <row r="680" spans="1:8" x14ac:dyDescent="0.3">
      <c r="A680">
        <v>1</v>
      </c>
      <c r="B680">
        <v>1</v>
      </c>
      <c r="C680" t="s">
        <v>688</v>
      </c>
      <c r="D680" t="s">
        <v>9</v>
      </c>
      <c r="E680">
        <v>27</v>
      </c>
      <c r="F680">
        <v>0</v>
      </c>
      <c r="G680">
        <v>0</v>
      </c>
      <c r="H680">
        <v>76.729200000000006</v>
      </c>
    </row>
    <row r="681" spans="1:8" x14ac:dyDescent="0.3">
      <c r="A681">
        <v>0</v>
      </c>
      <c r="B681">
        <v>3</v>
      </c>
      <c r="C681" t="s">
        <v>689</v>
      </c>
      <c r="D681" t="s">
        <v>9</v>
      </c>
      <c r="E681">
        <v>20</v>
      </c>
      <c r="F681">
        <v>0</v>
      </c>
      <c r="G681">
        <v>0</v>
      </c>
      <c r="H681">
        <v>9.2249999999999996</v>
      </c>
    </row>
    <row r="682" spans="1:8" x14ac:dyDescent="0.3">
      <c r="A682">
        <v>0</v>
      </c>
      <c r="B682">
        <v>3</v>
      </c>
      <c r="C682" t="s">
        <v>690</v>
      </c>
      <c r="D682" t="s">
        <v>9</v>
      </c>
      <c r="E682">
        <v>14</v>
      </c>
      <c r="F682">
        <v>5</v>
      </c>
      <c r="G682">
        <v>2</v>
      </c>
      <c r="H682">
        <v>46.9</v>
      </c>
    </row>
    <row r="683" spans="1:8" x14ac:dyDescent="0.3">
      <c r="A683">
        <v>0</v>
      </c>
      <c r="B683">
        <v>2</v>
      </c>
      <c r="C683" t="s">
        <v>691</v>
      </c>
      <c r="D683" t="s">
        <v>9</v>
      </c>
      <c r="E683">
        <v>60</v>
      </c>
      <c r="F683">
        <v>1</v>
      </c>
      <c r="G683">
        <v>1</v>
      </c>
      <c r="H683">
        <v>39</v>
      </c>
    </row>
    <row r="684" spans="1:8" x14ac:dyDescent="0.3">
      <c r="A684">
        <v>0</v>
      </c>
      <c r="B684">
        <v>2</v>
      </c>
      <c r="C684" t="s">
        <v>692</v>
      </c>
      <c r="D684" t="s">
        <v>9</v>
      </c>
      <c r="E684">
        <v>25</v>
      </c>
      <c r="F684">
        <v>1</v>
      </c>
      <c r="G684">
        <v>2</v>
      </c>
      <c r="H684">
        <v>41.5792</v>
      </c>
    </row>
    <row r="685" spans="1:8" x14ac:dyDescent="0.3">
      <c r="A685">
        <v>0</v>
      </c>
      <c r="B685">
        <v>3</v>
      </c>
      <c r="C685" t="s">
        <v>693</v>
      </c>
      <c r="D685" t="s">
        <v>9</v>
      </c>
      <c r="E685">
        <v>14</v>
      </c>
      <c r="F685">
        <v>4</v>
      </c>
      <c r="G685">
        <v>1</v>
      </c>
      <c r="H685">
        <v>39.6875</v>
      </c>
    </row>
    <row r="686" spans="1:8" x14ac:dyDescent="0.3">
      <c r="A686">
        <v>0</v>
      </c>
      <c r="B686">
        <v>3</v>
      </c>
      <c r="C686" t="s">
        <v>694</v>
      </c>
      <c r="D686" t="s">
        <v>9</v>
      </c>
      <c r="E686">
        <v>19</v>
      </c>
      <c r="F686">
        <v>0</v>
      </c>
      <c r="G686">
        <v>0</v>
      </c>
      <c r="H686">
        <v>10.1708</v>
      </c>
    </row>
    <row r="687" spans="1:8" x14ac:dyDescent="0.3">
      <c r="A687">
        <v>0</v>
      </c>
      <c r="B687">
        <v>3</v>
      </c>
      <c r="C687" t="s">
        <v>695</v>
      </c>
      <c r="D687" t="s">
        <v>9</v>
      </c>
      <c r="E687">
        <v>18</v>
      </c>
      <c r="F687">
        <v>0</v>
      </c>
      <c r="G687">
        <v>0</v>
      </c>
      <c r="H687">
        <v>7.7957999999999998</v>
      </c>
    </row>
    <row r="688" spans="1:8" x14ac:dyDescent="0.3">
      <c r="A688">
        <v>1</v>
      </c>
      <c r="B688">
        <v>1</v>
      </c>
      <c r="C688" t="s">
        <v>696</v>
      </c>
      <c r="D688" t="s">
        <v>11</v>
      </c>
      <c r="E688">
        <v>15</v>
      </c>
      <c r="F688">
        <v>0</v>
      </c>
      <c r="G688">
        <v>1</v>
      </c>
      <c r="H688">
        <v>211.33750000000001</v>
      </c>
    </row>
    <row r="689" spans="1:8" x14ac:dyDescent="0.3">
      <c r="A689">
        <v>1</v>
      </c>
      <c r="B689">
        <v>1</v>
      </c>
      <c r="C689" t="s">
        <v>697</v>
      </c>
      <c r="D689" t="s">
        <v>9</v>
      </c>
      <c r="E689">
        <v>31</v>
      </c>
      <c r="F689">
        <v>1</v>
      </c>
      <c r="G689">
        <v>0</v>
      </c>
      <c r="H689">
        <v>57</v>
      </c>
    </row>
    <row r="690" spans="1:8" x14ac:dyDescent="0.3">
      <c r="A690">
        <v>1</v>
      </c>
      <c r="B690">
        <v>3</v>
      </c>
      <c r="C690" t="s">
        <v>698</v>
      </c>
      <c r="D690" t="s">
        <v>11</v>
      </c>
      <c r="E690">
        <v>4</v>
      </c>
      <c r="F690">
        <v>0</v>
      </c>
      <c r="G690">
        <v>1</v>
      </c>
      <c r="H690">
        <v>13.416700000000001</v>
      </c>
    </row>
    <row r="691" spans="1:8" x14ac:dyDescent="0.3">
      <c r="A691">
        <v>1</v>
      </c>
      <c r="B691">
        <v>3</v>
      </c>
      <c r="C691" t="s">
        <v>699</v>
      </c>
      <c r="D691" t="s">
        <v>9</v>
      </c>
      <c r="E691">
        <v>37</v>
      </c>
      <c r="F691">
        <v>0</v>
      </c>
      <c r="G691">
        <v>0</v>
      </c>
      <c r="H691">
        <v>56.495800000000003</v>
      </c>
    </row>
    <row r="692" spans="1:8" x14ac:dyDescent="0.3">
      <c r="A692">
        <v>0</v>
      </c>
      <c r="B692">
        <v>3</v>
      </c>
      <c r="C692" t="s">
        <v>700</v>
      </c>
      <c r="D692" t="s">
        <v>9</v>
      </c>
      <c r="E692">
        <v>25</v>
      </c>
      <c r="F692">
        <v>0</v>
      </c>
      <c r="G692">
        <v>0</v>
      </c>
      <c r="H692">
        <v>7.2249999999999996</v>
      </c>
    </row>
    <row r="693" spans="1:8" x14ac:dyDescent="0.3">
      <c r="A693">
        <v>0</v>
      </c>
      <c r="B693">
        <v>1</v>
      </c>
      <c r="C693" t="s">
        <v>701</v>
      </c>
      <c r="D693" t="s">
        <v>9</v>
      </c>
      <c r="E693">
        <v>60</v>
      </c>
      <c r="F693">
        <v>0</v>
      </c>
      <c r="G693">
        <v>0</v>
      </c>
      <c r="H693">
        <v>26.55</v>
      </c>
    </row>
    <row r="694" spans="1:8" x14ac:dyDescent="0.3">
      <c r="A694">
        <v>0</v>
      </c>
      <c r="B694">
        <v>2</v>
      </c>
      <c r="C694" t="s">
        <v>702</v>
      </c>
      <c r="D694" t="s">
        <v>9</v>
      </c>
      <c r="E694">
        <v>52</v>
      </c>
      <c r="F694">
        <v>0</v>
      </c>
      <c r="G694">
        <v>0</v>
      </c>
      <c r="H694">
        <v>13.5</v>
      </c>
    </row>
    <row r="695" spans="1:8" x14ac:dyDescent="0.3">
      <c r="A695">
        <v>0</v>
      </c>
      <c r="B695">
        <v>3</v>
      </c>
      <c r="C695" t="s">
        <v>703</v>
      </c>
      <c r="D695" t="s">
        <v>9</v>
      </c>
      <c r="E695">
        <v>44</v>
      </c>
      <c r="F695">
        <v>0</v>
      </c>
      <c r="G695">
        <v>0</v>
      </c>
      <c r="H695">
        <v>8.0500000000000007</v>
      </c>
    </row>
    <row r="696" spans="1:8" x14ac:dyDescent="0.3">
      <c r="A696">
        <v>1</v>
      </c>
      <c r="B696">
        <v>3</v>
      </c>
      <c r="C696" t="s">
        <v>704</v>
      </c>
      <c r="D696" t="s">
        <v>11</v>
      </c>
      <c r="E696">
        <v>19</v>
      </c>
      <c r="F696">
        <v>0</v>
      </c>
      <c r="G696">
        <v>0</v>
      </c>
      <c r="H696">
        <v>7.7332999999999998</v>
      </c>
    </row>
    <row r="697" spans="1:8" x14ac:dyDescent="0.3">
      <c r="A697">
        <v>0</v>
      </c>
      <c r="B697">
        <v>1</v>
      </c>
      <c r="C697" t="s">
        <v>705</v>
      </c>
      <c r="D697" t="s">
        <v>9</v>
      </c>
      <c r="E697">
        <v>49</v>
      </c>
      <c r="F697">
        <v>1</v>
      </c>
      <c r="G697">
        <v>1</v>
      </c>
      <c r="H697">
        <v>110.88330000000001</v>
      </c>
    </row>
    <row r="698" spans="1:8" x14ac:dyDescent="0.3">
      <c r="A698">
        <v>0</v>
      </c>
      <c r="B698">
        <v>3</v>
      </c>
      <c r="C698" t="s">
        <v>706</v>
      </c>
      <c r="D698" t="s">
        <v>9</v>
      </c>
      <c r="E698">
        <v>42</v>
      </c>
      <c r="F698">
        <v>0</v>
      </c>
      <c r="G698">
        <v>0</v>
      </c>
      <c r="H698">
        <v>7.65</v>
      </c>
    </row>
    <row r="699" spans="1:8" x14ac:dyDescent="0.3">
      <c r="A699">
        <v>1</v>
      </c>
      <c r="B699">
        <v>1</v>
      </c>
      <c r="C699" t="s">
        <v>707</v>
      </c>
      <c r="D699" t="s">
        <v>11</v>
      </c>
      <c r="E699">
        <v>18</v>
      </c>
      <c r="F699">
        <v>1</v>
      </c>
      <c r="G699">
        <v>0</v>
      </c>
      <c r="H699">
        <v>227.52500000000001</v>
      </c>
    </row>
    <row r="700" spans="1:8" x14ac:dyDescent="0.3">
      <c r="A700">
        <v>1</v>
      </c>
      <c r="B700">
        <v>1</v>
      </c>
      <c r="C700" t="s">
        <v>708</v>
      </c>
      <c r="D700" t="s">
        <v>9</v>
      </c>
      <c r="E700">
        <v>35</v>
      </c>
      <c r="F700">
        <v>0</v>
      </c>
      <c r="G700">
        <v>0</v>
      </c>
      <c r="H700">
        <v>26.287500000000001</v>
      </c>
    </row>
    <row r="701" spans="1:8" x14ac:dyDescent="0.3">
      <c r="A701">
        <v>0</v>
      </c>
      <c r="B701">
        <v>3</v>
      </c>
      <c r="C701" t="s">
        <v>709</v>
      </c>
      <c r="D701" t="s">
        <v>11</v>
      </c>
      <c r="E701">
        <v>18</v>
      </c>
      <c r="F701">
        <v>0</v>
      </c>
      <c r="G701">
        <v>1</v>
      </c>
      <c r="H701">
        <v>14.4542</v>
      </c>
    </row>
    <row r="702" spans="1:8" x14ac:dyDescent="0.3">
      <c r="A702">
        <v>0</v>
      </c>
      <c r="B702">
        <v>3</v>
      </c>
      <c r="C702" t="s">
        <v>710</v>
      </c>
      <c r="D702" t="s">
        <v>9</v>
      </c>
      <c r="E702">
        <v>25</v>
      </c>
      <c r="F702">
        <v>0</v>
      </c>
      <c r="G702">
        <v>0</v>
      </c>
      <c r="H702">
        <v>7.7416999999999998</v>
      </c>
    </row>
    <row r="703" spans="1:8" x14ac:dyDescent="0.3">
      <c r="A703">
        <v>0</v>
      </c>
      <c r="B703">
        <v>3</v>
      </c>
      <c r="C703" t="s">
        <v>711</v>
      </c>
      <c r="D703" t="s">
        <v>9</v>
      </c>
      <c r="E703">
        <v>26</v>
      </c>
      <c r="F703">
        <v>1</v>
      </c>
      <c r="G703">
        <v>0</v>
      </c>
      <c r="H703">
        <v>7.8541999999999996</v>
      </c>
    </row>
    <row r="704" spans="1:8" x14ac:dyDescent="0.3">
      <c r="A704">
        <v>0</v>
      </c>
      <c r="B704">
        <v>2</v>
      </c>
      <c r="C704" t="s">
        <v>712</v>
      </c>
      <c r="D704" t="s">
        <v>9</v>
      </c>
      <c r="E704">
        <v>39</v>
      </c>
      <c r="F704">
        <v>0</v>
      </c>
      <c r="G704">
        <v>0</v>
      </c>
      <c r="H704">
        <v>26</v>
      </c>
    </row>
    <row r="705" spans="1:8" x14ac:dyDescent="0.3">
      <c r="A705">
        <v>1</v>
      </c>
      <c r="B705">
        <v>2</v>
      </c>
      <c r="C705" t="s">
        <v>713</v>
      </c>
      <c r="D705" t="s">
        <v>11</v>
      </c>
      <c r="E705">
        <v>45</v>
      </c>
      <c r="F705">
        <v>0</v>
      </c>
      <c r="G705">
        <v>0</v>
      </c>
      <c r="H705">
        <v>13.5</v>
      </c>
    </row>
    <row r="706" spans="1:8" x14ac:dyDescent="0.3">
      <c r="A706">
        <v>1</v>
      </c>
      <c r="B706">
        <v>1</v>
      </c>
      <c r="C706" t="s">
        <v>714</v>
      </c>
      <c r="D706" t="s">
        <v>9</v>
      </c>
      <c r="E706">
        <v>42</v>
      </c>
      <c r="F706">
        <v>0</v>
      </c>
      <c r="G706">
        <v>0</v>
      </c>
      <c r="H706">
        <v>26.287500000000001</v>
      </c>
    </row>
    <row r="707" spans="1:8" x14ac:dyDescent="0.3">
      <c r="A707">
        <v>1</v>
      </c>
      <c r="B707">
        <v>1</v>
      </c>
      <c r="C707" t="s">
        <v>715</v>
      </c>
      <c r="D707" t="s">
        <v>11</v>
      </c>
      <c r="E707">
        <v>22</v>
      </c>
      <c r="F707">
        <v>0</v>
      </c>
      <c r="G707">
        <v>0</v>
      </c>
      <c r="H707">
        <v>151.55000000000001</v>
      </c>
    </row>
    <row r="708" spans="1:8" x14ac:dyDescent="0.3">
      <c r="A708">
        <v>1</v>
      </c>
      <c r="B708">
        <v>3</v>
      </c>
      <c r="C708" t="s">
        <v>716</v>
      </c>
      <c r="D708" t="s">
        <v>9</v>
      </c>
      <c r="E708">
        <v>4</v>
      </c>
      <c r="F708">
        <v>1</v>
      </c>
      <c r="G708">
        <v>1</v>
      </c>
      <c r="H708">
        <v>15.245799999999999</v>
      </c>
    </row>
    <row r="709" spans="1:8" x14ac:dyDescent="0.3">
      <c r="A709">
        <v>1</v>
      </c>
      <c r="B709">
        <v>1</v>
      </c>
      <c r="C709" t="s">
        <v>717</v>
      </c>
      <c r="D709" t="s">
        <v>11</v>
      </c>
      <c r="E709">
        <v>24</v>
      </c>
      <c r="F709">
        <v>0</v>
      </c>
      <c r="G709">
        <v>0</v>
      </c>
      <c r="H709">
        <v>49.504199999999997</v>
      </c>
    </row>
    <row r="710" spans="1:8" x14ac:dyDescent="0.3">
      <c r="A710">
        <v>0</v>
      </c>
      <c r="B710">
        <v>1</v>
      </c>
      <c r="C710" t="s">
        <v>718</v>
      </c>
      <c r="D710" t="s">
        <v>9</v>
      </c>
      <c r="E710">
        <v>41</v>
      </c>
      <c r="F710">
        <v>0</v>
      </c>
      <c r="G710">
        <v>0</v>
      </c>
      <c r="H710">
        <v>26.55</v>
      </c>
    </row>
    <row r="711" spans="1:8" x14ac:dyDescent="0.3">
      <c r="A711">
        <v>1</v>
      </c>
      <c r="B711">
        <v>1</v>
      </c>
      <c r="C711" t="s">
        <v>719</v>
      </c>
      <c r="D711" t="s">
        <v>9</v>
      </c>
      <c r="E711">
        <v>48</v>
      </c>
      <c r="F711">
        <v>1</v>
      </c>
      <c r="G711">
        <v>0</v>
      </c>
      <c r="H711">
        <v>52</v>
      </c>
    </row>
    <row r="712" spans="1:8" x14ac:dyDescent="0.3">
      <c r="A712">
        <v>0</v>
      </c>
      <c r="B712">
        <v>3</v>
      </c>
      <c r="C712" t="s">
        <v>720</v>
      </c>
      <c r="D712" t="s">
        <v>9</v>
      </c>
      <c r="E712">
        <v>29</v>
      </c>
      <c r="F712">
        <v>0</v>
      </c>
      <c r="G712">
        <v>0</v>
      </c>
      <c r="H712">
        <v>9.4832999999999998</v>
      </c>
    </row>
    <row r="713" spans="1:8" x14ac:dyDescent="0.3">
      <c r="A713">
        <v>0</v>
      </c>
      <c r="B713">
        <v>2</v>
      </c>
      <c r="C713" t="s">
        <v>721</v>
      </c>
      <c r="D713" t="s">
        <v>9</v>
      </c>
      <c r="E713">
        <v>52</v>
      </c>
      <c r="F713">
        <v>0</v>
      </c>
      <c r="G713">
        <v>0</v>
      </c>
      <c r="H713">
        <v>13</v>
      </c>
    </row>
    <row r="714" spans="1:8" x14ac:dyDescent="0.3">
      <c r="A714">
        <v>0</v>
      </c>
      <c r="B714">
        <v>3</v>
      </c>
      <c r="C714" t="s">
        <v>722</v>
      </c>
      <c r="D714" t="s">
        <v>9</v>
      </c>
      <c r="E714">
        <v>19</v>
      </c>
      <c r="F714">
        <v>0</v>
      </c>
      <c r="G714">
        <v>0</v>
      </c>
      <c r="H714">
        <v>7.65</v>
      </c>
    </row>
    <row r="715" spans="1:8" x14ac:dyDescent="0.3">
      <c r="A715">
        <v>1</v>
      </c>
      <c r="B715">
        <v>1</v>
      </c>
      <c r="C715" t="s">
        <v>723</v>
      </c>
      <c r="D715" t="s">
        <v>11</v>
      </c>
      <c r="E715">
        <v>38</v>
      </c>
      <c r="F715">
        <v>0</v>
      </c>
      <c r="G715">
        <v>0</v>
      </c>
      <c r="H715">
        <v>227.52500000000001</v>
      </c>
    </row>
    <row r="716" spans="1:8" x14ac:dyDescent="0.3">
      <c r="A716">
        <v>1</v>
      </c>
      <c r="B716">
        <v>2</v>
      </c>
      <c r="C716" t="s">
        <v>724</v>
      </c>
      <c r="D716" t="s">
        <v>11</v>
      </c>
      <c r="E716">
        <v>27</v>
      </c>
      <c r="F716">
        <v>0</v>
      </c>
      <c r="G716">
        <v>0</v>
      </c>
      <c r="H716">
        <v>10.5</v>
      </c>
    </row>
    <row r="717" spans="1:8" x14ac:dyDescent="0.3">
      <c r="A717">
        <v>0</v>
      </c>
      <c r="B717">
        <v>3</v>
      </c>
      <c r="C717" t="s">
        <v>725</v>
      </c>
      <c r="D717" t="s">
        <v>9</v>
      </c>
      <c r="E717">
        <v>33</v>
      </c>
      <c r="F717">
        <v>0</v>
      </c>
      <c r="G717">
        <v>0</v>
      </c>
      <c r="H717">
        <v>7.7750000000000004</v>
      </c>
    </row>
    <row r="718" spans="1:8" x14ac:dyDescent="0.3">
      <c r="A718">
        <v>1</v>
      </c>
      <c r="B718">
        <v>2</v>
      </c>
      <c r="C718" t="s">
        <v>726</v>
      </c>
      <c r="D718" t="s">
        <v>11</v>
      </c>
      <c r="E718">
        <v>6</v>
      </c>
      <c r="F718">
        <v>0</v>
      </c>
      <c r="G718">
        <v>1</v>
      </c>
      <c r="H718">
        <v>33</v>
      </c>
    </row>
    <row r="719" spans="1:8" x14ac:dyDescent="0.3">
      <c r="A719">
        <v>0</v>
      </c>
      <c r="B719">
        <v>3</v>
      </c>
      <c r="C719" t="s">
        <v>727</v>
      </c>
      <c r="D719" t="s">
        <v>9</v>
      </c>
      <c r="E719">
        <v>17</v>
      </c>
      <c r="F719">
        <v>1</v>
      </c>
      <c r="G719">
        <v>0</v>
      </c>
      <c r="H719">
        <v>7.0541999999999998</v>
      </c>
    </row>
    <row r="720" spans="1:8" x14ac:dyDescent="0.3">
      <c r="A720">
        <v>0</v>
      </c>
      <c r="B720">
        <v>2</v>
      </c>
      <c r="C720" t="s">
        <v>728</v>
      </c>
      <c r="D720" t="s">
        <v>9</v>
      </c>
      <c r="E720">
        <v>34</v>
      </c>
      <c r="F720">
        <v>0</v>
      </c>
      <c r="G720">
        <v>0</v>
      </c>
      <c r="H720">
        <v>13</v>
      </c>
    </row>
    <row r="721" spans="1:8" x14ac:dyDescent="0.3">
      <c r="A721">
        <v>0</v>
      </c>
      <c r="B721">
        <v>2</v>
      </c>
      <c r="C721" t="s">
        <v>729</v>
      </c>
      <c r="D721" t="s">
        <v>9</v>
      </c>
      <c r="E721">
        <v>50</v>
      </c>
      <c r="F721">
        <v>0</v>
      </c>
      <c r="G721">
        <v>0</v>
      </c>
      <c r="H721">
        <v>13</v>
      </c>
    </row>
    <row r="722" spans="1:8" x14ac:dyDescent="0.3">
      <c r="A722">
        <v>1</v>
      </c>
      <c r="B722">
        <v>1</v>
      </c>
      <c r="C722" t="s">
        <v>730</v>
      </c>
      <c r="D722" t="s">
        <v>9</v>
      </c>
      <c r="E722">
        <v>27</v>
      </c>
      <c r="F722">
        <v>1</v>
      </c>
      <c r="G722">
        <v>0</v>
      </c>
      <c r="H722">
        <v>53.1</v>
      </c>
    </row>
    <row r="723" spans="1:8" x14ac:dyDescent="0.3">
      <c r="A723">
        <v>0</v>
      </c>
      <c r="B723">
        <v>3</v>
      </c>
      <c r="C723" t="s">
        <v>731</v>
      </c>
      <c r="D723" t="s">
        <v>9</v>
      </c>
      <c r="E723">
        <v>20</v>
      </c>
      <c r="F723">
        <v>0</v>
      </c>
      <c r="G723">
        <v>0</v>
      </c>
      <c r="H723">
        <v>8.6624999999999996</v>
      </c>
    </row>
    <row r="724" spans="1:8" x14ac:dyDescent="0.3">
      <c r="A724">
        <v>1</v>
      </c>
      <c r="B724">
        <v>2</v>
      </c>
      <c r="C724" t="s">
        <v>732</v>
      </c>
      <c r="D724" t="s">
        <v>11</v>
      </c>
      <c r="E724">
        <v>30</v>
      </c>
      <c r="F724">
        <v>3</v>
      </c>
      <c r="G724">
        <v>0</v>
      </c>
      <c r="H724">
        <v>21</v>
      </c>
    </row>
    <row r="725" spans="1:8" x14ac:dyDescent="0.3">
      <c r="A725">
        <v>1</v>
      </c>
      <c r="B725">
        <v>3</v>
      </c>
      <c r="C725" t="s">
        <v>733</v>
      </c>
      <c r="D725" t="s">
        <v>11</v>
      </c>
      <c r="E725">
        <v>28</v>
      </c>
      <c r="F725">
        <v>0</v>
      </c>
      <c r="G725">
        <v>0</v>
      </c>
      <c r="H725">
        <v>7.7374999999999998</v>
      </c>
    </row>
    <row r="726" spans="1:8" x14ac:dyDescent="0.3">
      <c r="A726">
        <v>0</v>
      </c>
      <c r="B726">
        <v>2</v>
      </c>
      <c r="C726" t="s">
        <v>734</v>
      </c>
      <c r="D726" t="s">
        <v>9</v>
      </c>
      <c r="E726">
        <v>25</v>
      </c>
      <c r="F726">
        <v>1</v>
      </c>
      <c r="G726">
        <v>0</v>
      </c>
      <c r="H726">
        <v>26</v>
      </c>
    </row>
    <row r="727" spans="1:8" x14ac:dyDescent="0.3">
      <c r="A727">
        <v>0</v>
      </c>
      <c r="B727">
        <v>3</v>
      </c>
      <c r="C727" t="s">
        <v>735</v>
      </c>
      <c r="D727" t="s">
        <v>11</v>
      </c>
      <c r="E727">
        <v>25</v>
      </c>
      <c r="F727">
        <v>1</v>
      </c>
      <c r="G727">
        <v>0</v>
      </c>
      <c r="H727">
        <v>7.9249999999999998</v>
      </c>
    </row>
    <row r="728" spans="1:8" x14ac:dyDescent="0.3">
      <c r="A728">
        <v>1</v>
      </c>
      <c r="B728">
        <v>1</v>
      </c>
      <c r="C728" t="s">
        <v>736</v>
      </c>
      <c r="D728" t="s">
        <v>11</v>
      </c>
      <c r="E728">
        <v>29</v>
      </c>
      <c r="F728">
        <v>0</v>
      </c>
      <c r="G728">
        <v>0</v>
      </c>
      <c r="H728">
        <v>211.33750000000001</v>
      </c>
    </row>
    <row r="729" spans="1:8" x14ac:dyDescent="0.3">
      <c r="A729">
        <v>0</v>
      </c>
      <c r="B729">
        <v>3</v>
      </c>
      <c r="C729" t="s">
        <v>737</v>
      </c>
      <c r="D729" t="s">
        <v>9</v>
      </c>
      <c r="E729">
        <v>11</v>
      </c>
      <c r="F729">
        <v>0</v>
      </c>
      <c r="G729">
        <v>0</v>
      </c>
      <c r="H729">
        <v>18.787500000000001</v>
      </c>
    </row>
    <row r="730" spans="1:8" x14ac:dyDescent="0.3">
      <c r="A730">
        <v>0</v>
      </c>
      <c r="B730">
        <v>2</v>
      </c>
      <c r="C730" t="s">
        <v>738</v>
      </c>
      <c r="D730" t="s">
        <v>9</v>
      </c>
      <c r="E730">
        <v>41</v>
      </c>
      <c r="F730">
        <v>0</v>
      </c>
      <c r="G730">
        <v>0</v>
      </c>
      <c r="H730">
        <v>0</v>
      </c>
    </row>
    <row r="731" spans="1:8" x14ac:dyDescent="0.3">
      <c r="A731">
        <v>0</v>
      </c>
      <c r="B731">
        <v>2</v>
      </c>
      <c r="C731" t="s">
        <v>739</v>
      </c>
      <c r="D731" t="s">
        <v>9</v>
      </c>
      <c r="E731">
        <v>23</v>
      </c>
      <c r="F731">
        <v>0</v>
      </c>
      <c r="G731">
        <v>0</v>
      </c>
      <c r="H731">
        <v>13</v>
      </c>
    </row>
    <row r="732" spans="1:8" x14ac:dyDescent="0.3">
      <c r="A732">
        <v>0</v>
      </c>
      <c r="B732">
        <v>2</v>
      </c>
      <c r="C732" t="s">
        <v>740</v>
      </c>
      <c r="D732" t="s">
        <v>9</v>
      </c>
      <c r="E732">
        <v>23</v>
      </c>
      <c r="F732">
        <v>0</v>
      </c>
      <c r="G732">
        <v>0</v>
      </c>
      <c r="H732">
        <v>13</v>
      </c>
    </row>
    <row r="733" spans="1:8" x14ac:dyDescent="0.3">
      <c r="A733">
        <v>0</v>
      </c>
      <c r="B733">
        <v>3</v>
      </c>
      <c r="C733" t="s">
        <v>741</v>
      </c>
      <c r="D733" t="s">
        <v>9</v>
      </c>
      <c r="E733">
        <v>28.5</v>
      </c>
      <c r="F733">
        <v>0</v>
      </c>
      <c r="G733">
        <v>0</v>
      </c>
      <c r="H733">
        <v>16.100000000000001</v>
      </c>
    </row>
    <row r="734" spans="1:8" x14ac:dyDescent="0.3">
      <c r="A734">
        <v>0</v>
      </c>
      <c r="B734">
        <v>3</v>
      </c>
      <c r="C734" t="s">
        <v>742</v>
      </c>
      <c r="D734" t="s">
        <v>11</v>
      </c>
      <c r="E734">
        <v>48</v>
      </c>
      <c r="F734">
        <v>1</v>
      </c>
      <c r="G734">
        <v>3</v>
      </c>
      <c r="H734">
        <v>34.375</v>
      </c>
    </row>
    <row r="735" spans="1:8" x14ac:dyDescent="0.3">
      <c r="A735">
        <v>1</v>
      </c>
      <c r="B735">
        <v>1</v>
      </c>
      <c r="C735" t="s">
        <v>743</v>
      </c>
      <c r="D735" t="s">
        <v>9</v>
      </c>
      <c r="E735">
        <v>35</v>
      </c>
      <c r="F735">
        <v>0</v>
      </c>
      <c r="G735">
        <v>0</v>
      </c>
      <c r="H735">
        <v>512.32920000000001</v>
      </c>
    </row>
    <row r="736" spans="1:8" x14ac:dyDescent="0.3">
      <c r="A736">
        <v>0</v>
      </c>
      <c r="B736">
        <v>3</v>
      </c>
      <c r="C736" t="s">
        <v>744</v>
      </c>
      <c r="D736" t="s">
        <v>9</v>
      </c>
      <c r="E736">
        <v>20</v>
      </c>
      <c r="F736">
        <v>0</v>
      </c>
      <c r="G736">
        <v>0</v>
      </c>
      <c r="H736">
        <v>7.8958000000000004</v>
      </c>
    </row>
    <row r="737" spans="1:8" x14ac:dyDescent="0.3">
      <c r="A737">
        <v>0</v>
      </c>
      <c r="B737">
        <v>3</v>
      </c>
      <c r="C737" t="s">
        <v>745</v>
      </c>
      <c r="D737" t="s">
        <v>9</v>
      </c>
      <c r="E737">
        <v>32</v>
      </c>
      <c r="F737">
        <v>0</v>
      </c>
      <c r="G737">
        <v>0</v>
      </c>
      <c r="H737">
        <v>7.8958000000000004</v>
      </c>
    </row>
    <row r="738" spans="1:8" x14ac:dyDescent="0.3">
      <c r="A738">
        <v>1</v>
      </c>
      <c r="B738">
        <v>1</v>
      </c>
      <c r="C738" t="s">
        <v>746</v>
      </c>
      <c r="D738" t="s">
        <v>9</v>
      </c>
      <c r="E738">
        <v>45</v>
      </c>
      <c r="F738">
        <v>0</v>
      </c>
      <c r="G738">
        <v>0</v>
      </c>
      <c r="H738">
        <v>30</v>
      </c>
    </row>
    <row r="739" spans="1:8" x14ac:dyDescent="0.3">
      <c r="A739">
        <v>0</v>
      </c>
      <c r="B739">
        <v>1</v>
      </c>
      <c r="C739" t="s">
        <v>747</v>
      </c>
      <c r="D739" t="s">
        <v>9</v>
      </c>
      <c r="E739">
        <v>36</v>
      </c>
      <c r="F739">
        <v>1</v>
      </c>
      <c r="G739">
        <v>0</v>
      </c>
      <c r="H739">
        <v>78.849999999999994</v>
      </c>
    </row>
    <row r="740" spans="1:8" x14ac:dyDescent="0.3">
      <c r="A740">
        <v>1</v>
      </c>
      <c r="B740">
        <v>1</v>
      </c>
      <c r="C740" t="s">
        <v>748</v>
      </c>
      <c r="D740" t="s">
        <v>11</v>
      </c>
      <c r="E740">
        <v>21</v>
      </c>
      <c r="F740">
        <v>2</v>
      </c>
      <c r="G740">
        <v>2</v>
      </c>
      <c r="H740">
        <v>262.375</v>
      </c>
    </row>
    <row r="741" spans="1:8" x14ac:dyDescent="0.3">
      <c r="A741">
        <v>0</v>
      </c>
      <c r="B741">
        <v>3</v>
      </c>
      <c r="C741" t="s">
        <v>749</v>
      </c>
      <c r="D741" t="s">
        <v>9</v>
      </c>
      <c r="E741">
        <v>24</v>
      </c>
      <c r="F741">
        <v>1</v>
      </c>
      <c r="G741">
        <v>0</v>
      </c>
      <c r="H741">
        <v>16.100000000000001</v>
      </c>
    </row>
    <row r="742" spans="1:8" x14ac:dyDescent="0.3">
      <c r="A742">
        <v>1</v>
      </c>
      <c r="B742">
        <v>3</v>
      </c>
      <c r="C742" t="s">
        <v>750</v>
      </c>
      <c r="D742" t="s">
        <v>9</v>
      </c>
      <c r="E742">
        <v>31</v>
      </c>
      <c r="F742">
        <v>0</v>
      </c>
      <c r="G742">
        <v>0</v>
      </c>
      <c r="H742">
        <v>7.9249999999999998</v>
      </c>
    </row>
    <row r="743" spans="1:8" x14ac:dyDescent="0.3">
      <c r="A743">
        <v>0</v>
      </c>
      <c r="B743">
        <v>1</v>
      </c>
      <c r="C743" t="s">
        <v>751</v>
      </c>
      <c r="D743" t="s">
        <v>9</v>
      </c>
      <c r="E743">
        <v>70</v>
      </c>
      <c r="F743">
        <v>1</v>
      </c>
      <c r="G743">
        <v>1</v>
      </c>
      <c r="H743">
        <v>71</v>
      </c>
    </row>
    <row r="744" spans="1:8" x14ac:dyDescent="0.3">
      <c r="A744">
        <v>0</v>
      </c>
      <c r="B744">
        <v>3</v>
      </c>
      <c r="C744" t="s">
        <v>752</v>
      </c>
      <c r="D744" t="s">
        <v>9</v>
      </c>
      <c r="E744">
        <v>16</v>
      </c>
      <c r="F744">
        <v>1</v>
      </c>
      <c r="G744">
        <v>1</v>
      </c>
      <c r="H744">
        <v>20.25</v>
      </c>
    </row>
    <row r="745" spans="1:8" x14ac:dyDescent="0.3">
      <c r="A745">
        <v>1</v>
      </c>
      <c r="B745">
        <v>2</v>
      </c>
      <c r="C745" t="s">
        <v>753</v>
      </c>
      <c r="D745" t="s">
        <v>11</v>
      </c>
      <c r="E745">
        <v>30</v>
      </c>
      <c r="F745">
        <v>0</v>
      </c>
      <c r="G745">
        <v>0</v>
      </c>
      <c r="H745">
        <v>13</v>
      </c>
    </row>
    <row r="746" spans="1:8" x14ac:dyDescent="0.3">
      <c r="A746">
        <v>0</v>
      </c>
      <c r="B746">
        <v>1</v>
      </c>
      <c r="C746" t="s">
        <v>754</v>
      </c>
      <c r="D746" t="s">
        <v>9</v>
      </c>
      <c r="E746">
        <v>19</v>
      </c>
      <c r="F746">
        <v>1</v>
      </c>
      <c r="G746">
        <v>0</v>
      </c>
      <c r="H746">
        <v>53.1</v>
      </c>
    </row>
    <row r="747" spans="1:8" x14ac:dyDescent="0.3">
      <c r="A747">
        <v>0</v>
      </c>
      <c r="B747">
        <v>3</v>
      </c>
      <c r="C747" t="s">
        <v>755</v>
      </c>
      <c r="D747" t="s">
        <v>9</v>
      </c>
      <c r="E747">
        <v>31</v>
      </c>
      <c r="F747">
        <v>0</v>
      </c>
      <c r="G747">
        <v>0</v>
      </c>
      <c r="H747">
        <v>7.75</v>
      </c>
    </row>
    <row r="748" spans="1:8" x14ac:dyDescent="0.3">
      <c r="A748">
        <v>1</v>
      </c>
      <c r="B748">
        <v>2</v>
      </c>
      <c r="C748" t="s">
        <v>756</v>
      </c>
      <c r="D748" t="s">
        <v>11</v>
      </c>
      <c r="E748">
        <v>4</v>
      </c>
      <c r="F748">
        <v>1</v>
      </c>
      <c r="G748">
        <v>1</v>
      </c>
      <c r="H748">
        <v>23</v>
      </c>
    </row>
    <row r="749" spans="1:8" x14ac:dyDescent="0.3">
      <c r="A749">
        <v>1</v>
      </c>
      <c r="B749">
        <v>3</v>
      </c>
      <c r="C749" t="s">
        <v>757</v>
      </c>
      <c r="D749" t="s">
        <v>9</v>
      </c>
      <c r="E749">
        <v>6</v>
      </c>
      <c r="F749">
        <v>0</v>
      </c>
      <c r="G749">
        <v>1</v>
      </c>
      <c r="H749">
        <v>12.475</v>
      </c>
    </row>
    <row r="750" spans="1:8" x14ac:dyDescent="0.3">
      <c r="A750">
        <v>0</v>
      </c>
      <c r="B750">
        <v>3</v>
      </c>
      <c r="C750" t="s">
        <v>758</v>
      </c>
      <c r="D750" t="s">
        <v>9</v>
      </c>
      <c r="E750">
        <v>33</v>
      </c>
      <c r="F750">
        <v>0</v>
      </c>
      <c r="G750">
        <v>0</v>
      </c>
      <c r="H750">
        <v>9.5</v>
      </c>
    </row>
    <row r="751" spans="1:8" x14ac:dyDescent="0.3">
      <c r="A751">
        <v>0</v>
      </c>
      <c r="B751">
        <v>3</v>
      </c>
      <c r="C751" t="s">
        <v>759</v>
      </c>
      <c r="D751" t="s">
        <v>9</v>
      </c>
      <c r="E751">
        <v>23</v>
      </c>
      <c r="F751">
        <v>0</v>
      </c>
      <c r="G751">
        <v>0</v>
      </c>
      <c r="H751">
        <v>7.8958000000000004</v>
      </c>
    </row>
    <row r="752" spans="1:8" x14ac:dyDescent="0.3">
      <c r="A752">
        <v>1</v>
      </c>
      <c r="B752">
        <v>2</v>
      </c>
      <c r="C752" t="s">
        <v>760</v>
      </c>
      <c r="D752" t="s">
        <v>11</v>
      </c>
      <c r="E752">
        <v>48</v>
      </c>
      <c r="F752">
        <v>1</v>
      </c>
      <c r="G752">
        <v>2</v>
      </c>
      <c r="H752">
        <v>65</v>
      </c>
    </row>
    <row r="753" spans="1:8" x14ac:dyDescent="0.3">
      <c r="A753">
        <v>1</v>
      </c>
      <c r="B753">
        <v>2</v>
      </c>
      <c r="C753" t="s">
        <v>761</v>
      </c>
      <c r="D753" t="s">
        <v>9</v>
      </c>
      <c r="E753">
        <v>0.67</v>
      </c>
      <c r="F753">
        <v>1</v>
      </c>
      <c r="G753">
        <v>1</v>
      </c>
      <c r="H753">
        <v>14.5</v>
      </c>
    </row>
    <row r="754" spans="1:8" x14ac:dyDescent="0.3">
      <c r="A754">
        <v>0</v>
      </c>
      <c r="B754">
        <v>3</v>
      </c>
      <c r="C754" t="s">
        <v>762</v>
      </c>
      <c r="D754" t="s">
        <v>9</v>
      </c>
      <c r="E754">
        <v>28</v>
      </c>
      <c r="F754">
        <v>0</v>
      </c>
      <c r="G754">
        <v>0</v>
      </c>
      <c r="H754">
        <v>7.7957999999999998</v>
      </c>
    </row>
    <row r="755" spans="1:8" x14ac:dyDescent="0.3">
      <c r="A755">
        <v>0</v>
      </c>
      <c r="B755">
        <v>2</v>
      </c>
      <c r="C755" t="s">
        <v>763</v>
      </c>
      <c r="D755" t="s">
        <v>9</v>
      </c>
      <c r="E755">
        <v>18</v>
      </c>
      <c r="F755">
        <v>0</v>
      </c>
      <c r="G755">
        <v>0</v>
      </c>
      <c r="H755">
        <v>11.5</v>
      </c>
    </row>
    <row r="756" spans="1:8" x14ac:dyDescent="0.3">
      <c r="A756">
        <v>0</v>
      </c>
      <c r="B756">
        <v>3</v>
      </c>
      <c r="C756" t="s">
        <v>764</v>
      </c>
      <c r="D756" t="s">
        <v>9</v>
      </c>
      <c r="E756">
        <v>34</v>
      </c>
      <c r="F756">
        <v>0</v>
      </c>
      <c r="G756">
        <v>0</v>
      </c>
      <c r="H756">
        <v>8.0500000000000007</v>
      </c>
    </row>
    <row r="757" spans="1:8" x14ac:dyDescent="0.3">
      <c r="A757">
        <v>1</v>
      </c>
      <c r="B757">
        <v>1</v>
      </c>
      <c r="C757" t="s">
        <v>765</v>
      </c>
      <c r="D757" t="s">
        <v>11</v>
      </c>
      <c r="E757">
        <v>33</v>
      </c>
      <c r="F757">
        <v>0</v>
      </c>
      <c r="G757">
        <v>0</v>
      </c>
      <c r="H757">
        <v>86.5</v>
      </c>
    </row>
    <row r="758" spans="1:8" x14ac:dyDescent="0.3">
      <c r="A758">
        <v>0</v>
      </c>
      <c r="B758">
        <v>3</v>
      </c>
      <c r="C758" t="s">
        <v>766</v>
      </c>
      <c r="D758" t="s">
        <v>9</v>
      </c>
      <c r="E758">
        <v>23</v>
      </c>
      <c r="F758">
        <v>0</v>
      </c>
      <c r="G758">
        <v>0</v>
      </c>
      <c r="H758">
        <v>14.5</v>
      </c>
    </row>
    <row r="759" spans="1:8" x14ac:dyDescent="0.3">
      <c r="A759">
        <v>0</v>
      </c>
      <c r="B759">
        <v>3</v>
      </c>
      <c r="C759" t="s">
        <v>767</v>
      </c>
      <c r="D759" t="s">
        <v>9</v>
      </c>
      <c r="E759">
        <v>41</v>
      </c>
      <c r="F759">
        <v>0</v>
      </c>
      <c r="G759">
        <v>0</v>
      </c>
      <c r="H759">
        <v>7.125</v>
      </c>
    </row>
    <row r="760" spans="1:8" x14ac:dyDescent="0.3">
      <c r="A760">
        <v>1</v>
      </c>
      <c r="B760">
        <v>3</v>
      </c>
      <c r="C760" t="s">
        <v>768</v>
      </c>
      <c r="D760" t="s">
        <v>9</v>
      </c>
      <c r="E760">
        <v>20</v>
      </c>
      <c r="F760">
        <v>0</v>
      </c>
      <c r="G760">
        <v>0</v>
      </c>
      <c r="H760">
        <v>7.2291999999999996</v>
      </c>
    </row>
    <row r="761" spans="1:8" x14ac:dyDescent="0.3">
      <c r="A761">
        <v>1</v>
      </c>
      <c r="B761">
        <v>1</v>
      </c>
      <c r="C761" t="s">
        <v>769</v>
      </c>
      <c r="D761" t="s">
        <v>11</v>
      </c>
      <c r="E761">
        <v>36</v>
      </c>
      <c r="F761">
        <v>1</v>
      </c>
      <c r="G761">
        <v>2</v>
      </c>
      <c r="H761">
        <v>120</v>
      </c>
    </row>
    <row r="762" spans="1:8" x14ac:dyDescent="0.3">
      <c r="A762">
        <v>0</v>
      </c>
      <c r="B762">
        <v>3</v>
      </c>
      <c r="C762" t="s">
        <v>770</v>
      </c>
      <c r="D762" t="s">
        <v>9</v>
      </c>
      <c r="E762">
        <v>16</v>
      </c>
      <c r="F762">
        <v>0</v>
      </c>
      <c r="G762">
        <v>0</v>
      </c>
      <c r="H762">
        <v>7.7750000000000004</v>
      </c>
    </row>
    <row r="763" spans="1:8" x14ac:dyDescent="0.3">
      <c r="A763">
        <v>1</v>
      </c>
      <c r="B763">
        <v>1</v>
      </c>
      <c r="C763" t="s">
        <v>771</v>
      </c>
      <c r="D763" t="s">
        <v>11</v>
      </c>
      <c r="E763">
        <v>51</v>
      </c>
      <c r="F763">
        <v>1</v>
      </c>
      <c r="G763">
        <v>0</v>
      </c>
      <c r="H763">
        <v>77.958299999999994</v>
      </c>
    </row>
    <row r="764" spans="1:8" x14ac:dyDescent="0.3">
      <c r="A764">
        <v>0</v>
      </c>
      <c r="B764">
        <v>1</v>
      </c>
      <c r="C764" t="s">
        <v>772</v>
      </c>
      <c r="D764" t="s">
        <v>9</v>
      </c>
      <c r="E764">
        <v>46</v>
      </c>
      <c r="F764">
        <v>0</v>
      </c>
      <c r="G764">
        <v>0</v>
      </c>
      <c r="H764">
        <v>39.6</v>
      </c>
    </row>
    <row r="765" spans="1:8" x14ac:dyDescent="0.3">
      <c r="A765">
        <v>0</v>
      </c>
      <c r="B765">
        <v>3</v>
      </c>
      <c r="C765" t="s">
        <v>773</v>
      </c>
      <c r="D765" t="s">
        <v>11</v>
      </c>
      <c r="E765">
        <v>30.5</v>
      </c>
      <c r="F765">
        <v>0</v>
      </c>
      <c r="G765">
        <v>0</v>
      </c>
      <c r="H765">
        <v>7.75</v>
      </c>
    </row>
    <row r="766" spans="1:8" x14ac:dyDescent="0.3">
      <c r="A766">
        <v>0</v>
      </c>
      <c r="B766">
        <v>3</v>
      </c>
      <c r="C766" t="s">
        <v>774</v>
      </c>
      <c r="D766" t="s">
        <v>9</v>
      </c>
      <c r="E766">
        <v>28</v>
      </c>
      <c r="F766">
        <v>1</v>
      </c>
      <c r="G766">
        <v>0</v>
      </c>
      <c r="H766">
        <v>24.15</v>
      </c>
    </row>
    <row r="767" spans="1:8" x14ac:dyDescent="0.3">
      <c r="A767">
        <v>0</v>
      </c>
      <c r="B767">
        <v>3</v>
      </c>
      <c r="C767" t="s">
        <v>775</v>
      </c>
      <c r="D767" t="s">
        <v>9</v>
      </c>
      <c r="E767">
        <v>32</v>
      </c>
      <c r="F767">
        <v>0</v>
      </c>
      <c r="G767">
        <v>0</v>
      </c>
      <c r="H767">
        <v>8.3625000000000007</v>
      </c>
    </row>
    <row r="768" spans="1:8" x14ac:dyDescent="0.3">
      <c r="A768">
        <v>0</v>
      </c>
      <c r="B768">
        <v>3</v>
      </c>
      <c r="C768" t="s">
        <v>776</v>
      </c>
      <c r="D768" t="s">
        <v>9</v>
      </c>
      <c r="E768">
        <v>24</v>
      </c>
      <c r="F768">
        <v>0</v>
      </c>
      <c r="G768">
        <v>0</v>
      </c>
      <c r="H768">
        <v>9.5</v>
      </c>
    </row>
    <row r="769" spans="1:8" x14ac:dyDescent="0.3">
      <c r="A769">
        <v>0</v>
      </c>
      <c r="B769">
        <v>3</v>
      </c>
      <c r="C769" t="s">
        <v>777</v>
      </c>
      <c r="D769" t="s">
        <v>9</v>
      </c>
      <c r="E769">
        <v>48</v>
      </c>
      <c r="F769">
        <v>0</v>
      </c>
      <c r="G769">
        <v>0</v>
      </c>
      <c r="H769">
        <v>7.8541999999999996</v>
      </c>
    </row>
    <row r="770" spans="1:8" x14ac:dyDescent="0.3">
      <c r="A770">
        <v>0</v>
      </c>
      <c r="B770">
        <v>2</v>
      </c>
      <c r="C770" t="s">
        <v>778</v>
      </c>
      <c r="D770" t="s">
        <v>11</v>
      </c>
      <c r="E770">
        <v>57</v>
      </c>
      <c r="F770">
        <v>0</v>
      </c>
      <c r="G770">
        <v>0</v>
      </c>
      <c r="H770">
        <v>10.5</v>
      </c>
    </row>
    <row r="771" spans="1:8" x14ac:dyDescent="0.3">
      <c r="A771">
        <v>0</v>
      </c>
      <c r="B771">
        <v>3</v>
      </c>
      <c r="C771" t="s">
        <v>779</v>
      </c>
      <c r="D771" t="s">
        <v>9</v>
      </c>
      <c r="E771">
        <v>29</v>
      </c>
      <c r="F771">
        <v>0</v>
      </c>
      <c r="G771">
        <v>0</v>
      </c>
      <c r="H771">
        <v>7.2249999999999996</v>
      </c>
    </row>
    <row r="772" spans="1:8" x14ac:dyDescent="0.3">
      <c r="A772">
        <v>1</v>
      </c>
      <c r="B772">
        <v>2</v>
      </c>
      <c r="C772" t="s">
        <v>780</v>
      </c>
      <c r="D772" t="s">
        <v>11</v>
      </c>
      <c r="E772">
        <v>54</v>
      </c>
      <c r="F772">
        <v>1</v>
      </c>
      <c r="G772">
        <v>3</v>
      </c>
      <c r="H772">
        <v>23</v>
      </c>
    </row>
    <row r="773" spans="1:8" x14ac:dyDescent="0.3">
      <c r="A773">
        <v>0</v>
      </c>
      <c r="B773">
        <v>3</v>
      </c>
      <c r="C773" t="s">
        <v>781</v>
      </c>
      <c r="D773" t="s">
        <v>9</v>
      </c>
      <c r="E773">
        <v>18</v>
      </c>
      <c r="F773">
        <v>0</v>
      </c>
      <c r="G773">
        <v>0</v>
      </c>
      <c r="H773">
        <v>7.75</v>
      </c>
    </row>
    <row r="774" spans="1:8" x14ac:dyDescent="0.3">
      <c r="A774">
        <v>0</v>
      </c>
      <c r="B774">
        <v>3</v>
      </c>
      <c r="C774" t="s">
        <v>782</v>
      </c>
      <c r="D774" t="s">
        <v>9</v>
      </c>
      <c r="E774">
        <v>20</v>
      </c>
      <c r="F774">
        <v>0</v>
      </c>
      <c r="G774">
        <v>0</v>
      </c>
      <c r="H774">
        <v>7.75</v>
      </c>
    </row>
    <row r="775" spans="1:8" x14ac:dyDescent="0.3">
      <c r="A775">
        <v>1</v>
      </c>
      <c r="B775">
        <v>3</v>
      </c>
      <c r="C775" t="s">
        <v>783</v>
      </c>
      <c r="D775" t="s">
        <v>11</v>
      </c>
      <c r="E775">
        <v>5</v>
      </c>
      <c r="F775">
        <v>0</v>
      </c>
      <c r="G775">
        <v>0</v>
      </c>
      <c r="H775">
        <v>12.475</v>
      </c>
    </row>
    <row r="776" spans="1:8" x14ac:dyDescent="0.3">
      <c r="A776">
        <v>0</v>
      </c>
      <c r="B776">
        <v>3</v>
      </c>
      <c r="C776" t="s">
        <v>784</v>
      </c>
      <c r="D776" t="s">
        <v>9</v>
      </c>
      <c r="E776">
        <v>22</v>
      </c>
      <c r="F776">
        <v>0</v>
      </c>
      <c r="G776">
        <v>0</v>
      </c>
      <c r="H776">
        <v>7.7374999999999998</v>
      </c>
    </row>
    <row r="777" spans="1:8" x14ac:dyDescent="0.3">
      <c r="A777">
        <v>1</v>
      </c>
      <c r="B777">
        <v>1</v>
      </c>
      <c r="C777" t="s">
        <v>785</v>
      </c>
      <c r="D777" t="s">
        <v>11</v>
      </c>
      <c r="E777">
        <v>43</v>
      </c>
      <c r="F777">
        <v>0</v>
      </c>
      <c r="G777">
        <v>1</v>
      </c>
      <c r="H777">
        <v>211.33750000000001</v>
      </c>
    </row>
    <row r="778" spans="1:8" x14ac:dyDescent="0.3">
      <c r="A778">
        <v>1</v>
      </c>
      <c r="B778">
        <v>3</v>
      </c>
      <c r="C778" t="s">
        <v>786</v>
      </c>
      <c r="D778" t="s">
        <v>11</v>
      </c>
      <c r="E778">
        <v>13</v>
      </c>
      <c r="F778">
        <v>0</v>
      </c>
      <c r="G778">
        <v>0</v>
      </c>
      <c r="H778">
        <v>7.2291999999999996</v>
      </c>
    </row>
    <row r="779" spans="1:8" x14ac:dyDescent="0.3">
      <c r="A779">
        <v>1</v>
      </c>
      <c r="B779">
        <v>1</v>
      </c>
      <c r="C779" t="s">
        <v>787</v>
      </c>
      <c r="D779" t="s">
        <v>11</v>
      </c>
      <c r="E779">
        <v>17</v>
      </c>
      <c r="F779">
        <v>1</v>
      </c>
      <c r="G779">
        <v>0</v>
      </c>
      <c r="H779">
        <v>57</v>
      </c>
    </row>
    <row r="780" spans="1:8" x14ac:dyDescent="0.3">
      <c r="A780">
        <v>0</v>
      </c>
      <c r="B780">
        <v>1</v>
      </c>
      <c r="C780" t="s">
        <v>788</v>
      </c>
      <c r="D780" t="s">
        <v>9</v>
      </c>
      <c r="E780">
        <v>29</v>
      </c>
      <c r="F780">
        <v>0</v>
      </c>
      <c r="G780">
        <v>0</v>
      </c>
      <c r="H780">
        <v>30</v>
      </c>
    </row>
    <row r="781" spans="1:8" x14ac:dyDescent="0.3">
      <c r="A781">
        <v>0</v>
      </c>
      <c r="B781">
        <v>3</v>
      </c>
      <c r="C781" t="s">
        <v>789</v>
      </c>
      <c r="D781" t="s">
        <v>9</v>
      </c>
      <c r="E781">
        <v>35</v>
      </c>
      <c r="F781">
        <v>1</v>
      </c>
      <c r="G781">
        <v>2</v>
      </c>
      <c r="H781">
        <v>23.45</v>
      </c>
    </row>
    <row r="782" spans="1:8" x14ac:dyDescent="0.3">
      <c r="A782">
        <v>0</v>
      </c>
      <c r="B782">
        <v>3</v>
      </c>
      <c r="C782" t="s">
        <v>790</v>
      </c>
      <c r="D782" t="s">
        <v>9</v>
      </c>
      <c r="E782">
        <v>25</v>
      </c>
      <c r="F782">
        <v>0</v>
      </c>
      <c r="G782">
        <v>0</v>
      </c>
      <c r="H782">
        <v>7.05</v>
      </c>
    </row>
    <row r="783" spans="1:8" x14ac:dyDescent="0.3">
      <c r="A783">
        <v>0</v>
      </c>
      <c r="B783">
        <v>3</v>
      </c>
      <c r="C783" t="s">
        <v>791</v>
      </c>
      <c r="D783" t="s">
        <v>9</v>
      </c>
      <c r="E783">
        <v>25</v>
      </c>
      <c r="F783">
        <v>0</v>
      </c>
      <c r="G783">
        <v>0</v>
      </c>
      <c r="H783">
        <v>7.25</v>
      </c>
    </row>
    <row r="784" spans="1:8" x14ac:dyDescent="0.3">
      <c r="A784">
        <v>1</v>
      </c>
      <c r="B784">
        <v>3</v>
      </c>
      <c r="C784" t="s">
        <v>792</v>
      </c>
      <c r="D784" t="s">
        <v>11</v>
      </c>
      <c r="E784">
        <v>18</v>
      </c>
      <c r="F784">
        <v>0</v>
      </c>
      <c r="G784">
        <v>0</v>
      </c>
      <c r="H784">
        <v>7.4958</v>
      </c>
    </row>
    <row r="785" spans="1:8" x14ac:dyDescent="0.3">
      <c r="A785">
        <v>0</v>
      </c>
      <c r="B785">
        <v>3</v>
      </c>
      <c r="C785" t="s">
        <v>793</v>
      </c>
      <c r="D785" t="s">
        <v>9</v>
      </c>
      <c r="E785">
        <v>8</v>
      </c>
      <c r="F785">
        <v>4</v>
      </c>
      <c r="G785">
        <v>1</v>
      </c>
      <c r="H785">
        <v>29.125</v>
      </c>
    </row>
    <row r="786" spans="1:8" x14ac:dyDescent="0.3">
      <c r="A786">
        <v>1</v>
      </c>
      <c r="B786">
        <v>3</v>
      </c>
      <c r="C786" t="s">
        <v>794</v>
      </c>
      <c r="D786" t="s">
        <v>9</v>
      </c>
      <c r="E786">
        <v>1</v>
      </c>
      <c r="F786">
        <v>1</v>
      </c>
      <c r="G786">
        <v>2</v>
      </c>
      <c r="H786">
        <v>20.574999999999999</v>
      </c>
    </row>
    <row r="787" spans="1:8" x14ac:dyDescent="0.3">
      <c r="A787">
        <v>0</v>
      </c>
      <c r="B787">
        <v>1</v>
      </c>
      <c r="C787" t="s">
        <v>795</v>
      </c>
      <c r="D787" t="s">
        <v>9</v>
      </c>
      <c r="E787">
        <v>46</v>
      </c>
      <c r="F787">
        <v>0</v>
      </c>
      <c r="G787">
        <v>0</v>
      </c>
      <c r="H787">
        <v>79.2</v>
      </c>
    </row>
    <row r="788" spans="1:8" x14ac:dyDescent="0.3">
      <c r="A788">
        <v>0</v>
      </c>
      <c r="B788">
        <v>3</v>
      </c>
      <c r="C788" t="s">
        <v>796</v>
      </c>
      <c r="D788" t="s">
        <v>9</v>
      </c>
      <c r="E788">
        <v>20</v>
      </c>
      <c r="F788">
        <v>0</v>
      </c>
      <c r="G788">
        <v>0</v>
      </c>
      <c r="H788">
        <v>7.75</v>
      </c>
    </row>
    <row r="789" spans="1:8" x14ac:dyDescent="0.3">
      <c r="A789">
        <v>0</v>
      </c>
      <c r="B789">
        <v>2</v>
      </c>
      <c r="C789" t="s">
        <v>797</v>
      </c>
      <c r="D789" t="s">
        <v>9</v>
      </c>
      <c r="E789">
        <v>16</v>
      </c>
      <c r="F789">
        <v>0</v>
      </c>
      <c r="G789">
        <v>0</v>
      </c>
      <c r="H789">
        <v>26</v>
      </c>
    </row>
    <row r="790" spans="1:8" x14ac:dyDescent="0.3">
      <c r="A790">
        <v>0</v>
      </c>
      <c r="B790">
        <v>3</v>
      </c>
      <c r="C790" t="s">
        <v>798</v>
      </c>
      <c r="D790" t="s">
        <v>11</v>
      </c>
      <c r="E790">
        <v>21</v>
      </c>
      <c r="F790">
        <v>8</v>
      </c>
      <c r="G790">
        <v>2</v>
      </c>
      <c r="H790">
        <v>69.55</v>
      </c>
    </row>
    <row r="791" spans="1:8" x14ac:dyDescent="0.3">
      <c r="A791">
        <v>0</v>
      </c>
      <c r="B791">
        <v>1</v>
      </c>
      <c r="C791" t="s">
        <v>799</v>
      </c>
      <c r="D791" t="s">
        <v>9</v>
      </c>
      <c r="E791">
        <v>43</v>
      </c>
      <c r="F791">
        <v>0</v>
      </c>
      <c r="G791">
        <v>0</v>
      </c>
      <c r="H791">
        <v>30.695799999999998</v>
      </c>
    </row>
    <row r="792" spans="1:8" x14ac:dyDescent="0.3">
      <c r="A792">
        <v>0</v>
      </c>
      <c r="B792">
        <v>3</v>
      </c>
      <c r="C792" t="s">
        <v>800</v>
      </c>
      <c r="D792" t="s">
        <v>9</v>
      </c>
      <c r="E792">
        <v>25</v>
      </c>
      <c r="F792">
        <v>0</v>
      </c>
      <c r="G792">
        <v>0</v>
      </c>
      <c r="H792">
        <v>7.8958000000000004</v>
      </c>
    </row>
    <row r="793" spans="1:8" x14ac:dyDescent="0.3">
      <c r="A793">
        <v>0</v>
      </c>
      <c r="B793">
        <v>2</v>
      </c>
      <c r="C793" t="s">
        <v>801</v>
      </c>
      <c r="D793" t="s">
        <v>9</v>
      </c>
      <c r="E793">
        <v>39</v>
      </c>
      <c r="F793">
        <v>0</v>
      </c>
      <c r="G793">
        <v>0</v>
      </c>
      <c r="H793">
        <v>13</v>
      </c>
    </row>
    <row r="794" spans="1:8" x14ac:dyDescent="0.3">
      <c r="A794">
        <v>1</v>
      </c>
      <c r="B794">
        <v>1</v>
      </c>
      <c r="C794" t="s">
        <v>802</v>
      </c>
      <c r="D794" t="s">
        <v>11</v>
      </c>
      <c r="E794">
        <v>49</v>
      </c>
      <c r="F794">
        <v>0</v>
      </c>
      <c r="G794">
        <v>0</v>
      </c>
      <c r="H794">
        <v>25.929200000000002</v>
      </c>
    </row>
    <row r="795" spans="1:8" x14ac:dyDescent="0.3">
      <c r="A795">
        <v>1</v>
      </c>
      <c r="B795">
        <v>3</v>
      </c>
      <c r="C795" t="s">
        <v>803</v>
      </c>
      <c r="D795" t="s">
        <v>11</v>
      </c>
      <c r="E795">
        <v>31</v>
      </c>
      <c r="F795">
        <v>0</v>
      </c>
      <c r="G795">
        <v>0</v>
      </c>
      <c r="H795">
        <v>8.6832999999999991</v>
      </c>
    </row>
    <row r="796" spans="1:8" x14ac:dyDescent="0.3">
      <c r="A796">
        <v>0</v>
      </c>
      <c r="B796">
        <v>3</v>
      </c>
      <c r="C796" t="s">
        <v>804</v>
      </c>
      <c r="D796" t="s">
        <v>9</v>
      </c>
      <c r="E796">
        <v>30</v>
      </c>
      <c r="F796">
        <v>0</v>
      </c>
      <c r="G796">
        <v>0</v>
      </c>
      <c r="H796">
        <v>7.2291999999999996</v>
      </c>
    </row>
    <row r="797" spans="1:8" x14ac:dyDescent="0.3">
      <c r="A797">
        <v>0</v>
      </c>
      <c r="B797">
        <v>3</v>
      </c>
      <c r="C797" t="s">
        <v>805</v>
      </c>
      <c r="D797" t="s">
        <v>11</v>
      </c>
      <c r="E797">
        <v>30</v>
      </c>
      <c r="F797">
        <v>1</v>
      </c>
      <c r="G797">
        <v>1</v>
      </c>
      <c r="H797">
        <v>24.15</v>
      </c>
    </row>
    <row r="798" spans="1:8" x14ac:dyDescent="0.3">
      <c r="A798">
        <v>0</v>
      </c>
      <c r="B798">
        <v>2</v>
      </c>
      <c r="C798" t="s">
        <v>806</v>
      </c>
      <c r="D798" t="s">
        <v>9</v>
      </c>
      <c r="E798">
        <v>34</v>
      </c>
      <c r="F798">
        <v>0</v>
      </c>
      <c r="G798">
        <v>0</v>
      </c>
      <c r="H798">
        <v>13</v>
      </c>
    </row>
    <row r="799" spans="1:8" x14ac:dyDescent="0.3">
      <c r="A799">
        <v>1</v>
      </c>
      <c r="B799">
        <v>2</v>
      </c>
      <c r="C799" t="s">
        <v>807</v>
      </c>
      <c r="D799" t="s">
        <v>11</v>
      </c>
      <c r="E799">
        <v>31</v>
      </c>
      <c r="F799">
        <v>1</v>
      </c>
      <c r="G799">
        <v>1</v>
      </c>
      <c r="H799">
        <v>26.25</v>
      </c>
    </row>
    <row r="800" spans="1:8" x14ac:dyDescent="0.3">
      <c r="A800">
        <v>1</v>
      </c>
      <c r="B800">
        <v>1</v>
      </c>
      <c r="C800" t="s">
        <v>808</v>
      </c>
      <c r="D800" t="s">
        <v>9</v>
      </c>
      <c r="E800">
        <v>11</v>
      </c>
      <c r="F800">
        <v>1</v>
      </c>
      <c r="G800">
        <v>2</v>
      </c>
      <c r="H800">
        <v>120</v>
      </c>
    </row>
    <row r="801" spans="1:8" x14ac:dyDescent="0.3">
      <c r="A801">
        <v>1</v>
      </c>
      <c r="B801">
        <v>3</v>
      </c>
      <c r="C801" t="s">
        <v>809</v>
      </c>
      <c r="D801" t="s">
        <v>9</v>
      </c>
      <c r="E801">
        <v>0.42</v>
      </c>
      <c r="F801">
        <v>0</v>
      </c>
      <c r="G801">
        <v>1</v>
      </c>
      <c r="H801">
        <v>8.5167000000000002</v>
      </c>
    </row>
    <row r="802" spans="1:8" x14ac:dyDescent="0.3">
      <c r="A802">
        <v>1</v>
      </c>
      <c r="B802">
        <v>3</v>
      </c>
      <c r="C802" t="s">
        <v>810</v>
      </c>
      <c r="D802" t="s">
        <v>9</v>
      </c>
      <c r="E802">
        <v>27</v>
      </c>
      <c r="F802">
        <v>0</v>
      </c>
      <c r="G802">
        <v>0</v>
      </c>
      <c r="H802">
        <v>6.9749999999999996</v>
      </c>
    </row>
    <row r="803" spans="1:8" x14ac:dyDescent="0.3">
      <c r="A803">
        <v>0</v>
      </c>
      <c r="B803">
        <v>3</v>
      </c>
      <c r="C803" t="s">
        <v>811</v>
      </c>
      <c r="D803" t="s">
        <v>9</v>
      </c>
      <c r="E803">
        <v>31</v>
      </c>
      <c r="F803">
        <v>0</v>
      </c>
      <c r="G803">
        <v>0</v>
      </c>
      <c r="H803">
        <v>7.7750000000000004</v>
      </c>
    </row>
    <row r="804" spans="1:8" x14ac:dyDescent="0.3">
      <c r="A804">
        <v>0</v>
      </c>
      <c r="B804">
        <v>1</v>
      </c>
      <c r="C804" t="s">
        <v>812</v>
      </c>
      <c r="D804" t="s">
        <v>9</v>
      </c>
      <c r="E804">
        <v>39</v>
      </c>
      <c r="F804">
        <v>0</v>
      </c>
      <c r="G804">
        <v>0</v>
      </c>
      <c r="H804">
        <v>0</v>
      </c>
    </row>
    <row r="805" spans="1:8" x14ac:dyDescent="0.3">
      <c r="A805">
        <v>0</v>
      </c>
      <c r="B805">
        <v>3</v>
      </c>
      <c r="C805" t="s">
        <v>813</v>
      </c>
      <c r="D805" t="s">
        <v>11</v>
      </c>
      <c r="E805">
        <v>18</v>
      </c>
      <c r="F805">
        <v>0</v>
      </c>
      <c r="G805">
        <v>0</v>
      </c>
      <c r="H805">
        <v>7.7750000000000004</v>
      </c>
    </row>
    <row r="806" spans="1:8" x14ac:dyDescent="0.3">
      <c r="A806">
        <v>0</v>
      </c>
      <c r="B806">
        <v>2</v>
      </c>
      <c r="C806" t="s">
        <v>814</v>
      </c>
      <c r="D806" t="s">
        <v>9</v>
      </c>
      <c r="E806">
        <v>39</v>
      </c>
      <c r="F806">
        <v>0</v>
      </c>
      <c r="G806">
        <v>0</v>
      </c>
      <c r="H806">
        <v>13</v>
      </c>
    </row>
    <row r="807" spans="1:8" x14ac:dyDescent="0.3">
      <c r="A807">
        <v>1</v>
      </c>
      <c r="B807">
        <v>1</v>
      </c>
      <c r="C807" t="s">
        <v>815</v>
      </c>
      <c r="D807" t="s">
        <v>11</v>
      </c>
      <c r="E807">
        <v>33</v>
      </c>
      <c r="F807">
        <v>1</v>
      </c>
      <c r="G807">
        <v>0</v>
      </c>
      <c r="H807">
        <v>53.1</v>
      </c>
    </row>
    <row r="808" spans="1:8" x14ac:dyDescent="0.3">
      <c r="A808">
        <v>0</v>
      </c>
      <c r="B808">
        <v>3</v>
      </c>
      <c r="C808" t="s">
        <v>816</v>
      </c>
      <c r="D808" t="s">
        <v>9</v>
      </c>
      <c r="E808">
        <v>26</v>
      </c>
      <c r="F808">
        <v>0</v>
      </c>
      <c r="G808">
        <v>0</v>
      </c>
      <c r="H808">
        <v>7.8875000000000002</v>
      </c>
    </row>
    <row r="809" spans="1:8" x14ac:dyDescent="0.3">
      <c r="A809">
        <v>0</v>
      </c>
      <c r="B809">
        <v>3</v>
      </c>
      <c r="C809" t="s">
        <v>817</v>
      </c>
      <c r="D809" t="s">
        <v>9</v>
      </c>
      <c r="E809">
        <v>39</v>
      </c>
      <c r="F809">
        <v>0</v>
      </c>
      <c r="G809">
        <v>0</v>
      </c>
      <c r="H809">
        <v>24.15</v>
      </c>
    </row>
    <row r="810" spans="1:8" x14ac:dyDescent="0.3">
      <c r="A810">
        <v>0</v>
      </c>
      <c r="B810">
        <v>2</v>
      </c>
      <c r="C810" t="s">
        <v>818</v>
      </c>
      <c r="D810" t="s">
        <v>9</v>
      </c>
      <c r="E810">
        <v>35</v>
      </c>
      <c r="F810">
        <v>0</v>
      </c>
      <c r="G810">
        <v>0</v>
      </c>
      <c r="H810">
        <v>10.5</v>
      </c>
    </row>
    <row r="811" spans="1:8" x14ac:dyDescent="0.3">
      <c r="A811">
        <v>0</v>
      </c>
      <c r="B811">
        <v>3</v>
      </c>
      <c r="C811" t="s">
        <v>819</v>
      </c>
      <c r="D811" t="s">
        <v>11</v>
      </c>
      <c r="E811">
        <v>6</v>
      </c>
      <c r="F811">
        <v>4</v>
      </c>
      <c r="G811">
        <v>2</v>
      </c>
      <c r="H811">
        <v>31.274999999999999</v>
      </c>
    </row>
    <row r="812" spans="1:8" x14ac:dyDescent="0.3">
      <c r="A812">
        <v>0</v>
      </c>
      <c r="B812">
        <v>3</v>
      </c>
      <c r="C812" t="s">
        <v>820</v>
      </c>
      <c r="D812" t="s">
        <v>9</v>
      </c>
      <c r="E812">
        <v>30.5</v>
      </c>
      <c r="F812">
        <v>0</v>
      </c>
      <c r="G812">
        <v>0</v>
      </c>
      <c r="H812">
        <v>8.0500000000000007</v>
      </c>
    </row>
    <row r="813" spans="1:8" x14ac:dyDescent="0.3">
      <c r="A813">
        <v>0</v>
      </c>
      <c r="B813">
        <v>1</v>
      </c>
      <c r="C813" t="s">
        <v>821</v>
      </c>
      <c r="D813" t="s">
        <v>9</v>
      </c>
      <c r="E813">
        <v>39</v>
      </c>
      <c r="F813">
        <v>0</v>
      </c>
      <c r="G813">
        <v>0</v>
      </c>
      <c r="H813">
        <v>0</v>
      </c>
    </row>
    <row r="814" spans="1:8" x14ac:dyDescent="0.3">
      <c r="A814">
        <v>0</v>
      </c>
      <c r="B814">
        <v>3</v>
      </c>
      <c r="C814" t="s">
        <v>822</v>
      </c>
      <c r="D814" t="s">
        <v>11</v>
      </c>
      <c r="E814">
        <v>23</v>
      </c>
      <c r="F814">
        <v>0</v>
      </c>
      <c r="G814">
        <v>0</v>
      </c>
      <c r="H814">
        <v>7.9249999999999998</v>
      </c>
    </row>
    <row r="815" spans="1:8" x14ac:dyDescent="0.3">
      <c r="A815">
        <v>0</v>
      </c>
      <c r="B815">
        <v>2</v>
      </c>
      <c r="C815" t="s">
        <v>823</v>
      </c>
      <c r="D815" t="s">
        <v>9</v>
      </c>
      <c r="E815">
        <v>31</v>
      </c>
      <c r="F815">
        <v>1</v>
      </c>
      <c r="G815">
        <v>1</v>
      </c>
      <c r="H815">
        <v>37.004199999999997</v>
      </c>
    </row>
    <row r="816" spans="1:8" x14ac:dyDescent="0.3">
      <c r="A816">
        <v>0</v>
      </c>
      <c r="B816">
        <v>3</v>
      </c>
      <c r="C816" t="s">
        <v>824</v>
      </c>
      <c r="D816" t="s">
        <v>9</v>
      </c>
      <c r="E816">
        <v>43</v>
      </c>
      <c r="F816">
        <v>0</v>
      </c>
      <c r="G816">
        <v>0</v>
      </c>
      <c r="H816">
        <v>6.45</v>
      </c>
    </row>
    <row r="817" spans="1:8" x14ac:dyDescent="0.3">
      <c r="A817">
        <v>0</v>
      </c>
      <c r="B817">
        <v>3</v>
      </c>
      <c r="C817" t="s">
        <v>825</v>
      </c>
      <c r="D817" t="s">
        <v>9</v>
      </c>
      <c r="E817">
        <v>10</v>
      </c>
      <c r="F817">
        <v>3</v>
      </c>
      <c r="G817">
        <v>2</v>
      </c>
      <c r="H817">
        <v>27.9</v>
      </c>
    </row>
    <row r="818" spans="1:8" x14ac:dyDescent="0.3">
      <c r="A818">
        <v>1</v>
      </c>
      <c r="B818">
        <v>1</v>
      </c>
      <c r="C818" t="s">
        <v>826</v>
      </c>
      <c r="D818" t="s">
        <v>11</v>
      </c>
      <c r="E818">
        <v>52</v>
      </c>
      <c r="F818">
        <v>1</v>
      </c>
      <c r="G818">
        <v>1</v>
      </c>
      <c r="H818">
        <v>93.5</v>
      </c>
    </row>
    <row r="819" spans="1:8" x14ac:dyDescent="0.3">
      <c r="A819">
        <v>1</v>
      </c>
      <c r="B819">
        <v>3</v>
      </c>
      <c r="C819" t="s">
        <v>827</v>
      </c>
      <c r="D819" t="s">
        <v>9</v>
      </c>
      <c r="E819">
        <v>27</v>
      </c>
      <c r="F819">
        <v>0</v>
      </c>
      <c r="G819">
        <v>0</v>
      </c>
      <c r="H819">
        <v>8.6624999999999996</v>
      </c>
    </row>
    <row r="820" spans="1:8" x14ac:dyDescent="0.3">
      <c r="A820">
        <v>0</v>
      </c>
      <c r="B820">
        <v>1</v>
      </c>
      <c r="C820" t="s">
        <v>828</v>
      </c>
      <c r="D820" t="s">
        <v>9</v>
      </c>
      <c r="E820">
        <v>38</v>
      </c>
      <c r="F820">
        <v>0</v>
      </c>
      <c r="G820">
        <v>0</v>
      </c>
      <c r="H820">
        <v>0</v>
      </c>
    </row>
    <row r="821" spans="1:8" x14ac:dyDescent="0.3">
      <c r="A821">
        <v>1</v>
      </c>
      <c r="B821">
        <v>3</v>
      </c>
      <c r="C821" t="s">
        <v>829</v>
      </c>
      <c r="D821" t="s">
        <v>11</v>
      </c>
      <c r="E821">
        <v>27</v>
      </c>
      <c r="F821">
        <v>0</v>
      </c>
      <c r="G821">
        <v>1</v>
      </c>
      <c r="H821">
        <v>12.475</v>
      </c>
    </row>
    <row r="822" spans="1:8" x14ac:dyDescent="0.3">
      <c r="A822">
        <v>0</v>
      </c>
      <c r="B822">
        <v>3</v>
      </c>
      <c r="C822" t="s">
        <v>830</v>
      </c>
      <c r="D822" t="s">
        <v>9</v>
      </c>
      <c r="E822">
        <v>2</v>
      </c>
      <c r="F822">
        <v>4</v>
      </c>
      <c r="G822">
        <v>1</v>
      </c>
      <c r="H822">
        <v>39.6875</v>
      </c>
    </row>
    <row r="823" spans="1:8" x14ac:dyDescent="0.3">
      <c r="A823">
        <v>0</v>
      </c>
      <c r="B823">
        <v>3</v>
      </c>
      <c r="C823" t="s">
        <v>831</v>
      </c>
      <c r="D823" t="s">
        <v>9</v>
      </c>
      <c r="E823">
        <v>36</v>
      </c>
      <c r="F823">
        <v>0</v>
      </c>
      <c r="G823">
        <v>0</v>
      </c>
      <c r="H823">
        <v>6.95</v>
      </c>
    </row>
    <row r="824" spans="1:8" x14ac:dyDescent="0.3">
      <c r="A824">
        <v>0</v>
      </c>
      <c r="B824">
        <v>3</v>
      </c>
      <c r="C824" t="s">
        <v>832</v>
      </c>
      <c r="D824" t="s">
        <v>9</v>
      </c>
      <c r="E824">
        <v>23</v>
      </c>
      <c r="F824">
        <v>0</v>
      </c>
      <c r="G824">
        <v>0</v>
      </c>
      <c r="H824">
        <v>56.495800000000003</v>
      </c>
    </row>
    <row r="825" spans="1:8" x14ac:dyDescent="0.3">
      <c r="A825">
        <v>1</v>
      </c>
      <c r="B825">
        <v>2</v>
      </c>
      <c r="C825" t="s">
        <v>833</v>
      </c>
      <c r="D825" t="s">
        <v>9</v>
      </c>
      <c r="E825">
        <v>1</v>
      </c>
      <c r="F825">
        <v>0</v>
      </c>
      <c r="G825">
        <v>2</v>
      </c>
      <c r="H825">
        <v>37.004199999999997</v>
      </c>
    </row>
    <row r="826" spans="1:8" x14ac:dyDescent="0.3">
      <c r="A826">
        <v>1</v>
      </c>
      <c r="B826">
        <v>3</v>
      </c>
      <c r="C826" t="s">
        <v>834</v>
      </c>
      <c r="D826" t="s">
        <v>9</v>
      </c>
      <c r="E826">
        <v>19</v>
      </c>
      <c r="F826">
        <v>0</v>
      </c>
      <c r="G826">
        <v>0</v>
      </c>
      <c r="H826">
        <v>7.75</v>
      </c>
    </row>
    <row r="827" spans="1:8" x14ac:dyDescent="0.3">
      <c r="A827">
        <v>1</v>
      </c>
      <c r="B827">
        <v>1</v>
      </c>
      <c r="C827" t="s">
        <v>835</v>
      </c>
      <c r="D827" t="s">
        <v>11</v>
      </c>
      <c r="E827">
        <v>62</v>
      </c>
      <c r="F827">
        <v>0</v>
      </c>
      <c r="G827">
        <v>0</v>
      </c>
      <c r="H827">
        <v>80</v>
      </c>
    </row>
    <row r="828" spans="1:8" x14ac:dyDescent="0.3">
      <c r="A828">
        <v>1</v>
      </c>
      <c r="B828">
        <v>3</v>
      </c>
      <c r="C828" t="s">
        <v>836</v>
      </c>
      <c r="D828" t="s">
        <v>11</v>
      </c>
      <c r="E828">
        <v>15</v>
      </c>
      <c r="F828">
        <v>1</v>
      </c>
      <c r="G828">
        <v>0</v>
      </c>
      <c r="H828">
        <v>14.4542</v>
      </c>
    </row>
    <row r="829" spans="1:8" x14ac:dyDescent="0.3">
      <c r="A829">
        <v>1</v>
      </c>
      <c r="B829">
        <v>2</v>
      </c>
      <c r="C829" t="s">
        <v>837</v>
      </c>
      <c r="D829" t="s">
        <v>9</v>
      </c>
      <c r="E829">
        <v>0.83</v>
      </c>
      <c r="F829">
        <v>1</v>
      </c>
      <c r="G829">
        <v>1</v>
      </c>
      <c r="H829">
        <v>18.75</v>
      </c>
    </row>
    <row r="830" spans="1:8" x14ac:dyDescent="0.3">
      <c r="A830">
        <v>0</v>
      </c>
      <c r="B830">
        <v>3</v>
      </c>
      <c r="C830" t="s">
        <v>838</v>
      </c>
      <c r="D830" t="s">
        <v>9</v>
      </c>
      <c r="E830">
        <v>30</v>
      </c>
      <c r="F830">
        <v>0</v>
      </c>
      <c r="G830">
        <v>0</v>
      </c>
      <c r="H830">
        <v>7.2291999999999996</v>
      </c>
    </row>
    <row r="831" spans="1:8" x14ac:dyDescent="0.3">
      <c r="A831">
        <v>0</v>
      </c>
      <c r="B831">
        <v>3</v>
      </c>
      <c r="C831" t="s">
        <v>839</v>
      </c>
      <c r="D831" t="s">
        <v>9</v>
      </c>
      <c r="E831">
        <v>23</v>
      </c>
      <c r="F831">
        <v>0</v>
      </c>
      <c r="G831">
        <v>0</v>
      </c>
      <c r="H831">
        <v>7.8541999999999996</v>
      </c>
    </row>
    <row r="832" spans="1:8" x14ac:dyDescent="0.3">
      <c r="A832">
        <v>0</v>
      </c>
      <c r="B832">
        <v>3</v>
      </c>
      <c r="C832" t="s">
        <v>840</v>
      </c>
      <c r="D832" t="s">
        <v>9</v>
      </c>
      <c r="E832">
        <v>18</v>
      </c>
      <c r="F832">
        <v>0</v>
      </c>
      <c r="G832">
        <v>0</v>
      </c>
      <c r="H832">
        <v>8.3000000000000007</v>
      </c>
    </row>
    <row r="833" spans="1:8" x14ac:dyDescent="0.3">
      <c r="A833">
        <v>1</v>
      </c>
      <c r="B833">
        <v>1</v>
      </c>
      <c r="C833" t="s">
        <v>841</v>
      </c>
      <c r="D833" t="s">
        <v>11</v>
      </c>
      <c r="E833">
        <v>39</v>
      </c>
      <c r="F833">
        <v>1</v>
      </c>
      <c r="G833">
        <v>1</v>
      </c>
      <c r="H833">
        <v>83.158299999999997</v>
      </c>
    </row>
    <row r="834" spans="1:8" x14ac:dyDescent="0.3">
      <c r="A834">
        <v>0</v>
      </c>
      <c r="B834">
        <v>3</v>
      </c>
      <c r="C834" t="s">
        <v>842</v>
      </c>
      <c r="D834" t="s">
        <v>9</v>
      </c>
      <c r="E834">
        <v>21</v>
      </c>
      <c r="F834">
        <v>0</v>
      </c>
      <c r="G834">
        <v>0</v>
      </c>
      <c r="H834">
        <v>8.6624999999999996</v>
      </c>
    </row>
    <row r="835" spans="1:8" x14ac:dyDescent="0.3">
      <c r="A835">
        <v>0</v>
      </c>
      <c r="B835">
        <v>3</v>
      </c>
      <c r="C835" t="s">
        <v>843</v>
      </c>
      <c r="D835" t="s">
        <v>9</v>
      </c>
      <c r="E835">
        <v>20</v>
      </c>
      <c r="F835">
        <v>0</v>
      </c>
      <c r="G835">
        <v>0</v>
      </c>
      <c r="H835">
        <v>8.0500000000000007</v>
      </c>
    </row>
    <row r="836" spans="1:8" x14ac:dyDescent="0.3">
      <c r="A836">
        <v>1</v>
      </c>
      <c r="B836">
        <v>3</v>
      </c>
      <c r="C836" t="s">
        <v>844</v>
      </c>
      <c r="D836" t="s">
        <v>9</v>
      </c>
      <c r="E836">
        <v>32</v>
      </c>
      <c r="F836">
        <v>0</v>
      </c>
      <c r="G836">
        <v>0</v>
      </c>
      <c r="H836">
        <v>56.495800000000003</v>
      </c>
    </row>
    <row r="837" spans="1:8" x14ac:dyDescent="0.3">
      <c r="A837">
        <v>1</v>
      </c>
      <c r="B837">
        <v>1</v>
      </c>
      <c r="C837" t="s">
        <v>845</v>
      </c>
      <c r="D837" t="s">
        <v>9</v>
      </c>
      <c r="E837">
        <v>29</v>
      </c>
      <c r="F837">
        <v>0</v>
      </c>
      <c r="G837">
        <v>0</v>
      </c>
      <c r="H837">
        <v>29.7</v>
      </c>
    </row>
    <row r="838" spans="1:8" x14ac:dyDescent="0.3">
      <c r="A838">
        <v>0</v>
      </c>
      <c r="B838">
        <v>3</v>
      </c>
      <c r="C838" t="s">
        <v>846</v>
      </c>
      <c r="D838" t="s">
        <v>9</v>
      </c>
      <c r="E838">
        <v>20</v>
      </c>
      <c r="F838">
        <v>0</v>
      </c>
      <c r="G838">
        <v>0</v>
      </c>
      <c r="H838">
        <v>7.9249999999999998</v>
      </c>
    </row>
    <row r="839" spans="1:8" x14ac:dyDescent="0.3">
      <c r="A839">
        <v>0</v>
      </c>
      <c r="B839">
        <v>2</v>
      </c>
      <c r="C839" t="s">
        <v>847</v>
      </c>
      <c r="D839" t="s">
        <v>9</v>
      </c>
      <c r="E839">
        <v>16</v>
      </c>
      <c r="F839">
        <v>0</v>
      </c>
      <c r="G839">
        <v>0</v>
      </c>
      <c r="H839">
        <v>10.5</v>
      </c>
    </row>
    <row r="840" spans="1:8" x14ac:dyDescent="0.3">
      <c r="A840">
        <v>1</v>
      </c>
      <c r="B840">
        <v>1</v>
      </c>
      <c r="C840" t="s">
        <v>848</v>
      </c>
      <c r="D840" t="s">
        <v>11</v>
      </c>
      <c r="E840">
        <v>30</v>
      </c>
      <c r="F840">
        <v>0</v>
      </c>
      <c r="G840">
        <v>0</v>
      </c>
      <c r="H840">
        <v>31</v>
      </c>
    </row>
    <row r="841" spans="1:8" x14ac:dyDescent="0.3">
      <c r="A841">
        <v>0</v>
      </c>
      <c r="B841">
        <v>3</v>
      </c>
      <c r="C841" t="s">
        <v>849</v>
      </c>
      <c r="D841" t="s">
        <v>9</v>
      </c>
      <c r="E841">
        <v>34.5</v>
      </c>
      <c r="F841">
        <v>0</v>
      </c>
      <c r="G841">
        <v>0</v>
      </c>
      <c r="H841">
        <v>6.4375</v>
      </c>
    </row>
    <row r="842" spans="1:8" x14ac:dyDescent="0.3">
      <c r="A842">
        <v>0</v>
      </c>
      <c r="B842">
        <v>3</v>
      </c>
      <c r="C842" t="s">
        <v>850</v>
      </c>
      <c r="D842" t="s">
        <v>9</v>
      </c>
      <c r="E842">
        <v>17</v>
      </c>
      <c r="F842">
        <v>0</v>
      </c>
      <c r="G842">
        <v>0</v>
      </c>
      <c r="H842">
        <v>8.6624999999999996</v>
      </c>
    </row>
    <row r="843" spans="1:8" x14ac:dyDescent="0.3">
      <c r="A843">
        <v>0</v>
      </c>
      <c r="B843">
        <v>3</v>
      </c>
      <c r="C843" t="s">
        <v>851</v>
      </c>
      <c r="D843" t="s">
        <v>9</v>
      </c>
      <c r="E843">
        <v>42</v>
      </c>
      <c r="F843">
        <v>0</v>
      </c>
      <c r="G843">
        <v>0</v>
      </c>
      <c r="H843">
        <v>7.55</v>
      </c>
    </row>
    <row r="844" spans="1:8" x14ac:dyDescent="0.3">
      <c r="A844">
        <v>0</v>
      </c>
      <c r="B844">
        <v>3</v>
      </c>
      <c r="C844" t="s">
        <v>852</v>
      </c>
      <c r="D844" t="s">
        <v>9</v>
      </c>
      <c r="E844">
        <v>18</v>
      </c>
      <c r="F844">
        <v>8</v>
      </c>
      <c r="G844">
        <v>2</v>
      </c>
      <c r="H844">
        <v>69.55</v>
      </c>
    </row>
    <row r="845" spans="1:8" x14ac:dyDescent="0.3">
      <c r="A845">
        <v>0</v>
      </c>
      <c r="B845">
        <v>3</v>
      </c>
      <c r="C845" t="s">
        <v>853</v>
      </c>
      <c r="D845" t="s">
        <v>9</v>
      </c>
      <c r="E845">
        <v>35</v>
      </c>
      <c r="F845">
        <v>0</v>
      </c>
      <c r="G845">
        <v>0</v>
      </c>
      <c r="H845">
        <v>7.8958000000000004</v>
      </c>
    </row>
    <row r="846" spans="1:8" x14ac:dyDescent="0.3">
      <c r="A846">
        <v>0</v>
      </c>
      <c r="B846">
        <v>2</v>
      </c>
      <c r="C846" t="s">
        <v>854</v>
      </c>
      <c r="D846" t="s">
        <v>9</v>
      </c>
      <c r="E846">
        <v>28</v>
      </c>
      <c r="F846">
        <v>0</v>
      </c>
      <c r="G846">
        <v>1</v>
      </c>
      <c r="H846">
        <v>33</v>
      </c>
    </row>
    <row r="847" spans="1:8" x14ac:dyDescent="0.3">
      <c r="A847">
        <v>1</v>
      </c>
      <c r="B847">
        <v>1</v>
      </c>
      <c r="C847" t="s">
        <v>855</v>
      </c>
      <c r="D847" t="s">
        <v>11</v>
      </c>
      <c r="E847">
        <v>40</v>
      </c>
      <c r="F847">
        <v>1</v>
      </c>
      <c r="G847">
        <v>0</v>
      </c>
      <c r="H847">
        <v>89.104200000000006</v>
      </c>
    </row>
    <row r="848" spans="1:8" x14ac:dyDescent="0.3">
      <c r="A848">
        <v>0</v>
      </c>
      <c r="B848">
        <v>3</v>
      </c>
      <c r="C848" t="s">
        <v>856</v>
      </c>
      <c r="D848" t="s">
        <v>9</v>
      </c>
      <c r="E848">
        <v>4</v>
      </c>
      <c r="F848">
        <v>4</v>
      </c>
      <c r="G848">
        <v>2</v>
      </c>
      <c r="H848">
        <v>31.274999999999999</v>
      </c>
    </row>
    <row r="849" spans="1:8" x14ac:dyDescent="0.3">
      <c r="A849">
        <v>0</v>
      </c>
      <c r="B849">
        <v>3</v>
      </c>
      <c r="C849" t="s">
        <v>857</v>
      </c>
      <c r="D849" t="s">
        <v>9</v>
      </c>
      <c r="E849">
        <v>74</v>
      </c>
      <c r="F849">
        <v>0</v>
      </c>
      <c r="G849">
        <v>0</v>
      </c>
      <c r="H849">
        <v>7.7750000000000004</v>
      </c>
    </row>
    <row r="850" spans="1:8" x14ac:dyDescent="0.3">
      <c r="A850">
        <v>0</v>
      </c>
      <c r="B850">
        <v>3</v>
      </c>
      <c r="C850" t="s">
        <v>858</v>
      </c>
      <c r="D850" t="s">
        <v>11</v>
      </c>
      <c r="E850">
        <v>9</v>
      </c>
      <c r="F850">
        <v>1</v>
      </c>
      <c r="G850">
        <v>1</v>
      </c>
      <c r="H850">
        <v>15.245799999999999</v>
      </c>
    </row>
    <row r="851" spans="1:8" x14ac:dyDescent="0.3">
      <c r="A851">
        <v>1</v>
      </c>
      <c r="B851">
        <v>1</v>
      </c>
      <c r="C851" t="s">
        <v>859</v>
      </c>
      <c r="D851" t="s">
        <v>11</v>
      </c>
      <c r="E851">
        <v>16</v>
      </c>
      <c r="F851">
        <v>0</v>
      </c>
      <c r="G851">
        <v>1</v>
      </c>
      <c r="H851">
        <v>39.4</v>
      </c>
    </row>
    <row r="852" spans="1:8" x14ac:dyDescent="0.3">
      <c r="A852">
        <v>0</v>
      </c>
      <c r="B852">
        <v>2</v>
      </c>
      <c r="C852" t="s">
        <v>860</v>
      </c>
      <c r="D852" t="s">
        <v>11</v>
      </c>
      <c r="E852">
        <v>44</v>
      </c>
      <c r="F852">
        <v>1</v>
      </c>
      <c r="G852">
        <v>0</v>
      </c>
      <c r="H852">
        <v>26</v>
      </c>
    </row>
    <row r="853" spans="1:8" x14ac:dyDescent="0.3">
      <c r="A853">
        <v>1</v>
      </c>
      <c r="B853">
        <v>3</v>
      </c>
      <c r="C853" t="s">
        <v>861</v>
      </c>
      <c r="D853" t="s">
        <v>11</v>
      </c>
      <c r="E853">
        <v>18</v>
      </c>
      <c r="F853">
        <v>0</v>
      </c>
      <c r="G853">
        <v>1</v>
      </c>
      <c r="H853">
        <v>9.35</v>
      </c>
    </row>
    <row r="854" spans="1:8" x14ac:dyDescent="0.3">
      <c r="A854">
        <v>1</v>
      </c>
      <c r="B854">
        <v>1</v>
      </c>
      <c r="C854" t="s">
        <v>862</v>
      </c>
      <c r="D854" t="s">
        <v>11</v>
      </c>
      <c r="E854">
        <v>45</v>
      </c>
      <c r="F854">
        <v>1</v>
      </c>
      <c r="G854">
        <v>1</v>
      </c>
      <c r="H854">
        <v>164.86670000000001</v>
      </c>
    </row>
    <row r="855" spans="1:8" x14ac:dyDescent="0.3">
      <c r="A855">
        <v>1</v>
      </c>
      <c r="B855">
        <v>1</v>
      </c>
      <c r="C855" t="s">
        <v>863</v>
      </c>
      <c r="D855" t="s">
        <v>9</v>
      </c>
      <c r="E855">
        <v>51</v>
      </c>
      <c r="F855">
        <v>0</v>
      </c>
      <c r="G855">
        <v>0</v>
      </c>
      <c r="H855">
        <v>26.55</v>
      </c>
    </row>
    <row r="856" spans="1:8" x14ac:dyDescent="0.3">
      <c r="A856">
        <v>1</v>
      </c>
      <c r="B856">
        <v>3</v>
      </c>
      <c r="C856" t="s">
        <v>864</v>
      </c>
      <c r="D856" t="s">
        <v>11</v>
      </c>
      <c r="E856">
        <v>24</v>
      </c>
      <c r="F856">
        <v>0</v>
      </c>
      <c r="G856">
        <v>3</v>
      </c>
      <c r="H856">
        <v>19.258299999999998</v>
      </c>
    </row>
    <row r="857" spans="1:8" x14ac:dyDescent="0.3">
      <c r="A857">
        <v>0</v>
      </c>
      <c r="B857">
        <v>3</v>
      </c>
      <c r="C857" t="s">
        <v>865</v>
      </c>
      <c r="D857" t="s">
        <v>9</v>
      </c>
      <c r="E857">
        <v>30</v>
      </c>
      <c r="F857">
        <v>0</v>
      </c>
      <c r="G857">
        <v>0</v>
      </c>
      <c r="H857">
        <v>7.2291999999999996</v>
      </c>
    </row>
    <row r="858" spans="1:8" x14ac:dyDescent="0.3">
      <c r="A858">
        <v>0</v>
      </c>
      <c r="B858">
        <v>3</v>
      </c>
      <c r="C858" t="s">
        <v>866</v>
      </c>
      <c r="D858" t="s">
        <v>9</v>
      </c>
      <c r="E858">
        <v>41</v>
      </c>
      <c r="F858">
        <v>2</v>
      </c>
      <c r="G858">
        <v>0</v>
      </c>
      <c r="H858">
        <v>14.1083</v>
      </c>
    </row>
    <row r="859" spans="1:8" x14ac:dyDescent="0.3">
      <c r="A859">
        <v>0</v>
      </c>
      <c r="B859">
        <v>2</v>
      </c>
      <c r="C859" t="s">
        <v>867</v>
      </c>
      <c r="D859" t="s">
        <v>9</v>
      </c>
      <c r="E859">
        <v>21</v>
      </c>
      <c r="F859">
        <v>1</v>
      </c>
      <c r="G859">
        <v>0</v>
      </c>
      <c r="H859">
        <v>11.5</v>
      </c>
    </row>
    <row r="860" spans="1:8" x14ac:dyDescent="0.3">
      <c r="A860">
        <v>1</v>
      </c>
      <c r="B860">
        <v>1</v>
      </c>
      <c r="C860" t="s">
        <v>868</v>
      </c>
      <c r="D860" t="s">
        <v>11</v>
      </c>
      <c r="E860">
        <v>48</v>
      </c>
      <c r="F860">
        <v>0</v>
      </c>
      <c r="G860">
        <v>0</v>
      </c>
      <c r="H860">
        <v>25.929200000000002</v>
      </c>
    </row>
    <row r="861" spans="1:8" x14ac:dyDescent="0.3">
      <c r="A861">
        <v>0</v>
      </c>
      <c r="B861">
        <v>3</v>
      </c>
      <c r="C861" t="s">
        <v>869</v>
      </c>
      <c r="D861" t="s">
        <v>11</v>
      </c>
      <c r="E861">
        <v>14</v>
      </c>
      <c r="F861">
        <v>8</v>
      </c>
      <c r="G861">
        <v>2</v>
      </c>
      <c r="H861">
        <v>69.55</v>
      </c>
    </row>
    <row r="862" spans="1:8" x14ac:dyDescent="0.3">
      <c r="A862">
        <v>0</v>
      </c>
      <c r="B862">
        <v>2</v>
      </c>
      <c r="C862" t="s">
        <v>870</v>
      </c>
      <c r="D862" t="s">
        <v>9</v>
      </c>
      <c r="E862">
        <v>24</v>
      </c>
      <c r="F862">
        <v>0</v>
      </c>
      <c r="G862">
        <v>0</v>
      </c>
      <c r="H862">
        <v>13</v>
      </c>
    </row>
    <row r="863" spans="1:8" x14ac:dyDescent="0.3">
      <c r="A863">
        <v>1</v>
      </c>
      <c r="B863">
        <v>2</v>
      </c>
      <c r="C863" t="s">
        <v>871</v>
      </c>
      <c r="D863" t="s">
        <v>11</v>
      </c>
      <c r="E863">
        <v>42</v>
      </c>
      <c r="F863">
        <v>0</v>
      </c>
      <c r="G863">
        <v>0</v>
      </c>
      <c r="H863">
        <v>13</v>
      </c>
    </row>
    <row r="864" spans="1:8" x14ac:dyDescent="0.3">
      <c r="A864">
        <v>1</v>
      </c>
      <c r="B864">
        <v>2</v>
      </c>
      <c r="C864" t="s">
        <v>872</v>
      </c>
      <c r="D864" t="s">
        <v>11</v>
      </c>
      <c r="E864">
        <v>27</v>
      </c>
      <c r="F864">
        <v>1</v>
      </c>
      <c r="G864">
        <v>0</v>
      </c>
      <c r="H864">
        <v>13.8583</v>
      </c>
    </row>
    <row r="865" spans="1:8" x14ac:dyDescent="0.3">
      <c r="A865">
        <v>0</v>
      </c>
      <c r="B865">
        <v>1</v>
      </c>
      <c r="C865" t="s">
        <v>873</v>
      </c>
      <c r="D865" t="s">
        <v>9</v>
      </c>
      <c r="E865">
        <v>31</v>
      </c>
      <c r="F865">
        <v>0</v>
      </c>
      <c r="G865">
        <v>0</v>
      </c>
      <c r="H865">
        <v>50.495800000000003</v>
      </c>
    </row>
    <row r="866" spans="1:8" x14ac:dyDescent="0.3">
      <c r="A866">
        <v>0</v>
      </c>
      <c r="B866">
        <v>3</v>
      </c>
      <c r="C866" t="s">
        <v>874</v>
      </c>
      <c r="D866" t="s">
        <v>9</v>
      </c>
      <c r="E866">
        <v>23</v>
      </c>
      <c r="F866">
        <v>0</v>
      </c>
      <c r="G866">
        <v>0</v>
      </c>
      <c r="H866">
        <v>9.5</v>
      </c>
    </row>
    <row r="867" spans="1:8" x14ac:dyDescent="0.3">
      <c r="A867">
        <v>1</v>
      </c>
      <c r="B867">
        <v>3</v>
      </c>
      <c r="C867" t="s">
        <v>875</v>
      </c>
      <c r="D867" t="s">
        <v>9</v>
      </c>
      <c r="E867">
        <v>4</v>
      </c>
      <c r="F867">
        <v>1</v>
      </c>
      <c r="G867">
        <v>1</v>
      </c>
      <c r="H867">
        <v>11.1333</v>
      </c>
    </row>
    <row r="868" spans="1:8" x14ac:dyDescent="0.3">
      <c r="A868">
        <v>0</v>
      </c>
      <c r="B868">
        <v>3</v>
      </c>
      <c r="C868" t="s">
        <v>876</v>
      </c>
      <c r="D868" t="s">
        <v>9</v>
      </c>
      <c r="E868">
        <v>26</v>
      </c>
      <c r="F868">
        <v>0</v>
      </c>
      <c r="G868">
        <v>0</v>
      </c>
      <c r="H868">
        <v>7.8958000000000004</v>
      </c>
    </row>
    <row r="869" spans="1:8" x14ac:dyDescent="0.3">
      <c r="A869">
        <v>1</v>
      </c>
      <c r="B869">
        <v>1</v>
      </c>
      <c r="C869" t="s">
        <v>877</v>
      </c>
      <c r="D869" t="s">
        <v>11</v>
      </c>
      <c r="E869">
        <v>47</v>
      </c>
      <c r="F869">
        <v>1</v>
      </c>
      <c r="G869">
        <v>1</v>
      </c>
      <c r="H869">
        <v>52.554200000000002</v>
      </c>
    </row>
    <row r="870" spans="1:8" x14ac:dyDescent="0.3">
      <c r="A870">
        <v>0</v>
      </c>
      <c r="B870">
        <v>1</v>
      </c>
      <c r="C870" t="s">
        <v>878</v>
      </c>
      <c r="D870" t="s">
        <v>9</v>
      </c>
      <c r="E870">
        <v>33</v>
      </c>
      <c r="F870">
        <v>0</v>
      </c>
      <c r="G870">
        <v>0</v>
      </c>
      <c r="H870">
        <v>5</v>
      </c>
    </row>
    <row r="871" spans="1:8" x14ac:dyDescent="0.3">
      <c r="A871">
        <v>0</v>
      </c>
      <c r="B871">
        <v>3</v>
      </c>
      <c r="C871" t="s">
        <v>879</v>
      </c>
      <c r="D871" t="s">
        <v>9</v>
      </c>
      <c r="E871">
        <v>47</v>
      </c>
      <c r="F871">
        <v>0</v>
      </c>
      <c r="G871">
        <v>0</v>
      </c>
      <c r="H871">
        <v>9</v>
      </c>
    </row>
    <row r="872" spans="1:8" x14ac:dyDescent="0.3">
      <c r="A872">
        <v>1</v>
      </c>
      <c r="B872">
        <v>2</v>
      </c>
      <c r="C872" t="s">
        <v>880</v>
      </c>
      <c r="D872" t="s">
        <v>11</v>
      </c>
      <c r="E872">
        <v>28</v>
      </c>
      <c r="F872">
        <v>1</v>
      </c>
      <c r="G872">
        <v>0</v>
      </c>
      <c r="H872">
        <v>24</v>
      </c>
    </row>
    <row r="873" spans="1:8" x14ac:dyDescent="0.3">
      <c r="A873">
        <v>1</v>
      </c>
      <c r="B873">
        <v>3</v>
      </c>
      <c r="C873" t="s">
        <v>881</v>
      </c>
      <c r="D873" t="s">
        <v>11</v>
      </c>
      <c r="E873">
        <v>15</v>
      </c>
      <c r="F873">
        <v>0</v>
      </c>
      <c r="G873">
        <v>0</v>
      </c>
      <c r="H873">
        <v>7.2249999999999996</v>
      </c>
    </row>
    <row r="874" spans="1:8" x14ac:dyDescent="0.3">
      <c r="A874">
        <v>0</v>
      </c>
      <c r="B874">
        <v>3</v>
      </c>
      <c r="C874" t="s">
        <v>882</v>
      </c>
      <c r="D874" t="s">
        <v>9</v>
      </c>
      <c r="E874">
        <v>20</v>
      </c>
      <c r="F874">
        <v>0</v>
      </c>
      <c r="G874">
        <v>0</v>
      </c>
      <c r="H874">
        <v>9.8458000000000006</v>
      </c>
    </row>
    <row r="875" spans="1:8" x14ac:dyDescent="0.3">
      <c r="A875">
        <v>0</v>
      </c>
      <c r="B875">
        <v>3</v>
      </c>
      <c r="C875" t="s">
        <v>883</v>
      </c>
      <c r="D875" t="s">
        <v>9</v>
      </c>
      <c r="E875">
        <v>19</v>
      </c>
      <c r="F875">
        <v>0</v>
      </c>
      <c r="G875">
        <v>0</v>
      </c>
      <c r="H875">
        <v>7.8958000000000004</v>
      </c>
    </row>
    <row r="876" spans="1:8" x14ac:dyDescent="0.3">
      <c r="A876">
        <v>0</v>
      </c>
      <c r="B876">
        <v>3</v>
      </c>
      <c r="C876" t="s">
        <v>884</v>
      </c>
      <c r="D876" t="s">
        <v>9</v>
      </c>
      <c r="E876">
        <v>23</v>
      </c>
      <c r="F876">
        <v>0</v>
      </c>
      <c r="G876">
        <v>0</v>
      </c>
      <c r="H876">
        <v>7.8958000000000004</v>
      </c>
    </row>
    <row r="877" spans="1:8" x14ac:dyDescent="0.3">
      <c r="A877">
        <v>1</v>
      </c>
      <c r="B877">
        <v>1</v>
      </c>
      <c r="C877" t="s">
        <v>885</v>
      </c>
      <c r="D877" t="s">
        <v>11</v>
      </c>
      <c r="E877">
        <v>56</v>
      </c>
      <c r="F877">
        <v>0</v>
      </c>
      <c r="G877">
        <v>1</v>
      </c>
      <c r="H877">
        <v>83.158299999999997</v>
      </c>
    </row>
    <row r="878" spans="1:8" x14ac:dyDescent="0.3">
      <c r="A878">
        <v>1</v>
      </c>
      <c r="B878">
        <v>2</v>
      </c>
      <c r="C878" t="s">
        <v>886</v>
      </c>
      <c r="D878" t="s">
        <v>11</v>
      </c>
      <c r="E878">
        <v>25</v>
      </c>
      <c r="F878">
        <v>0</v>
      </c>
      <c r="G878">
        <v>1</v>
      </c>
      <c r="H878">
        <v>26</v>
      </c>
    </row>
    <row r="879" spans="1:8" x14ac:dyDescent="0.3">
      <c r="A879">
        <v>0</v>
      </c>
      <c r="B879">
        <v>3</v>
      </c>
      <c r="C879" t="s">
        <v>887</v>
      </c>
      <c r="D879" t="s">
        <v>9</v>
      </c>
      <c r="E879">
        <v>33</v>
      </c>
      <c r="F879">
        <v>0</v>
      </c>
      <c r="G879">
        <v>0</v>
      </c>
      <c r="H879">
        <v>7.8958000000000004</v>
      </c>
    </row>
    <row r="880" spans="1:8" x14ac:dyDescent="0.3">
      <c r="A880">
        <v>0</v>
      </c>
      <c r="B880">
        <v>3</v>
      </c>
      <c r="C880" t="s">
        <v>888</v>
      </c>
      <c r="D880" t="s">
        <v>11</v>
      </c>
      <c r="E880">
        <v>22</v>
      </c>
      <c r="F880">
        <v>0</v>
      </c>
      <c r="G880">
        <v>0</v>
      </c>
      <c r="H880">
        <v>10.5167</v>
      </c>
    </row>
    <row r="881" spans="1:8" x14ac:dyDescent="0.3">
      <c r="A881">
        <v>0</v>
      </c>
      <c r="B881">
        <v>2</v>
      </c>
      <c r="C881" t="s">
        <v>889</v>
      </c>
      <c r="D881" t="s">
        <v>9</v>
      </c>
      <c r="E881">
        <v>28</v>
      </c>
      <c r="F881">
        <v>0</v>
      </c>
      <c r="G881">
        <v>0</v>
      </c>
      <c r="H881">
        <v>10.5</v>
      </c>
    </row>
    <row r="882" spans="1:8" x14ac:dyDescent="0.3">
      <c r="A882">
        <v>0</v>
      </c>
      <c r="B882">
        <v>3</v>
      </c>
      <c r="C882" t="s">
        <v>890</v>
      </c>
      <c r="D882" t="s">
        <v>9</v>
      </c>
      <c r="E882">
        <v>25</v>
      </c>
      <c r="F882">
        <v>0</v>
      </c>
      <c r="G882">
        <v>0</v>
      </c>
      <c r="H882">
        <v>7.05</v>
      </c>
    </row>
    <row r="883" spans="1:8" x14ac:dyDescent="0.3">
      <c r="A883">
        <v>0</v>
      </c>
      <c r="B883">
        <v>3</v>
      </c>
      <c r="C883" t="s">
        <v>891</v>
      </c>
      <c r="D883" t="s">
        <v>11</v>
      </c>
      <c r="E883">
        <v>39</v>
      </c>
      <c r="F883">
        <v>0</v>
      </c>
      <c r="G883">
        <v>5</v>
      </c>
      <c r="H883">
        <v>29.125</v>
      </c>
    </row>
    <row r="884" spans="1:8" x14ac:dyDescent="0.3">
      <c r="A884">
        <v>0</v>
      </c>
      <c r="B884">
        <v>2</v>
      </c>
      <c r="C884" t="s">
        <v>892</v>
      </c>
      <c r="D884" t="s">
        <v>9</v>
      </c>
      <c r="E884">
        <v>27</v>
      </c>
      <c r="F884">
        <v>0</v>
      </c>
      <c r="G884">
        <v>0</v>
      </c>
      <c r="H884">
        <v>13</v>
      </c>
    </row>
    <row r="885" spans="1:8" x14ac:dyDescent="0.3">
      <c r="A885">
        <v>1</v>
      </c>
      <c r="B885">
        <v>1</v>
      </c>
      <c r="C885" t="s">
        <v>893</v>
      </c>
      <c r="D885" t="s">
        <v>11</v>
      </c>
      <c r="E885">
        <v>19</v>
      </c>
      <c r="F885">
        <v>0</v>
      </c>
      <c r="G885">
        <v>0</v>
      </c>
      <c r="H885">
        <v>30</v>
      </c>
    </row>
    <row r="886" spans="1:8" x14ac:dyDescent="0.3">
      <c r="A886">
        <v>0</v>
      </c>
      <c r="B886">
        <v>3</v>
      </c>
      <c r="C886" t="s">
        <v>894</v>
      </c>
      <c r="D886" t="s">
        <v>11</v>
      </c>
      <c r="E886">
        <v>7</v>
      </c>
      <c r="F886">
        <v>1</v>
      </c>
      <c r="G886">
        <v>2</v>
      </c>
      <c r="H886">
        <v>23.45</v>
      </c>
    </row>
    <row r="887" spans="1:8" x14ac:dyDescent="0.3">
      <c r="A887">
        <v>1</v>
      </c>
      <c r="B887">
        <v>1</v>
      </c>
      <c r="C887" t="s">
        <v>895</v>
      </c>
      <c r="D887" t="s">
        <v>9</v>
      </c>
      <c r="E887">
        <v>26</v>
      </c>
      <c r="F887">
        <v>0</v>
      </c>
      <c r="G887">
        <v>0</v>
      </c>
      <c r="H887">
        <v>30</v>
      </c>
    </row>
    <row r="888" spans="1:8" x14ac:dyDescent="0.3">
      <c r="A888">
        <v>0</v>
      </c>
      <c r="B888">
        <v>3</v>
      </c>
      <c r="C888" t="s">
        <v>896</v>
      </c>
      <c r="D888" t="s">
        <v>9</v>
      </c>
      <c r="E888">
        <v>32</v>
      </c>
      <c r="F888">
        <v>0</v>
      </c>
      <c r="G888">
        <v>0</v>
      </c>
      <c r="H888">
        <v>7.75</v>
      </c>
    </row>
  </sheetData>
  <pageMargins left="0.7" right="0.7" top="0.75" bottom="0.75" header="0.3" footer="0.3"/>
  <pageSetup orientation="portrait" horizontalDpi="300" verticalDpi="30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000A23-1DE8-44A3-823F-5FFC858D1900}">
  <dimension ref="A1:P888"/>
  <sheetViews>
    <sheetView workbookViewId="0">
      <selection activeCell="F20" sqref="F20"/>
    </sheetView>
  </sheetViews>
  <sheetFormatPr defaultRowHeight="14.4" x14ac:dyDescent="0.3"/>
  <cols>
    <col min="6" max="6" width="18" customWidth="1"/>
    <col min="7" max="7" width="20.88671875" customWidth="1"/>
    <col min="8" max="8" width="9.109375" customWidth="1"/>
    <col min="9" max="9" width="21.21875" customWidth="1"/>
    <col min="10" max="10" width="15.109375" customWidth="1"/>
    <col min="12" max="12" width="18.6640625" customWidth="1"/>
    <col min="14" max="14" width="8" customWidth="1"/>
  </cols>
  <sheetData>
    <row r="1" spans="1:16" x14ac:dyDescent="0.3">
      <c r="A1" t="str" cm="1">
        <f t="array" ref="A1:D888">titanic!E1:H888</f>
        <v>Age</v>
      </c>
      <c r="B1" t="str">
        <v>Siblings/Spouses Aboard</v>
      </c>
      <c r="C1" t="str">
        <v>Parents/Children Aboard</v>
      </c>
      <c r="D1" t="str">
        <v>Fare</v>
      </c>
      <c r="F1" s="4" t="s">
        <v>4</v>
      </c>
      <c r="G1" s="3"/>
      <c r="H1" s="3"/>
      <c r="I1" s="3" t="s">
        <v>5</v>
      </c>
      <c r="J1" s="3"/>
      <c r="K1" s="3"/>
      <c r="L1" s="3" t="s">
        <v>6</v>
      </c>
      <c r="M1" s="3"/>
      <c r="N1" s="3"/>
      <c r="O1" s="3" t="s">
        <v>7</v>
      </c>
      <c r="P1" s="5"/>
    </row>
    <row r="2" spans="1:16" x14ac:dyDescent="0.3">
      <c r="A2">
        <v>22</v>
      </c>
      <c r="B2">
        <v>1</v>
      </c>
      <c r="C2">
        <v>0</v>
      </c>
      <c r="D2">
        <v>7.25</v>
      </c>
      <c r="F2" s="6"/>
      <c r="P2" s="7"/>
    </row>
    <row r="3" spans="1:16" x14ac:dyDescent="0.3">
      <c r="A3">
        <v>38</v>
      </c>
      <c r="B3">
        <v>1</v>
      </c>
      <c r="C3">
        <v>0</v>
      </c>
      <c r="D3">
        <v>71.283299999999997</v>
      </c>
      <c r="F3" s="6" t="s">
        <v>908</v>
      </c>
      <c r="G3">
        <v>29.471443066516347</v>
      </c>
      <c r="I3" t="s">
        <v>908</v>
      </c>
      <c r="J3">
        <v>0.52536640360766629</v>
      </c>
      <c r="L3" t="s">
        <v>908</v>
      </c>
      <c r="M3">
        <v>0.38331454340473509</v>
      </c>
      <c r="O3" t="s">
        <v>908</v>
      </c>
      <c r="P3" s="7">
        <v>32.30542018038328</v>
      </c>
    </row>
    <row r="4" spans="1:16" x14ac:dyDescent="0.3">
      <c r="A4">
        <v>26</v>
      </c>
      <c r="B4">
        <v>0</v>
      </c>
      <c r="C4">
        <v>0</v>
      </c>
      <c r="D4">
        <v>7.9249999999999998</v>
      </c>
      <c r="F4" s="6" t="s">
        <v>909</v>
      </c>
      <c r="G4">
        <v>0.47416727816260001</v>
      </c>
      <c r="I4" t="s">
        <v>909</v>
      </c>
      <c r="J4">
        <v>3.7091139980527613E-2</v>
      </c>
      <c r="L4" t="s">
        <v>909</v>
      </c>
      <c r="M4">
        <v>2.7112051739282432E-2</v>
      </c>
      <c r="O4" t="s">
        <v>909</v>
      </c>
      <c r="P4" s="7">
        <v>1.6715173275589514</v>
      </c>
    </row>
    <row r="5" spans="1:16" x14ac:dyDescent="0.3">
      <c r="A5">
        <v>35</v>
      </c>
      <c r="B5">
        <v>1</v>
      </c>
      <c r="C5">
        <v>0</v>
      </c>
      <c r="D5">
        <v>53.1</v>
      </c>
      <c r="F5" s="6" t="s">
        <v>910</v>
      </c>
      <c r="G5">
        <v>28</v>
      </c>
      <c r="I5" t="s">
        <v>910</v>
      </c>
      <c r="J5">
        <v>0</v>
      </c>
      <c r="L5" t="s">
        <v>910</v>
      </c>
      <c r="M5">
        <v>0</v>
      </c>
      <c r="O5" t="s">
        <v>910</v>
      </c>
      <c r="P5" s="7">
        <v>14.4542</v>
      </c>
    </row>
    <row r="6" spans="1:16" x14ac:dyDescent="0.3">
      <c r="A6">
        <v>35</v>
      </c>
      <c r="B6">
        <v>0</v>
      </c>
      <c r="C6">
        <v>0</v>
      </c>
      <c r="D6">
        <v>8.0500000000000007</v>
      </c>
      <c r="F6" s="6" t="s">
        <v>911</v>
      </c>
      <c r="G6">
        <v>22</v>
      </c>
      <c r="I6" t="s">
        <v>911</v>
      </c>
      <c r="J6">
        <v>0</v>
      </c>
      <c r="L6" t="s">
        <v>911</v>
      </c>
      <c r="M6">
        <v>0</v>
      </c>
      <c r="O6" t="s">
        <v>911</v>
      </c>
      <c r="P6" s="7">
        <v>8.0500000000000007</v>
      </c>
    </row>
    <row r="7" spans="1:16" x14ac:dyDescent="0.3">
      <c r="A7">
        <v>27</v>
      </c>
      <c r="B7">
        <v>0</v>
      </c>
      <c r="C7">
        <v>0</v>
      </c>
      <c r="D7">
        <v>8.4582999999999995</v>
      </c>
      <c r="F7" s="6" t="s">
        <v>912</v>
      </c>
      <c r="G7">
        <v>14.121908405462555</v>
      </c>
      <c r="I7" t="s">
        <v>912</v>
      </c>
      <c r="J7">
        <v>1.10466855386757</v>
      </c>
      <c r="L7" t="s">
        <v>912</v>
      </c>
      <c r="M7">
        <v>0.80746590703168331</v>
      </c>
      <c r="O7" t="s">
        <v>912</v>
      </c>
      <c r="P7" s="7">
        <v>49.782040400173933</v>
      </c>
    </row>
    <row r="8" spans="1:16" x14ac:dyDescent="0.3">
      <c r="A8">
        <v>54</v>
      </c>
      <c r="B8">
        <v>0</v>
      </c>
      <c r="C8">
        <v>0</v>
      </c>
      <c r="D8">
        <v>51.862499999999997</v>
      </c>
      <c r="F8" s="6" t="s">
        <v>913</v>
      </c>
      <c r="G8">
        <v>199.42829701227399</v>
      </c>
      <c r="I8" t="s">
        <v>913</v>
      </c>
      <c r="J8">
        <v>1.2202926139038686</v>
      </c>
      <c r="L8" t="s">
        <v>913</v>
      </c>
      <c r="M8">
        <v>0.65200119101849896</v>
      </c>
      <c r="O8" t="s">
        <v>913</v>
      </c>
      <c r="P8" s="7">
        <v>2478.2515464045496</v>
      </c>
    </row>
    <row r="9" spans="1:16" x14ac:dyDescent="0.3">
      <c r="A9">
        <v>2</v>
      </c>
      <c r="B9">
        <v>3</v>
      </c>
      <c r="C9">
        <v>1</v>
      </c>
      <c r="D9">
        <v>21.074999999999999</v>
      </c>
      <c r="F9" s="6" t="s">
        <v>914</v>
      </c>
      <c r="G9">
        <v>0.29255908678375864</v>
      </c>
      <c r="I9" t="s">
        <v>914</v>
      </c>
      <c r="J9">
        <v>17.79753714971951</v>
      </c>
      <c r="L9" t="s">
        <v>914</v>
      </c>
      <c r="M9">
        <v>9.7230659199592626</v>
      </c>
      <c r="O9" t="s">
        <v>914</v>
      </c>
      <c r="P9" s="7">
        <v>33.264604901289246</v>
      </c>
    </row>
    <row r="10" spans="1:16" x14ac:dyDescent="0.3">
      <c r="A10">
        <v>27</v>
      </c>
      <c r="B10">
        <v>0</v>
      </c>
      <c r="C10">
        <v>2</v>
      </c>
      <c r="D10">
        <v>11.1333</v>
      </c>
      <c r="F10" s="6" t="s">
        <v>915</v>
      </c>
      <c r="G10">
        <v>0.44718857190799954</v>
      </c>
      <c r="I10" t="s">
        <v>915</v>
      </c>
      <c r="J10">
        <v>3.6867597596973796</v>
      </c>
      <c r="L10" t="s">
        <v>915</v>
      </c>
      <c r="M10">
        <v>2.7411980615829861</v>
      </c>
      <c r="O10" t="s">
        <v>915</v>
      </c>
      <c r="P10" s="7">
        <v>4.7776713990198374</v>
      </c>
    </row>
    <row r="11" spans="1:16" x14ac:dyDescent="0.3">
      <c r="A11">
        <v>14</v>
      </c>
      <c r="B11">
        <v>1</v>
      </c>
      <c r="C11">
        <v>0</v>
      </c>
      <c r="D11">
        <v>30.070799999999998</v>
      </c>
      <c r="F11" s="6" t="s">
        <v>916</v>
      </c>
      <c r="G11">
        <v>79.58</v>
      </c>
      <c r="I11" t="s">
        <v>916</v>
      </c>
      <c r="J11">
        <v>8</v>
      </c>
      <c r="L11" t="s">
        <v>916</v>
      </c>
      <c r="M11">
        <v>6</v>
      </c>
      <c r="O11" t="s">
        <v>916</v>
      </c>
      <c r="P11" s="7">
        <v>512.32920000000001</v>
      </c>
    </row>
    <row r="12" spans="1:16" x14ac:dyDescent="0.3">
      <c r="A12">
        <v>4</v>
      </c>
      <c r="B12">
        <v>1</v>
      </c>
      <c r="C12">
        <v>1</v>
      </c>
      <c r="D12">
        <v>16.7</v>
      </c>
      <c r="F12" s="6" t="s">
        <v>917</v>
      </c>
      <c r="G12">
        <v>0.42</v>
      </c>
      <c r="I12" t="s">
        <v>917</v>
      </c>
      <c r="J12">
        <v>0</v>
      </c>
      <c r="L12" t="s">
        <v>917</v>
      </c>
      <c r="M12">
        <v>0</v>
      </c>
      <c r="O12" t="s">
        <v>917</v>
      </c>
      <c r="P12" s="7">
        <v>0</v>
      </c>
    </row>
    <row r="13" spans="1:16" x14ac:dyDescent="0.3">
      <c r="A13">
        <v>58</v>
      </c>
      <c r="B13">
        <v>0</v>
      </c>
      <c r="C13">
        <v>0</v>
      </c>
      <c r="D13">
        <v>26.55</v>
      </c>
      <c r="F13" s="6" t="s">
        <v>918</v>
      </c>
      <c r="G13">
        <v>80</v>
      </c>
      <c r="I13" t="s">
        <v>918</v>
      </c>
      <c r="J13">
        <v>8</v>
      </c>
      <c r="L13" t="s">
        <v>918</v>
      </c>
      <c r="M13">
        <v>6</v>
      </c>
      <c r="O13" t="s">
        <v>918</v>
      </c>
      <c r="P13" s="7">
        <v>512.32920000000001</v>
      </c>
    </row>
    <row r="14" spans="1:16" x14ac:dyDescent="0.3">
      <c r="A14">
        <v>20</v>
      </c>
      <c r="B14">
        <v>0</v>
      </c>
      <c r="C14">
        <v>0</v>
      </c>
      <c r="D14">
        <v>8.0500000000000007</v>
      </c>
      <c r="F14" s="6" t="s">
        <v>919</v>
      </c>
      <c r="G14">
        <v>26141.17</v>
      </c>
      <c r="I14" t="s">
        <v>919</v>
      </c>
      <c r="J14">
        <v>466</v>
      </c>
      <c r="L14" t="s">
        <v>919</v>
      </c>
      <c r="M14">
        <v>340</v>
      </c>
      <c r="O14" t="s">
        <v>919</v>
      </c>
      <c r="P14" s="7">
        <v>28654.907699999967</v>
      </c>
    </row>
    <row r="15" spans="1:16" x14ac:dyDescent="0.3">
      <c r="A15">
        <v>39</v>
      </c>
      <c r="B15">
        <v>1</v>
      </c>
      <c r="C15">
        <v>5</v>
      </c>
      <c r="D15">
        <v>31.274999999999999</v>
      </c>
      <c r="F15" s="8" t="s">
        <v>920</v>
      </c>
      <c r="G15" s="9">
        <v>887</v>
      </c>
      <c r="H15" s="9"/>
      <c r="I15" s="9" t="s">
        <v>920</v>
      </c>
      <c r="J15" s="9">
        <v>887</v>
      </c>
      <c r="K15" s="9"/>
      <c r="L15" s="9" t="s">
        <v>920</v>
      </c>
      <c r="M15" s="9">
        <v>887</v>
      </c>
      <c r="N15" s="9"/>
      <c r="O15" s="9" t="s">
        <v>920</v>
      </c>
      <c r="P15" s="10">
        <v>887</v>
      </c>
    </row>
    <row r="16" spans="1:16" x14ac:dyDescent="0.3">
      <c r="A16">
        <v>14</v>
      </c>
      <c r="B16">
        <v>0</v>
      </c>
      <c r="C16">
        <v>0</v>
      </c>
      <c r="D16">
        <v>7.8541999999999996</v>
      </c>
    </row>
    <row r="17" spans="1:6" x14ac:dyDescent="0.3">
      <c r="A17">
        <v>55</v>
      </c>
      <c r="B17">
        <v>0</v>
      </c>
      <c r="C17">
        <v>0</v>
      </c>
      <c r="D17">
        <v>16</v>
      </c>
    </row>
    <row r="18" spans="1:6" x14ac:dyDescent="0.3">
      <c r="A18">
        <v>2</v>
      </c>
      <c r="B18">
        <v>4</v>
      </c>
      <c r="C18">
        <v>1</v>
      </c>
      <c r="D18">
        <v>29.125</v>
      </c>
      <c r="F18" t="s">
        <v>921</v>
      </c>
    </row>
    <row r="19" spans="1:6" x14ac:dyDescent="0.3">
      <c r="A19">
        <v>23</v>
      </c>
      <c r="B19">
        <v>0</v>
      </c>
      <c r="C19">
        <v>0</v>
      </c>
      <c r="D19">
        <v>13</v>
      </c>
    </row>
    <row r="20" spans="1:6" x14ac:dyDescent="0.3">
      <c r="A20">
        <v>31</v>
      </c>
      <c r="B20">
        <v>1</v>
      </c>
      <c r="C20">
        <v>0</v>
      </c>
      <c r="D20">
        <v>18</v>
      </c>
    </row>
    <row r="21" spans="1:6" x14ac:dyDescent="0.3">
      <c r="A21">
        <v>22</v>
      </c>
      <c r="B21">
        <v>0</v>
      </c>
      <c r="C21">
        <v>0</v>
      </c>
      <c r="D21">
        <v>7.2249999999999996</v>
      </c>
    </row>
    <row r="22" spans="1:6" x14ac:dyDescent="0.3">
      <c r="A22">
        <v>35</v>
      </c>
      <c r="B22">
        <v>0</v>
      </c>
      <c r="C22">
        <v>0</v>
      </c>
      <c r="D22">
        <v>26</v>
      </c>
    </row>
    <row r="23" spans="1:6" x14ac:dyDescent="0.3">
      <c r="A23">
        <v>34</v>
      </c>
      <c r="B23">
        <v>0</v>
      </c>
      <c r="C23">
        <v>0</v>
      </c>
      <c r="D23">
        <v>13</v>
      </c>
    </row>
    <row r="24" spans="1:6" x14ac:dyDescent="0.3">
      <c r="A24">
        <v>15</v>
      </c>
      <c r="B24">
        <v>0</v>
      </c>
      <c r="C24">
        <v>0</v>
      </c>
      <c r="D24">
        <v>8.0291999999999994</v>
      </c>
    </row>
    <row r="25" spans="1:6" x14ac:dyDescent="0.3">
      <c r="A25">
        <v>28</v>
      </c>
      <c r="B25">
        <v>0</v>
      </c>
      <c r="C25">
        <v>0</v>
      </c>
      <c r="D25">
        <v>35.5</v>
      </c>
    </row>
    <row r="26" spans="1:6" x14ac:dyDescent="0.3">
      <c r="A26">
        <v>8</v>
      </c>
      <c r="B26">
        <v>3</v>
      </c>
      <c r="C26">
        <v>1</v>
      </c>
      <c r="D26">
        <v>21.074999999999999</v>
      </c>
    </row>
    <row r="27" spans="1:6" x14ac:dyDescent="0.3">
      <c r="A27">
        <v>38</v>
      </c>
      <c r="B27">
        <v>1</v>
      </c>
      <c r="C27">
        <v>5</v>
      </c>
      <c r="D27">
        <v>31.387499999999999</v>
      </c>
    </row>
    <row r="28" spans="1:6" x14ac:dyDescent="0.3">
      <c r="A28">
        <v>26</v>
      </c>
      <c r="B28">
        <v>0</v>
      </c>
      <c r="C28">
        <v>0</v>
      </c>
      <c r="D28">
        <v>7.2249999999999996</v>
      </c>
    </row>
    <row r="29" spans="1:6" x14ac:dyDescent="0.3">
      <c r="A29">
        <v>19</v>
      </c>
      <c r="B29">
        <v>3</v>
      </c>
      <c r="C29">
        <v>2</v>
      </c>
      <c r="D29">
        <v>263</v>
      </c>
    </row>
    <row r="30" spans="1:6" x14ac:dyDescent="0.3">
      <c r="A30">
        <v>24</v>
      </c>
      <c r="B30">
        <v>0</v>
      </c>
      <c r="C30">
        <v>0</v>
      </c>
      <c r="D30">
        <v>7.8792</v>
      </c>
    </row>
    <row r="31" spans="1:6" x14ac:dyDescent="0.3">
      <c r="A31">
        <v>23</v>
      </c>
      <c r="B31">
        <v>0</v>
      </c>
      <c r="C31">
        <v>0</v>
      </c>
      <c r="D31">
        <v>7.8958000000000004</v>
      </c>
    </row>
    <row r="32" spans="1:6" x14ac:dyDescent="0.3">
      <c r="A32">
        <v>40</v>
      </c>
      <c r="B32">
        <v>0</v>
      </c>
      <c r="C32">
        <v>0</v>
      </c>
      <c r="D32">
        <v>27.720800000000001</v>
      </c>
    </row>
    <row r="33" spans="1:4" x14ac:dyDescent="0.3">
      <c r="A33">
        <v>48</v>
      </c>
      <c r="B33">
        <v>1</v>
      </c>
      <c r="C33">
        <v>0</v>
      </c>
      <c r="D33">
        <v>146.52080000000001</v>
      </c>
    </row>
    <row r="34" spans="1:4" x14ac:dyDescent="0.3">
      <c r="A34">
        <v>18</v>
      </c>
      <c r="B34">
        <v>0</v>
      </c>
      <c r="C34">
        <v>0</v>
      </c>
      <c r="D34">
        <v>7.75</v>
      </c>
    </row>
    <row r="35" spans="1:4" x14ac:dyDescent="0.3">
      <c r="A35">
        <v>66</v>
      </c>
      <c r="B35">
        <v>0</v>
      </c>
      <c r="C35">
        <v>0</v>
      </c>
      <c r="D35">
        <v>10.5</v>
      </c>
    </row>
    <row r="36" spans="1:4" x14ac:dyDescent="0.3">
      <c r="A36">
        <v>28</v>
      </c>
      <c r="B36">
        <v>1</v>
      </c>
      <c r="C36">
        <v>0</v>
      </c>
      <c r="D36">
        <v>82.1708</v>
      </c>
    </row>
    <row r="37" spans="1:4" x14ac:dyDescent="0.3">
      <c r="A37">
        <v>42</v>
      </c>
      <c r="B37">
        <v>1</v>
      </c>
      <c r="C37">
        <v>0</v>
      </c>
      <c r="D37">
        <v>52</v>
      </c>
    </row>
    <row r="38" spans="1:4" x14ac:dyDescent="0.3">
      <c r="A38">
        <v>18</v>
      </c>
      <c r="B38">
        <v>0</v>
      </c>
      <c r="C38">
        <v>0</v>
      </c>
      <c r="D38">
        <v>7.2291999999999996</v>
      </c>
    </row>
    <row r="39" spans="1:4" x14ac:dyDescent="0.3">
      <c r="A39">
        <v>21</v>
      </c>
      <c r="B39">
        <v>0</v>
      </c>
      <c r="C39">
        <v>0</v>
      </c>
      <c r="D39">
        <v>8.0500000000000007</v>
      </c>
    </row>
    <row r="40" spans="1:4" x14ac:dyDescent="0.3">
      <c r="A40">
        <v>18</v>
      </c>
      <c r="B40">
        <v>2</v>
      </c>
      <c r="C40">
        <v>0</v>
      </c>
      <c r="D40">
        <v>18</v>
      </c>
    </row>
    <row r="41" spans="1:4" x14ac:dyDescent="0.3">
      <c r="A41">
        <v>14</v>
      </c>
      <c r="B41">
        <v>1</v>
      </c>
      <c r="C41">
        <v>0</v>
      </c>
      <c r="D41">
        <v>11.2417</v>
      </c>
    </row>
    <row r="42" spans="1:4" x14ac:dyDescent="0.3">
      <c r="A42">
        <v>40</v>
      </c>
      <c r="B42">
        <v>1</v>
      </c>
      <c r="C42">
        <v>0</v>
      </c>
      <c r="D42">
        <v>9.4749999999999996</v>
      </c>
    </row>
    <row r="43" spans="1:4" x14ac:dyDescent="0.3">
      <c r="A43">
        <v>27</v>
      </c>
      <c r="B43">
        <v>1</v>
      </c>
      <c r="C43">
        <v>0</v>
      </c>
      <c r="D43">
        <v>21</v>
      </c>
    </row>
    <row r="44" spans="1:4" x14ac:dyDescent="0.3">
      <c r="A44">
        <v>3</v>
      </c>
      <c r="B44">
        <v>1</v>
      </c>
      <c r="C44">
        <v>2</v>
      </c>
      <c r="D44">
        <v>41.5792</v>
      </c>
    </row>
    <row r="45" spans="1:4" x14ac:dyDescent="0.3">
      <c r="A45">
        <v>19</v>
      </c>
      <c r="B45">
        <v>0</v>
      </c>
      <c r="C45">
        <v>0</v>
      </c>
      <c r="D45">
        <v>7.8792</v>
      </c>
    </row>
    <row r="46" spans="1:4" x14ac:dyDescent="0.3">
      <c r="A46">
        <v>30</v>
      </c>
      <c r="B46">
        <v>0</v>
      </c>
      <c r="C46">
        <v>0</v>
      </c>
      <c r="D46">
        <v>8.0500000000000007</v>
      </c>
    </row>
    <row r="47" spans="1:4" x14ac:dyDescent="0.3">
      <c r="A47">
        <v>20</v>
      </c>
      <c r="B47">
        <v>1</v>
      </c>
      <c r="C47">
        <v>0</v>
      </c>
      <c r="D47">
        <v>15.5</v>
      </c>
    </row>
    <row r="48" spans="1:4" x14ac:dyDescent="0.3">
      <c r="A48">
        <v>27</v>
      </c>
      <c r="B48">
        <v>0</v>
      </c>
      <c r="C48">
        <v>0</v>
      </c>
      <c r="D48">
        <v>7.75</v>
      </c>
    </row>
    <row r="49" spans="1:4" x14ac:dyDescent="0.3">
      <c r="A49">
        <v>16</v>
      </c>
      <c r="B49">
        <v>2</v>
      </c>
      <c r="C49">
        <v>0</v>
      </c>
      <c r="D49">
        <v>21.679200000000002</v>
      </c>
    </row>
    <row r="50" spans="1:4" x14ac:dyDescent="0.3">
      <c r="A50">
        <v>18</v>
      </c>
      <c r="B50">
        <v>1</v>
      </c>
      <c r="C50">
        <v>0</v>
      </c>
      <c r="D50">
        <v>17.8</v>
      </c>
    </row>
    <row r="51" spans="1:4" x14ac:dyDescent="0.3">
      <c r="A51">
        <v>7</v>
      </c>
      <c r="B51">
        <v>4</v>
      </c>
      <c r="C51">
        <v>1</v>
      </c>
      <c r="D51">
        <v>39.6875</v>
      </c>
    </row>
    <row r="52" spans="1:4" x14ac:dyDescent="0.3">
      <c r="A52">
        <v>21</v>
      </c>
      <c r="B52">
        <v>0</v>
      </c>
      <c r="C52">
        <v>0</v>
      </c>
      <c r="D52">
        <v>7.8</v>
      </c>
    </row>
    <row r="53" spans="1:4" x14ac:dyDescent="0.3">
      <c r="A53">
        <v>49</v>
      </c>
      <c r="B53">
        <v>1</v>
      </c>
      <c r="C53">
        <v>0</v>
      </c>
      <c r="D53">
        <v>76.729200000000006</v>
      </c>
    </row>
    <row r="54" spans="1:4" x14ac:dyDescent="0.3">
      <c r="A54">
        <v>29</v>
      </c>
      <c r="B54">
        <v>1</v>
      </c>
      <c r="C54">
        <v>0</v>
      </c>
      <c r="D54">
        <v>26</v>
      </c>
    </row>
    <row r="55" spans="1:4" x14ac:dyDescent="0.3">
      <c r="A55">
        <v>65</v>
      </c>
      <c r="B55">
        <v>0</v>
      </c>
      <c r="C55">
        <v>1</v>
      </c>
      <c r="D55">
        <v>61.979199999999999</v>
      </c>
    </row>
    <row r="56" spans="1:4" x14ac:dyDescent="0.3">
      <c r="A56">
        <v>46</v>
      </c>
      <c r="B56">
        <v>0</v>
      </c>
      <c r="C56">
        <v>0</v>
      </c>
      <c r="D56">
        <v>35.5</v>
      </c>
    </row>
    <row r="57" spans="1:4" x14ac:dyDescent="0.3">
      <c r="A57">
        <v>21</v>
      </c>
      <c r="B57">
        <v>0</v>
      </c>
      <c r="C57">
        <v>0</v>
      </c>
      <c r="D57">
        <v>10.5</v>
      </c>
    </row>
    <row r="58" spans="1:4" x14ac:dyDescent="0.3">
      <c r="A58">
        <v>28.5</v>
      </c>
      <c r="B58">
        <v>0</v>
      </c>
      <c r="C58">
        <v>0</v>
      </c>
      <c r="D58">
        <v>7.2291999999999996</v>
      </c>
    </row>
    <row r="59" spans="1:4" x14ac:dyDescent="0.3">
      <c r="A59">
        <v>5</v>
      </c>
      <c r="B59">
        <v>1</v>
      </c>
      <c r="C59">
        <v>2</v>
      </c>
      <c r="D59">
        <v>27.75</v>
      </c>
    </row>
    <row r="60" spans="1:4" x14ac:dyDescent="0.3">
      <c r="A60">
        <v>11</v>
      </c>
      <c r="B60">
        <v>5</v>
      </c>
      <c r="C60">
        <v>2</v>
      </c>
      <c r="D60">
        <v>46.9</v>
      </c>
    </row>
    <row r="61" spans="1:4" x14ac:dyDescent="0.3">
      <c r="A61">
        <v>22</v>
      </c>
      <c r="B61">
        <v>0</v>
      </c>
      <c r="C61">
        <v>0</v>
      </c>
      <c r="D61">
        <v>7.2291999999999996</v>
      </c>
    </row>
    <row r="62" spans="1:4" x14ac:dyDescent="0.3">
      <c r="A62">
        <v>38</v>
      </c>
      <c r="B62">
        <v>0</v>
      </c>
      <c r="C62">
        <v>0</v>
      </c>
      <c r="D62">
        <v>80</v>
      </c>
    </row>
    <row r="63" spans="1:4" x14ac:dyDescent="0.3">
      <c r="A63">
        <v>45</v>
      </c>
      <c r="B63">
        <v>1</v>
      </c>
      <c r="C63">
        <v>0</v>
      </c>
      <c r="D63">
        <v>83.474999999999994</v>
      </c>
    </row>
    <row r="64" spans="1:4" x14ac:dyDescent="0.3">
      <c r="A64">
        <v>4</v>
      </c>
      <c r="B64">
        <v>3</v>
      </c>
      <c r="C64">
        <v>2</v>
      </c>
      <c r="D64">
        <v>27.9</v>
      </c>
    </row>
    <row r="65" spans="1:4" x14ac:dyDescent="0.3">
      <c r="A65">
        <v>64</v>
      </c>
      <c r="B65">
        <v>0</v>
      </c>
      <c r="C65">
        <v>0</v>
      </c>
      <c r="D65">
        <v>27.720800000000001</v>
      </c>
    </row>
    <row r="66" spans="1:4" x14ac:dyDescent="0.3">
      <c r="A66">
        <v>7</v>
      </c>
      <c r="B66">
        <v>1</v>
      </c>
      <c r="C66">
        <v>1</v>
      </c>
      <c r="D66">
        <v>15.245799999999999</v>
      </c>
    </row>
    <row r="67" spans="1:4" x14ac:dyDescent="0.3">
      <c r="A67">
        <v>29</v>
      </c>
      <c r="B67">
        <v>0</v>
      </c>
      <c r="C67">
        <v>0</v>
      </c>
      <c r="D67">
        <v>10.5</v>
      </c>
    </row>
    <row r="68" spans="1:4" x14ac:dyDescent="0.3">
      <c r="A68">
        <v>19</v>
      </c>
      <c r="B68">
        <v>0</v>
      </c>
      <c r="C68">
        <v>0</v>
      </c>
      <c r="D68">
        <v>8.1583000000000006</v>
      </c>
    </row>
    <row r="69" spans="1:4" x14ac:dyDescent="0.3">
      <c r="A69">
        <v>17</v>
      </c>
      <c r="B69">
        <v>4</v>
      </c>
      <c r="C69">
        <v>2</v>
      </c>
      <c r="D69">
        <v>7.9249999999999998</v>
      </c>
    </row>
    <row r="70" spans="1:4" x14ac:dyDescent="0.3">
      <c r="A70">
        <v>26</v>
      </c>
      <c r="B70">
        <v>2</v>
      </c>
      <c r="C70">
        <v>0</v>
      </c>
      <c r="D70">
        <v>8.6624999999999996</v>
      </c>
    </row>
    <row r="71" spans="1:4" x14ac:dyDescent="0.3">
      <c r="A71">
        <v>32</v>
      </c>
      <c r="B71">
        <v>0</v>
      </c>
      <c r="C71">
        <v>0</v>
      </c>
      <c r="D71">
        <v>10.5</v>
      </c>
    </row>
    <row r="72" spans="1:4" x14ac:dyDescent="0.3">
      <c r="A72">
        <v>16</v>
      </c>
      <c r="B72">
        <v>5</v>
      </c>
      <c r="C72">
        <v>2</v>
      </c>
      <c r="D72">
        <v>46.9</v>
      </c>
    </row>
    <row r="73" spans="1:4" x14ac:dyDescent="0.3">
      <c r="A73">
        <v>21</v>
      </c>
      <c r="B73">
        <v>0</v>
      </c>
      <c r="C73">
        <v>0</v>
      </c>
      <c r="D73">
        <v>73.5</v>
      </c>
    </row>
    <row r="74" spans="1:4" x14ac:dyDescent="0.3">
      <c r="A74">
        <v>26</v>
      </c>
      <c r="B74">
        <v>1</v>
      </c>
      <c r="C74">
        <v>0</v>
      </c>
      <c r="D74">
        <v>14.4542</v>
      </c>
    </row>
    <row r="75" spans="1:4" x14ac:dyDescent="0.3">
      <c r="A75">
        <v>32</v>
      </c>
      <c r="B75">
        <v>0</v>
      </c>
      <c r="C75">
        <v>0</v>
      </c>
      <c r="D75">
        <v>56.495800000000003</v>
      </c>
    </row>
    <row r="76" spans="1:4" x14ac:dyDescent="0.3">
      <c r="A76">
        <v>25</v>
      </c>
      <c r="B76">
        <v>0</v>
      </c>
      <c r="C76">
        <v>0</v>
      </c>
      <c r="D76">
        <v>7.65</v>
      </c>
    </row>
    <row r="77" spans="1:4" x14ac:dyDescent="0.3">
      <c r="A77">
        <v>23</v>
      </c>
      <c r="B77">
        <v>0</v>
      </c>
      <c r="C77">
        <v>0</v>
      </c>
      <c r="D77">
        <v>7.8958000000000004</v>
      </c>
    </row>
    <row r="78" spans="1:4" x14ac:dyDescent="0.3">
      <c r="A78">
        <v>28</v>
      </c>
      <c r="B78">
        <v>0</v>
      </c>
      <c r="C78">
        <v>0</v>
      </c>
      <c r="D78">
        <v>8.0500000000000007</v>
      </c>
    </row>
    <row r="79" spans="1:4" x14ac:dyDescent="0.3">
      <c r="A79">
        <v>0.83</v>
      </c>
      <c r="B79">
        <v>0</v>
      </c>
      <c r="C79">
        <v>2</v>
      </c>
      <c r="D79">
        <v>29</v>
      </c>
    </row>
    <row r="80" spans="1:4" x14ac:dyDescent="0.3">
      <c r="A80">
        <v>30</v>
      </c>
      <c r="B80">
        <v>0</v>
      </c>
      <c r="C80">
        <v>0</v>
      </c>
      <c r="D80">
        <v>12.475</v>
      </c>
    </row>
    <row r="81" spans="1:4" x14ac:dyDescent="0.3">
      <c r="A81">
        <v>22</v>
      </c>
      <c r="B81">
        <v>0</v>
      </c>
      <c r="C81">
        <v>0</v>
      </c>
      <c r="D81">
        <v>9</v>
      </c>
    </row>
    <row r="82" spans="1:4" x14ac:dyDescent="0.3">
      <c r="A82">
        <v>29</v>
      </c>
      <c r="B82">
        <v>0</v>
      </c>
      <c r="C82">
        <v>0</v>
      </c>
      <c r="D82">
        <v>9.5</v>
      </c>
    </row>
    <row r="83" spans="1:4" x14ac:dyDescent="0.3">
      <c r="A83">
        <v>31</v>
      </c>
      <c r="B83">
        <v>0</v>
      </c>
      <c r="C83">
        <v>0</v>
      </c>
      <c r="D83">
        <v>7.7874999999999996</v>
      </c>
    </row>
    <row r="84" spans="1:4" x14ac:dyDescent="0.3">
      <c r="A84">
        <v>28</v>
      </c>
      <c r="B84">
        <v>0</v>
      </c>
      <c r="C84">
        <v>0</v>
      </c>
      <c r="D84">
        <v>47.1</v>
      </c>
    </row>
    <row r="85" spans="1:4" x14ac:dyDescent="0.3">
      <c r="A85">
        <v>17</v>
      </c>
      <c r="B85">
        <v>0</v>
      </c>
      <c r="C85">
        <v>0</v>
      </c>
      <c r="D85">
        <v>10.5</v>
      </c>
    </row>
    <row r="86" spans="1:4" x14ac:dyDescent="0.3">
      <c r="A86">
        <v>33</v>
      </c>
      <c r="B86">
        <v>3</v>
      </c>
      <c r="C86">
        <v>0</v>
      </c>
      <c r="D86">
        <v>15.85</v>
      </c>
    </row>
    <row r="87" spans="1:4" x14ac:dyDescent="0.3">
      <c r="A87">
        <v>16</v>
      </c>
      <c r="B87">
        <v>1</v>
      </c>
      <c r="C87">
        <v>3</v>
      </c>
      <c r="D87">
        <v>34.375</v>
      </c>
    </row>
    <row r="88" spans="1:4" x14ac:dyDescent="0.3">
      <c r="A88">
        <v>20</v>
      </c>
      <c r="B88">
        <v>0</v>
      </c>
      <c r="C88">
        <v>0</v>
      </c>
      <c r="D88">
        <v>8.0500000000000007</v>
      </c>
    </row>
    <row r="89" spans="1:4" x14ac:dyDescent="0.3">
      <c r="A89">
        <v>23</v>
      </c>
      <c r="B89">
        <v>3</v>
      </c>
      <c r="C89">
        <v>2</v>
      </c>
      <c r="D89">
        <v>263</v>
      </c>
    </row>
    <row r="90" spans="1:4" x14ac:dyDescent="0.3">
      <c r="A90">
        <v>24</v>
      </c>
      <c r="B90">
        <v>0</v>
      </c>
      <c r="C90">
        <v>0</v>
      </c>
      <c r="D90">
        <v>8.0500000000000007</v>
      </c>
    </row>
    <row r="91" spans="1:4" x14ac:dyDescent="0.3">
      <c r="A91">
        <v>29</v>
      </c>
      <c r="B91">
        <v>0</v>
      </c>
      <c r="C91">
        <v>0</v>
      </c>
      <c r="D91">
        <v>8.0500000000000007</v>
      </c>
    </row>
    <row r="92" spans="1:4" x14ac:dyDescent="0.3">
      <c r="A92">
        <v>20</v>
      </c>
      <c r="B92">
        <v>0</v>
      </c>
      <c r="C92">
        <v>0</v>
      </c>
      <c r="D92">
        <v>7.8541999999999996</v>
      </c>
    </row>
    <row r="93" spans="1:4" x14ac:dyDescent="0.3">
      <c r="A93">
        <v>46</v>
      </c>
      <c r="B93">
        <v>1</v>
      </c>
      <c r="C93">
        <v>0</v>
      </c>
      <c r="D93">
        <v>61.174999999999997</v>
      </c>
    </row>
    <row r="94" spans="1:4" x14ac:dyDescent="0.3">
      <c r="A94">
        <v>26</v>
      </c>
      <c r="B94">
        <v>1</v>
      </c>
      <c r="C94">
        <v>2</v>
      </c>
      <c r="D94">
        <v>20.574999999999999</v>
      </c>
    </row>
    <row r="95" spans="1:4" x14ac:dyDescent="0.3">
      <c r="A95">
        <v>59</v>
      </c>
      <c r="B95">
        <v>0</v>
      </c>
      <c r="C95">
        <v>0</v>
      </c>
      <c r="D95">
        <v>7.25</v>
      </c>
    </row>
    <row r="96" spans="1:4" x14ac:dyDescent="0.3">
      <c r="A96">
        <v>22</v>
      </c>
      <c r="B96">
        <v>0</v>
      </c>
      <c r="C96">
        <v>0</v>
      </c>
      <c r="D96">
        <v>8.0500000000000007</v>
      </c>
    </row>
    <row r="97" spans="1:4" x14ac:dyDescent="0.3">
      <c r="A97">
        <v>71</v>
      </c>
      <c r="B97">
        <v>0</v>
      </c>
      <c r="C97">
        <v>0</v>
      </c>
      <c r="D97">
        <v>34.654200000000003</v>
      </c>
    </row>
    <row r="98" spans="1:4" x14ac:dyDescent="0.3">
      <c r="A98">
        <v>23</v>
      </c>
      <c r="B98">
        <v>0</v>
      </c>
      <c r="C98">
        <v>1</v>
      </c>
      <c r="D98">
        <v>63.3583</v>
      </c>
    </row>
    <row r="99" spans="1:4" x14ac:dyDescent="0.3">
      <c r="A99">
        <v>34</v>
      </c>
      <c r="B99">
        <v>0</v>
      </c>
      <c r="C99">
        <v>1</v>
      </c>
      <c r="D99">
        <v>23</v>
      </c>
    </row>
    <row r="100" spans="1:4" x14ac:dyDescent="0.3">
      <c r="A100">
        <v>34</v>
      </c>
      <c r="B100">
        <v>1</v>
      </c>
      <c r="C100">
        <v>0</v>
      </c>
      <c r="D100">
        <v>26</v>
      </c>
    </row>
    <row r="101" spans="1:4" x14ac:dyDescent="0.3">
      <c r="A101">
        <v>28</v>
      </c>
      <c r="B101">
        <v>0</v>
      </c>
      <c r="C101">
        <v>0</v>
      </c>
      <c r="D101">
        <v>7.8958000000000004</v>
      </c>
    </row>
    <row r="102" spans="1:4" x14ac:dyDescent="0.3">
      <c r="A102">
        <v>29</v>
      </c>
      <c r="B102">
        <v>0</v>
      </c>
      <c r="C102">
        <v>0</v>
      </c>
      <c r="D102">
        <v>7.8958000000000004</v>
      </c>
    </row>
    <row r="103" spans="1:4" x14ac:dyDescent="0.3">
      <c r="A103">
        <v>21</v>
      </c>
      <c r="B103">
        <v>0</v>
      </c>
      <c r="C103">
        <v>1</v>
      </c>
      <c r="D103">
        <v>77.287499999999994</v>
      </c>
    </row>
    <row r="104" spans="1:4" x14ac:dyDescent="0.3">
      <c r="A104">
        <v>33</v>
      </c>
      <c r="B104">
        <v>0</v>
      </c>
      <c r="C104">
        <v>0</v>
      </c>
      <c r="D104">
        <v>8.6541999999999994</v>
      </c>
    </row>
    <row r="105" spans="1:4" x14ac:dyDescent="0.3">
      <c r="A105">
        <v>37</v>
      </c>
      <c r="B105">
        <v>2</v>
      </c>
      <c r="C105">
        <v>0</v>
      </c>
      <c r="D105">
        <v>7.9249999999999998</v>
      </c>
    </row>
    <row r="106" spans="1:4" x14ac:dyDescent="0.3">
      <c r="A106">
        <v>28</v>
      </c>
      <c r="B106">
        <v>0</v>
      </c>
      <c r="C106">
        <v>0</v>
      </c>
      <c r="D106">
        <v>7.8958000000000004</v>
      </c>
    </row>
    <row r="107" spans="1:4" x14ac:dyDescent="0.3">
      <c r="A107">
        <v>21</v>
      </c>
      <c r="B107">
        <v>0</v>
      </c>
      <c r="C107">
        <v>0</v>
      </c>
      <c r="D107">
        <v>7.65</v>
      </c>
    </row>
    <row r="108" spans="1:4" x14ac:dyDescent="0.3">
      <c r="A108">
        <v>29</v>
      </c>
      <c r="B108">
        <v>0</v>
      </c>
      <c r="C108">
        <v>0</v>
      </c>
      <c r="D108">
        <v>7.7750000000000004</v>
      </c>
    </row>
    <row r="109" spans="1:4" x14ac:dyDescent="0.3">
      <c r="A109">
        <v>38</v>
      </c>
      <c r="B109">
        <v>0</v>
      </c>
      <c r="C109">
        <v>0</v>
      </c>
      <c r="D109">
        <v>7.8958000000000004</v>
      </c>
    </row>
    <row r="110" spans="1:4" x14ac:dyDescent="0.3">
      <c r="A110">
        <v>28</v>
      </c>
      <c r="B110">
        <v>1</v>
      </c>
      <c r="C110">
        <v>0</v>
      </c>
      <c r="D110">
        <v>24.15</v>
      </c>
    </row>
    <row r="111" spans="1:4" x14ac:dyDescent="0.3">
      <c r="A111">
        <v>47</v>
      </c>
      <c r="B111">
        <v>0</v>
      </c>
      <c r="C111">
        <v>0</v>
      </c>
      <c r="D111">
        <v>52</v>
      </c>
    </row>
    <row r="112" spans="1:4" x14ac:dyDescent="0.3">
      <c r="A112">
        <v>14.5</v>
      </c>
      <c r="B112">
        <v>1</v>
      </c>
      <c r="C112">
        <v>0</v>
      </c>
      <c r="D112">
        <v>14.4542</v>
      </c>
    </row>
    <row r="113" spans="1:4" x14ac:dyDescent="0.3">
      <c r="A113">
        <v>22</v>
      </c>
      <c r="B113">
        <v>0</v>
      </c>
      <c r="C113">
        <v>0</v>
      </c>
      <c r="D113">
        <v>8.0500000000000007</v>
      </c>
    </row>
    <row r="114" spans="1:4" x14ac:dyDescent="0.3">
      <c r="A114">
        <v>20</v>
      </c>
      <c r="B114">
        <v>1</v>
      </c>
      <c r="C114">
        <v>0</v>
      </c>
      <c r="D114">
        <v>9.8249999999999993</v>
      </c>
    </row>
    <row r="115" spans="1:4" x14ac:dyDescent="0.3">
      <c r="A115">
        <v>17</v>
      </c>
      <c r="B115">
        <v>0</v>
      </c>
      <c r="C115">
        <v>0</v>
      </c>
      <c r="D115">
        <v>14.458299999999999</v>
      </c>
    </row>
    <row r="116" spans="1:4" x14ac:dyDescent="0.3">
      <c r="A116">
        <v>21</v>
      </c>
      <c r="B116">
        <v>0</v>
      </c>
      <c r="C116">
        <v>0</v>
      </c>
      <c r="D116">
        <v>7.9249999999999998</v>
      </c>
    </row>
    <row r="117" spans="1:4" x14ac:dyDescent="0.3">
      <c r="A117">
        <v>70.5</v>
      </c>
      <c r="B117">
        <v>0</v>
      </c>
      <c r="C117">
        <v>0</v>
      </c>
      <c r="D117">
        <v>7.75</v>
      </c>
    </row>
    <row r="118" spans="1:4" x14ac:dyDescent="0.3">
      <c r="A118">
        <v>29</v>
      </c>
      <c r="B118">
        <v>1</v>
      </c>
      <c r="C118">
        <v>0</v>
      </c>
      <c r="D118">
        <v>21</v>
      </c>
    </row>
    <row r="119" spans="1:4" x14ac:dyDescent="0.3">
      <c r="A119">
        <v>24</v>
      </c>
      <c r="B119">
        <v>0</v>
      </c>
      <c r="C119">
        <v>1</v>
      </c>
      <c r="D119">
        <v>247.52080000000001</v>
      </c>
    </row>
    <row r="120" spans="1:4" x14ac:dyDescent="0.3">
      <c r="A120">
        <v>2</v>
      </c>
      <c r="B120">
        <v>4</v>
      </c>
      <c r="C120">
        <v>2</v>
      </c>
      <c r="D120">
        <v>31.274999999999999</v>
      </c>
    </row>
    <row r="121" spans="1:4" x14ac:dyDescent="0.3">
      <c r="A121">
        <v>21</v>
      </c>
      <c r="B121">
        <v>2</v>
      </c>
      <c r="C121">
        <v>0</v>
      </c>
      <c r="D121">
        <v>73.5</v>
      </c>
    </row>
    <row r="122" spans="1:4" x14ac:dyDescent="0.3">
      <c r="A122">
        <v>19</v>
      </c>
      <c r="B122">
        <v>0</v>
      </c>
      <c r="C122">
        <v>0</v>
      </c>
      <c r="D122">
        <v>8.0500000000000007</v>
      </c>
    </row>
    <row r="123" spans="1:4" x14ac:dyDescent="0.3">
      <c r="A123">
        <v>32.5</v>
      </c>
      <c r="B123">
        <v>1</v>
      </c>
      <c r="C123">
        <v>0</v>
      </c>
      <c r="D123">
        <v>30.070799999999998</v>
      </c>
    </row>
    <row r="124" spans="1:4" x14ac:dyDescent="0.3">
      <c r="A124">
        <v>32.5</v>
      </c>
      <c r="B124">
        <v>0</v>
      </c>
      <c r="C124">
        <v>0</v>
      </c>
      <c r="D124">
        <v>13</v>
      </c>
    </row>
    <row r="125" spans="1:4" x14ac:dyDescent="0.3">
      <c r="A125">
        <v>54</v>
      </c>
      <c r="B125">
        <v>0</v>
      </c>
      <c r="C125">
        <v>1</v>
      </c>
      <c r="D125">
        <v>77.287499999999994</v>
      </c>
    </row>
    <row r="126" spans="1:4" x14ac:dyDescent="0.3">
      <c r="A126">
        <v>12</v>
      </c>
      <c r="B126">
        <v>1</v>
      </c>
      <c r="C126">
        <v>0</v>
      </c>
      <c r="D126">
        <v>11.2417</v>
      </c>
    </row>
    <row r="127" spans="1:4" x14ac:dyDescent="0.3">
      <c r="A127">
        <v>19</v>
      </c>
      <c r="B127">
        <v>0</v>
      </c>
      <c r="C127">
        <v>0</v>
      </c>
      <c r="D127">
        <v>7.75</v>
      </c>
    </row>
    <row r="128" spans="1:4" x14ac:dyDescent="0.3">
      <c r="A128">
        <v>24</v>
      </c>
      <c r="B128">
        <v>0</v>
      </c>
      <c r="C128">
        <v>0</v>
      </c>
      <c r="D128">
        <v>7.1417000000000002</v>
      </c>
    </row>
    <row r="129" spans="1:4" x14ac:dyDescent="0.3">
      <c r="A129">
        <v>2</v>
      </c>
      <c r="B129">
        <v>1</v>
      </c>
      <c r="C129">
        <v>1</v>
      </c>
      <c r="D129">
        <v>22.3583</v>
      </c>
    </row>
    <row r="130" spans="1:4" x14ac:dyDescent="0.3">
      <c r="A130">
        <v>45</v>
      </c>
      <c r="B130">
        <v>0</v>
      </c>
      <c r="C130">
        <v>0</v>
      </c>
      <c r="D130">
        <v>6.9749999999999996</v>
      </c>
    </row>
    <row r="131" spans="1:4" x14ac:dyDescent="0.3">
      <c r="A131">
        <v>33</v>
      </c>
      <c r="B131">
        <v>0</v>
      </c>
      <c r="C131">
        <v>0</v>
      </c>
      <c r="D131">
        <v>7.8958000000000004</v>
      </c>
    </row>
    <row r="132" spans="1:4" x14ac:dyDescent="0.3">
      <c r="A132">
        <v>20</v>
      </c>
      <c r="B132">
        <v>0</v>
      </c>
      <c r="C132">
        <v>0</v>
      </c>
      <c r="D132">
        <v>7.05</v>
      </c>
    </row>
    <row r="133" spans="1:4" x14ac:dyDescent="0.3">
      <c r="A133">
        <v>47</v>
      </c>
      <c r="B133">
        <v>1</v>
      </c>
      <c r="C133">
        <v>0</v>
      </c>
      <c r="D133">
        <v>14.5</v>
      </c>
    </row>
    <row r="134" spans="1:4" x14ac:dyDescent="0.3">
      <c r="A134">
        <v>29</v>
      </c>
      <c r="B134">
        <v>1</v>
      </c>
      <c r="C134">
        <v>0</v>
      </c>
      <c r="D134">
        <v>26</v>
      </c>
    </row>
    <row r="135" spans="1:4" x14ac:dyDescent="0.3">
      <c r="A135">
        <v>25</v>
      </c>
      <c r="B135">
        <v>0</v>
      </c>
      <c r="C135">
        <v>0</v>
      </c>
      <c r="D135">
        <v>13</v>
      </c>
    </row>
    <row r="136" spans="1:4" x14ac:dyDescent="0.3">
      <c r="A136">
        <v>23</v>
      </c>
      <c r="B136">
        <v>0</v>
      </c>
      <c r="C136">
        <v>0</v>
      </c>
      <c r="D136">
        <v>15.0458</v>
      </c>
    </row>
    <row r="137" spans="1:4" x14ac:dyDescent="0.3">
      <c r="A137">
        <v>19</v>
      </c>
      <c r="B137">
        <v>0</v>
      </c>
      <c r="C137">
        <v>2</v>
      </c>
      <c r="D137">
        <v>26.283300000000001</v>
      </c>
    </row>
    <row r="138" spans="1:4" x14ac:dyDescent="0.3">
      <c r="A138">
        <v>37</v>
      </c>
      <c r="B138">
        <v>1</v>
      </c>
      <c r="C138">
        <v>0</v>
      </c>
      <c r="D138">
        <v>53.1</v>
      </c>
    </row>
    <row r="139" spans="1:4" x14ac:dyDescent="0.3">
      <c r="A139">
        <v>16</v>
      </c>
      <c r="B139">
        <v>0</v>
      </c>
      <c r="C139">
        <v>0</v>
      </c>
      <c r="D139">
        <v>9.2166999999999994</v>
      </c>
    </row>
    <row r="140" spans="1:4" x14ac:dyDescent="0.3">
      <c r="A140">
        <v>24</v>
      </c>
      <c r="B140">
        <v>0</v>
      </c>
      <c r="C140">
        <v>0</v>
      </c>
      <c r="D140">
        <v>79.2</v>
      </c>
    </row>
    <row r="141" spans="1:4" x14ac:dyDescent="0.3">
      <c r="A141">
        <v>40</v>
      </c>
      <c r="B141">
        <v>0</v>
      </c>
      <c r="C141">
        <v>2</v>
      </c>
      <c r="D141">
        <v>15.245799999999999</v>
      </c>
    </row>
    <row r="142" spans="1:4" x14ac:dyDescent="0.3">
      <c r="A142">
        <v>22</v>
      </c>
      <c r="B142">
        <v>0</v>
      </c>
      <c r="C142">
        <v>0</v>
      </c>
      <c r="D142">
        <v>7.75</v>
      </c>
    </row>
    <row r="143" spans="1:4" x14ac:dyDescent="0.3">
      <c r="A143">
        <v>24</v>
      </c>
      <c r="B143">
        <v>1</v>
      </c>
      <c r="C143">
        <v>0</v>
      </c>
      <c r="D143">
        <v>15.85</v>
      </c>
    </row>
    <row r="144" spans="1:4" x14ac:dyDescent="0.3">
      <c r="A144">
        <v>19</v>
      </c>
      <c r="B144">
        <v>0</v>
      </c>
      <c r="C144">
        <v>0</v>
      </c>
      <c r="D144">
        <v>6.75</v>
      </c>
    </row>
    <row r="145" spans="1:4" x14ac:dyDescent="0.3">
      <c r="A145">
        <v>18</v>
      </c>
      <c r="B145">
        <v>0</v>
      </c>
      <c r="C145">
        <v>0</v>
      </c>
      <c r="D145">
        <v>11.5</v>
      </c>
    </row>
    <row r="146" spans="1:4" x14ac:dyDescent="0.3">
      <c r="A146">
        <v>19</v>
      </c>
      <c r="B146">
        <v>1</v>
      </c>
      <c r="C146">
        <v>1</v>
      </c>
      <c r="D146">
        <v>36.75</v>
      </c>
    </row>
    <row r="147" spans="1:4" x14ac:dyDescent="0.3">
      <c r="A147">
        <v>27</v>
      </c>
      <c r="B147">
        <v>0</v>
      </c>
      <c r="C147">
        <v>0</v>
      </c>
      <c r="D147">
        <v>7.7957999999999998</v>
      </c>
    </row>
    <row r="148" spans="1:4" x14ac:dyDescent="0.3">
      <c r="A148">
        <v>9</v>
      </c>
      <c r="B148">
        <v>2</v>
      </c>
      <c r="C148">
        <v>2</v>
      </c>
      <c r="D148">
        <v>34.375</v>
      </c>
    </row>
    <row r="149" spans="1:4" x14ac:dyDescent="0.3">
      <c r="A149">
        <v>36.5</v>
      </c>
      <c r="B149">
        <v>0</v>
      </c>
      <c r="C149">
        <v>2</v>
      </c>
      <c r="D149">
        <v>26</v>
      </c>
    </row>
    <row r="150" spans="1:4" x14ac:dyDescent="0.3">
      <c r="A150">
        <v>42</v>
      </c>
      <c r="B150">
        <v>0</v>
      </c>
      <c r="C150">
        <v>0</v>
      </c>
      <c r="D150">
        <v>13</v>
      </c>
    </row>
    <row r="151" spans="1:4" x14ac:dyDescent="0.3">
      <c r="A151">
        <v>51</v>
      </c>
      <c r="B151">
        <v>0</v>
      </c>
      <c r="C151">
        <v>0</v>
      </c>
      <c r="D151">
        <v>12.525</v>
      </c>
    </row>
    <row r="152" spans="1:4" x14ac:dyDescent="0.3">
      <c r="A152">
        <v>22</v>
      </c>
      <c r="B152">
        <v>1</v>
      </c>
      <c r="C152">
        <v>0</v>
      </c>
      <c r="D152">
        <v>66.599999999999994</v>
      </c>
    </row>
    <row r="153" spans="1:4" x14ac:dyDescent="0.3">
      <c r="A153">
        <v>55.5</v>
      </c>
      <c r="B153">
        <v>0</v>
      </c>
      <c r="C153">
        <v>0</v>
      </c>
      <c r="D153">
        <v>8.0500000000000007</v>
      </c>
    </row>
    <row r="154" spans="1:4" x14ac:dyDescent="0.3">
      <c r="A154">
        <v>40.5</v>
      </c>
      <c r="B154">
        <v>0</v>
      </c>
      <c r="C154">
        <v>2</v>
      </c>
      <c r="D154">
        <v>14.5</v>
      </c>
    </row>
    <row r="155" spans="1:4" x14ac:dyDescent="0.3">
      <c r="A155">
        <v>27</v>
      </c>
      <c r="B155">
        <v>0</v>
      </c>
      <c r="C155">
        <v>0</v>
      </c>
      <c r="D155">
        <v>7.3125</v>
      </c>
    </row>
    <row r="156" spans="1:4" x14ac:dyDescent="0.3">
      <c r="A156">
        <v>51</v>
      </c>
      <c r="B156">
        <v>0</v>
      </c>
      <c r="C156">
        <v>1</v>
      </c>
      <c r="D156">
        <v>61.379199999999997</v>
      </c>
    </row>
    <row r="157" spans="1:4" x14ac:dyDescent="0.3">
      <c r="A157">
        <v>16</v>
      </c>
      <c r="B157">
        <v>0</v>
      </c>
      <c r="C157">
        <v>0</v>
      </c>
      <c r="D157">
        <v>7.7332999999999998</v>
      </c>
    </row>
    <row r="158" spans="1:4" x14ac:dyDescent="0.3">
      <c r="A158">
        <v>30</v>
      </c>
      <c r="B158">
        <v>0</v>
      </c>
      <c r="C158">
        <v>0</v>
      </c>
      <c r="D158">
        <v>8.0500000000000007</v>
      </c>
    </row>
    <row r="159" spans="1:4" x14ac:dyDescent="0.3">
      <c r="A159">
        <v>37</v>
      </c>
      <c r="B159">
        <v>0</v>
      </c>
      <c r="C159">
        <v>0</v>
      </c>
      <c r="D159">
        <v>8.6624999999999996</v>
      </c>
    </row>
    <row r="160" spans="1:4" x14ac:dyDescent="0.3">
      <c r="A160">
        <v>5</v>
      </c>
      <c r="B160">
        <v>8</v>
      </c>
      <c r="C160">
        <v>2</v>
      </c>
      <c r="D160">
        <v>69.55</v>
      </c>
    </row>
    <row r="161" spans="1:4" x14ac:dyDescent="0.3">
      <c r="A161">
        <v>44</v>
      </c>
      <c r="B161">
        <v>0</v>
      </c>
      <c r="C161">
        <v>1</v>
      </c>
      <c r="D161">
        <v>16.100000000000001</v>
      </c>
    </row>
    <row r="162" spans="1:4" x14ac:dyDescent="0.3">
      <c r="A162">
        <v>40</v>
      </c>
      <c r="B162">
        <v>0</v>
      </c>
      <c r="C162">
        <v>0</v>
      </c>
      <c r="D162">
        <v>15.75</v>
      </c>
    </row>
    <row r="163" spans="1:4" x14ac:dyDescent="0.3">
      <c r="A163">
        <v>26</v>
      </c>
      <c r="B163">
        <v>0</v>
      </c>
      <c r="C163">
        <v>0</v>
      </c>
      <c r="D163">
        <v>7.7750000000000004</v>
      </c>
    </row>
    <row r="164" spans="1:4" x14ac:dyDescent="0.3">
      <c r="A164">
        <v>17</v>
      </c>
      <c r="B164">
        <v>0</v>
      </c>
      <c r="C164">
        <v>0</v>
      </c>
      <c r="D164">
        <v>8.6624999999999996</v>
      </c>
    </row>
    <row r="165" spans="1:4" x14ac:dyDescent="0.3">
      <c r="A165">
        <v>1</v>
      </c>
      <c r="B165">
        <v>4</v>
      </c>
      <c r="C165">
        <v>1</v>
      </c>
      <c r="D165">
        <v>39.6875</v>
      </c>
    </row>
    <row r="166" spans="1:4" x14ac:dyDescent="0.3">
      <c r="A166">
        <v>9</v>
      </c>
      <c r="B166">
        <v>0</v>
      </c>
      <c r="C166">
        <v>2</v>
      </c>
      <c r="D166">
        <v>20.524999999999999</v>
      </c>
    </row>
    <row r="167" spans="1:4" x14ac:dyDescent="0.3">
      <c r="A167">
        <v>48</v>
      </c>
      <c r="B167">
        <v>0</v>
      </c>
      <c r="C167">
        <v>1</v>
      </c>
      <c r="D167">
        <v>55</v>
      </c>
    </row>
    <row r="168" spans="1:4" x14ac:dyDescent="0.3">
      <c r="A168">
        <v>45</v>
      </c>
      <c r="B168">
        <v>1</v>
      </c>
      <c r="C168">
        <v>4</v>
      </c>
      <c r="D168">
        <v>27.9</v>
      </c>
    </row>
    <row r="169" spans="1:4" x14ac:dyDescent="0.3">
      <c r="A169">
        <v>60</v>
      </c>
      <c r="B169">
        <v>0</v>
      </c>
      <c r="C169">
        <v>0</v>
      </c>
      <c r="D169">
        <v>25.925000000000001</v>
      </c>
    </row>
    <row r="170" spans="1:4" x14ac:dyDescent="0.3">
      <c r="A170">
        <v>28</v>
      </c>
      <c r="B170">
        <v>0</v>
      </c>
      <c r="C170">
        <v>0</v>
      </c>
      <c r="D170">
        <v>56.495800000000003</v>
      </c>
    </row>
    <row r="171" spans="1:4" x14ac:dyDescent="0.3">
      <c r="A171">
        <v>61</v>
      </c>
      <c r="B171">
        <v>0</v>
      </c>
      <c r="C171">
        <v>0</v>
      </c>
      <c r="D171">
        <v>33.5</v>
      </c>
    </row>
    <row r="172" spans="1:4" x14ac:dyDescent="0.3">
      <c r="A172">
        <v>4</v>
      </c>
      <c r="B172">
        <v>4</v>
      </c>
      <c r="C172">
        <v>1</v>
      </c>
      <c r="D172">
        <v>29.125</v>
      </c>
    </row>
    <row r="173" spans="1:4" x14ac:dyDescent="0.3">
      <c r="A173">
        <v>1</v>
      </c>
      <c r="B173">
        <v>1</v>
      </c>
      <c r="C173">
        <v>1</v>
      </c>
      <c r="D173">
        <v>11.1333</v>
      </c>
    </row>
    <row r="174" spans="1:4" x14ac:dyDescent="0.3">
      <c r="A174">
        <v>21</v>
      </c>
      <c r="B174">
        <v>0</v>
      </c>
      <c r="C174">
        <v>0</v>
      </c>
      <c r="D174">
        <v>7.9249999999999998</v>
      </c>
    </row>
    <row r="175" spans="1:4" x14ac:dyDescent="0.3">
      <c r="A175">
        <v>56</v>
      </c>
      <c r="B175">
        <v>0</v>
      </c>
      <c r="C175">
        <v>0</v>
      </c>
      <c r="D175">
        <v>30.695799999999998</v>
      </c>
    </row>
    <row r="176" spans="1:4" x14ac:dyDescent="0.3">
      <c r="A176">
        <v>18</v>
      </c>
      <c r="B176">
        <v>1</v>
      </c>
      <c r="C176">
        <v>1</v>
      </c>
      <c r="D176">
        <v>7.8541999999999996</v>
      </c>
    </row>
    <row r="177" spans="1:4" x14ac:dyDescent="0.3">
      <c r="A177">
        <v>5</v>
      </c>
      <c r="B177">
        <v>3</v>
      </c>
      <c r="C177">
        <v>1</v>
      </c>
      <c r="D177">
        <v>25.466699999999999</v>
      </c>
    </row>
    <row r="178" spans="1:4" x14ac:dyDescent="0.3">
      <c r="A178">
        <v>50</v>
      </c>
      <c r="B178">
        <v>0</v>
      </c>
      <c r="C178">
        <v>0</v>
      </c>
      <c r="D178">
        <v>28.712499999999999</v>
      </c>
    </row>
    <row r="179" spans="1:4" x14ac:dyDescent="0.3">
      <c r="A179">
        <v>30</v>
      </c>
      <c r="B179">
        <v>0</v>
      </c>
      <c r="C179">
        <v>0</v>
      </c>
      <c r="D179">
        <v>13</v>
      </c>
    </row>
    <row r="180" spans="1:4" x14ac:dyDescent="0.3">
      <c r="A180">
        <v>36</v>
      </c>
      <c r="B180">
        <v>0</v>
      </c>
      <c r="C180">
        <v>0</v>
      </c>
      <c r="D180">
        <v>0</v>
      </c>
    </row>
    <row r="181" spans="1:4" x14ac:dyDescent="0.3">
      <c r="A181">
        <v>8</v>
      </c>
      <c r="B181">
        <v>8</v>
      </c>
      <c r="C181">
        <v>2</v>
      </c>
      <c r="D181">
        <v>69.55</v>
      </c>
    </row>
    <row r="182" spans="1:4" x14ac:dyDescent="0.3">
      <c r="A182">
        <v>39</v>
      </c>
      <c r="B182">
        <v>0</v>
      </c>
      <c r="C182">
        <v>0</v>
      </c>
      <c r="D182">
        <v>15.05</v>
      </c>
    </row>
    <row r="183" spans="1:4" x14ac:dyDescent="0.3">
      <c r="A183">
        <v>9</v>
      </c>
      <c r="B183">
        <v>4</v>
      </c>
      <c r="C183">
        <v>2</v>
      </c>
      <c r="D183">
        <v>31.387499999999999</v>
      </c>
    </row>
    <row r="184" spans="1:4" x14ac:dyDescent="0.3">
      <c r="A184">
        <v>1</v>
      </c>
      <c r="B184">
        <v>2</v>
      </c>
      <c r="C184">
        <v>1</v>
      </c>
      <c r="D184">
        <v>39</v>
      </c>
    </row>
    <row r="185" spans="1:4" x14ac:dyDescent="0.3">
      <c r="A185">
        <v>4</v>
      </c>
      <c r="B185">
        <v>0</v>
      </c>
      <c r="C185">
        <v>2</v>
      </c>
      <c r="D185">
        <v>22.024999999999999</v>
      </c>
    </row>
    <row r="186" spans="1:4" x14ac:dyDescent="0.3">
      <c r="A186">
        <v>39</v>
      </c>
      <c r="B186">
        <v>0</v>
      </c>
      <c r="C186">
        <v>0</v>
      </c>
      <c r="D186">
        <v>50</v>
      </c>
    </row>
    <row r="187" spans="1:4" x14ac:dyDescent="0.3">
      <c r="A187">
        <v>26</v>
      </c>
      <c r="B187">
        <v>1</v>
      </c>
      <c r="C187">
        <v>0</v>
      </c>
      <c r="D187">
        <v>15.5</v>
      </c>
    </row>
    <row r="188" spans="1:4" x14ac:dyDescent="0.3">
      <c r="A188">
        <v>45</v>
      </c>
      <c r="B188">
        <v>0</v>
      </c>
      <c r="C188">
        <v>0</v>
      </c>
      <c r="D188">
        <v>26.55</v>
      </c>
    </row>
    <row r="189" spans="1:4" x14ac:dyDescent="0.3">
      <c r="A189">
        <v>40</v>
      </c>
      <c r="B189">
        <v>1</v>
      </c>
      <c r="C189">
        <v>1</v>
      </c>
      <c r="D189">
        <v>15.5</v>
      </c>
    </row>
    <row r="190" spans="1:4" x14ac:dyDescent="0.3">
      <c r="A190">
        <v>36</v>
      </c>
      <c r="B190">
        <v>0</v>
      </c>
      <c r="C190">
        <v>0</v>
      </c>
      <c r="D190">
        <v>7.8958000000000004</v>
      </c>
    </row>
    <row r="191" spans="1:4" x14ac:dyDescent="0.3">
      <c r="A191">
        <v>32</v>
      </c>
      <c r="B191">
        <v>0</v>
      </c>
      <c r="C191">
        <v>0</v>
      </c>
      <c r="D191">
        <v>13</v>
      </c>
    </row>
    <row r="192" spans="1:4" x14ac:dyDescent="0.3">
      <c r="A192">
        <v>19</v>
      </c>
      <c r="B192">
        <v>0</v>
      </c>
      <c r="C192">
        <v>0</v>
      </c>
      <c r="D192">
        <v>13</v>
      </c>
    </row>
    <row r="193" spans="1:4" x14ac:dyDescent="0.3">
      <c r="A193">
        <v>19</v>
      </c>
      <c r="B193">
        <v>1</v>
      </c>
      <c r="C193">
        <v>0</v>
      </c>
      <c r="D193">
        <v>7.8541999999999996</v>
      </c>
    </row>
    <row r="194" spans="1:4" x14ac:dyDescent="0.3">
      <c r="A194">
        <v>3</v>
      </c>
      <c r="B194">
        <v>1</v>
      </c>
      <c r="C194">
        <v>1</v>
      </c>
      <c r="D194">
        <v>26</v>
      </c>
    </row>
    <row r="195" spans="1:4" x14ac:dyDescent="0.3">
      <c r="A195">
        <v>44</v>
      </c>
      <c r="B195">
        <v>0</v>
      </c>
      <c r="C195">
        <v>0</v>
      </c>
      <c r="D195">
        <v>27.720800000000001</v>
      </c>
    </row>
    <row r="196" spans="1:4" x14ac:dyDescent="0.3">
      <c r="A196">
        <v>58</v>
      </c>
      <c r="B196">
        <v>0</v>
      </c>
      <c r="C196">
        <v>0</v>
      </c>
      <c r="D196">
        <v>146.52080000000001</v>
      </c>
    </row>
    <row r="197" spans="1:4" x14ac:dyDescent="0.3">
      <c r="A197">
        <v>28</v>
      </c>
      <c r="B197">
        <v>0</v>
      </c>
      <c r="C197">
        <v>0</v>
      </c>
      <c r="D197">
        <v>7.75</v>
      </c>
    </row>
    <row r="198" spans="1:4" x14ac:dyDescent="0.3">
      <c r="A198">
        <v>42</v>
      </c>
      <c r="B198">
        <v>0</v>
      </c>
      <c r="C198">
        <v>1</v>
      </c>
      <c r="D198">
        <v>8.4041999999999994</v>
      </c>
    </row>
    <row r="199" spans="1:4" x14ac:dyDescent="0.3">
      <c r="A199">
        <v>21</v>
      </c>
      <c r="B199">
        <v>0</v>
      </c>
      <c r="C199">
        <v>0</v>
      </c>
      <c r="D199">
        <v>7.75</v>
      </c>
    </row>
    <row r="200" spans="1:4" x14ac:dyDescent="0.3">
      <c r="A200">
        <v>24</v>
      </c>
      <c r="B200">
        <v>0</v>
      </c>
      <c r="C200">
        <v>0</v>
      </c>
      <c r="D200">
        <v>13</v>
      </c>
    </row>
    <row r="201" spans="1:4" x14ac:dyDescent="0.3">
      <c r="A201">
        <v>28</v>
      </c>
      <c r="B201">
        <v>0</v>
      </c>
      <c r="C201">
        <v>0</v>
      </c>
      <c r="D201">
        <v>9.5</v>
      </c>
    </row>
    <row r="202" spans="1:4" x14ac:dyDescent="0.3">
      <c r="A202">
        <v>17</v>
      </c>
      <c r="B202">
        <v>8</v>
      </c>
      <c r="C202">
        <v>2</v>
      </c>
      <c r="D202">
        <v>69.55</v>
      </c>
    </row>
    <row r="203" spans="1:4" x14ac:dyDescent="0.3">
      <c r="A203">
        <v>34</v>
      </c>
      <c r="B203">
        <v>0</v>
      </c>
      <c r="C203">
        <v>0</v>
      </c>
      <c r="D203">
        <v>6.4958</v>
      </c>
    </row>
    <row r="204" spans="1:4" x14ac:dyDescent="0.3">
      <c r="A204">
        <v>45.5</v>
      </c>
      <c r="B204">
        <v>0</v>
      </c>
      <c r="C204">
        <v>0</v>
      </c>
      <c r="D204">
        <v>7.2249999999999996</v>
      </c>
    </row>
    <row r="205" spans="1:4" x14ac:dyDescent="0.3">
      <c r="A205">
        <v>18</v>
      </c>
      <c r="B205">
        <v>0</v>
      </c>
      <c r="C205">
        <v>0</v>
      </c>
      <c r="D205">
        <v>8.0500000000000007</v>
      </c>
    </row>
    <row r="206" spans="1:4" x14ac:dyDescent="0.3">
      <c r="A206">
        <v>2</v>
      </c>
      <c r="B206">
        <v>0</v>
      </c>
      <c r="C206">
        <v>1</v>
      </c>
      <c r="D206">
        <v>10.4625</v>
      </c>
    </row>
    <row r="207" spans="1:4" x14ac:dyDescent="0.3">
      <c r="A207">
        <v>32</v>
      </c>
      <c r="B207">
        <v>1</v>
      </c>
      <c r="C207">
        <v>0</v>
      </c>
      <c r="D207">
        <v>15.85</v>
      </c>
    </row>
    <row r="208" spans="1:4" x14ac:dyDescent="0.3">
      <c r="A208">
        <v>26</v>
      </c>
      <c r="B208">
        <v>0</v>
      </c>
      <c r="C208">
        <v>0</v>
      </c>
      <c r="D208">
        <v>18.787500000000001</v>
      </c>
    </row>
    <row r="209" spans="1:4" x14ac:dyDescent="0.3">
      <c r="A209">
        <v>16</v>
      </c>
      <c r="B209">
        <v>0</v>
      </c>
      <c r="C209">
        <v>0</v>
      </c>
      <c r="D209">
        <v>7.75</v>
      </c>
    </row>
    <row r="210" spans="1:4" x14ac:dyDescent="0.3">
      <c r="A210">
        <v>40</v>
      </c>
      <c r="B210">
        <v>0</v>
      </c>
      <c r="C210">
        <v>0</v>
      </c>
      <c r="D210">
        <v>31</v>
      </c>
    </row>
    <row r="211" spans="1:4" x14ac:dyDescent="0.3">
      <c r="A211">
        <v>24</v>
      </c>
      <c r="B211">
        <v>0</v>
      </c>
      <c r="C211">
        <v>0</v>
      </c>
      <c r="D211">
        <v>7.05</v>
      </c>
    </row>
    <row r="212" spans="1:4" x14ac:dyDescent="0.3">
      <c r="A212">
        <v>35</v>
      </c>
      <c r="B212">
        <v>0</v>
      </c>
      <c r="C212">
        <v>0</v>
      </c>
      <c r="D212">
        <v>21</v>
      </c>
    </row>
    <row r="213" spans="1:4" x14ac:dyDescent="0.3">
      <c r="A213">
        <v>22</v>
      </c>
      <c r="B213">
        <v>0</v>
      </c>
      <c r="C213">
        <v>0</v>
      </c>
      <c r="D213">
        <v>7.25</v>
      </c>
    </row>
    <row r="214" spans="1:4" x14ac:dyDescent="0.3">
      <c r="A214">
        <v>30</v>
      </c>
      <c r="B214">
        <v>0</v>
      </c>
      <c r="C214">
        <v>0</v>
      </c>
      <c r="D214">
        <v>13</v>
      </c>
    </row>
    <row r="215" spans="1:4" x14ac:dyDescent="0.3">
      <c r="A215">
        <v>22</v>
      </c>
      <c r="B215">
        <v>1</v>
      </c>
      <c r="C215">
        <v>0</v>
      </c>
      <c r="D215">
        <v>7.75</v>
      </c>
    </row>
    <row r="216" spans="1:4" x14ac:dyDescent="0.3">
      <c r="A216">
        <v>31</v>
      </c>
      <c r="B216">
        <v>1</v>
      </c>
      <c r="C216">
        <v>0</v>
      </c>
      <c r="D216">
        <v>113.27500000000001</v>
      </c>
    </row>
    <row r="217" spans="1:4" x14ac:dyDescent="0.3">
      <c r="A217">
        <v>27</v>
      </c>
      <c r="B217">
        <v>0</v>
      </c>
      <c r="C217">
        <v>0</v>
      </c>
      <c r="D217">
        <v>7.9249999999999998</v>
      </c>
    </row>
    <row r="218" spans="1:4" x14ac:dyDescent="0.3">
      <c r="A218">
        <v>42</v>
      </c>
      <c r="B218">
        <v>1</v>
      </c>
      <c r="C218">
        <v>0</v>
      </c>
      <c r="D218">
        <v>27</v>
      </c>
    </row>
    <row r="219" spans="1:4" x14ac:dyDescent="0.3">
      <c r="A219">
        <v>32</v>
      </c>
      <c r="B219">
        <v>0</v>
      </c>
      <c r="C219">
        <v>0</v>
      </c>
      <c r="D219">
        <v>76.291700000000006</v>
      </c>
    </row>
    <row r="220" spans="1:4" x14ac:dyDescent="0.3">
      <c r="A220">
        <v>30</v>
      </c>
      <c r="B220">
        <v>0</v>
      </c>
      <c r="C220">
        <v>0</v>
      </c>
      <c r="D220">
        <v>10.5</v>
      </c>
    </row>
    <row r="221" spans="1:4" x14ac:dyDescent="0.3">
      <c r="A221">
        <v>16</v>
      </c>
      <c r="B221">
        <v>0</v>
      </c>
      <c r="C221">
        <v>0</v>
      </c>
      <c r="D221">
        <v>8.0500000000000007</v>
      </c>
    </row>
    <row r="222" spans="1:4" x14ac:dyDescent="0.3">
      <c r="A222">
        <v>27</v>
      </c>
      <c r="B222">
        <v>0</v>
      </c>
      <c r="C222">
        <v>0</v>
      </c>
      <c r="D222">
        <v>13</v>
      </c>
    </row>
    <row r="223" spans="1:4" x14ac:dyDescent="0.3">
      <c r="A223">
        <v>51</v>
      </c>
      <c r="B223">
        <v>0</v>
      </c>
      <c r="C223">
        <v>0</v>
      </c>
      <c r="D223">
        <v>8.0500000000000007</v>
      </c>
    </row>
    <row r="224" spans="1:4" x14ac:dyDescent="0.3">
      <c r="A224">
        <v>22</v>
      </c>
      <c r="B224">
        <v>0</v>
      </c>
      <c r="C224">
        <v>0</v>
      </c>
      <c r="D224">
        <v>7.8958000000000004</v>
      </c>
    </row>
    <row r="225" spans="1:4" x14ac:dyDescent="0.3">
      <c r="A225">
        <v>38</v>
      </c>
      <c r="B225">
        <v>1</v>
      </c>
      <c r="C225">
        <v>0</v>
      </c>
      <c r="D225">
        <v>90</v>
      </c>
    </row>
    <row r="226" spans="1:4" x14ac:dyDescent="0.3">
      <c r="A226">
        <v>22</v>
      </c>
      <c r="B226">
        <v>0</v>
      </c>
      <c r="C226">
        <v>0</v>
      </c>
      <c r="D226">
        <v>9.35</v>
      </c>
    </row>
    <row r="227" spans="1:4" x14ac:dyDescent="0.3">
      <c r="A227">
        <v>19</v>
      </c>
      <c r="B227">
        <v>0</v>
      </c>
      <c r="C227">
        <v>0</v>
      </c>
      <c r="D227">
        <v>10.5</v>
      </c>
    </row>
    <row r="228" spans="1:4" x14ac:dyDescent="0.3">
      <c r="A228">
        <v>20.5</v>
      </c>
      <c r="B228">
        <v>0</v>
      </c>
      <c r="C228">
        <v>0</v>
      </c>
      <c r="D228">
        <v>7.25</v>
      </c>
    </row>
    <row r="229" spans="1:4" x14ac:dyDescent="0.3">
      <c r="A229">
        <v>18</v>
      </c>
      <c r="B229">
        <v>0</v>
      </c>
      <c r="C229">
        <v>0</v>
      </c>
      <c r="D229">
        <v>13</v>
      </c>
    </row>
    <row r="230" spans="1:4" x14ac:dyDescent="0.3">
      <c r="A230">
        <v>12</v>
      </c>
      <c r="B230">
        <v>3</v>
      </c>
      <c r="C230">
        <v>1</v>
      </c>
      <c r="D230">
        <v>25.466699999999999</v>
      </c>
    </row>
    <row r="231" spans="1:4" x14ac:dyDescent="0.3">
      <c r="A231">
        <v>35</v>
      </c>
      <c r="B231">
        <v>1</v>
      </c>
      <c r="C231">
        <v>0</v>
      </c>
      <c r="D231">
        <v>83.474999999999994</v>
      </c>
    </row>
    <row r="232" spans="1:4" x14ac:dyDescent="0.3">
      <c r="A232">
        <v>29</v>
      </c>
      <c r="B232">
        <v>0</v>
      </c>
      <c r="C232">
        <v>0</v>
      </c>
      <c r="D232">
        <v>7.7750000000000004</v>
      </c>
    </row>
    <row r="233" spans="1:4" x14ac:dyDescent="0.3">
      <c r="A233">
        <v>59</v>
      </c>
      <c r="B233">
        <v>0</v>
      </c>
      <c r="C233">
        <v>0</v>
      </c>
      <c r="D233">
        <v>13.5</v>
      </c>
    </row>
    <row r="234" spans="1:4" x14ac:dyDescent="0.3">
      <c r="A234">
        <v>5</v>
      </c>
      <c r="B234">
        <v>4</v>
      </c>
      <c r="C234">
        <v>2</v>
      </c>
      <c r="D234">
        <v>31.387499999999999</v>
      </c>
    </row>
    <row r="235" spans="1:4" x14ac:dyDescent="0.3">
      <c r="A235">
        <v>24</v>
      </c>
      <c r="B235">
        <v>0</v>
      </c>
      <c r="C235">
        <v>0</v>
      </c>
      <c r="D235">
        <v>10.5</v>
      </c>
    </row>
    <row r="236" spans="1:4" x14ac:dyDescent="0.3">
      <c r="A236">
        <v>21</v>
      </c>
      <c r="B236">
        <v>0</v>
      </c>
      <c r="C236">
        <v>0</v>
      </c>
      <c r="D236">
        <v>7.55</v>
      </c>
    </row>
    <row r="237" spans="1:4" x14ac:dyDescent="0.3">
      <c r="A237">
        <v>44</v>
      </c>
      <c r="B237">
        <v>1</v>
      </c>
      <c r="C237">
        <v>0</v>
      </c>
      <c r="D237">
        <v>26</v>
      </c>
    </row>
    <row r="238" spans="1:4" x14ac:dyDescent="0.3">
      <c r="A238">
        <v>8</v>
      </c>
      <c r="B238">
        <v>0</v>
      </c>
      <c r="C238">
        <v>2</v>
      </c>
      <c r="D238">
        <v>26.25</v>
      </c>
    </row>
    <row r="239" spans="1:4" x14ac:dyDescent="0.3">
      <c r="A239">
        <v>19</v>
      </c>
      <c r="B239">
        <v>0</v>
      </c>
      <c r="C239">
        <v>0</v>
      </c>
      <c r="D239">
        <v>10.5</v>
      </c>
    </row>
    <row r="240" spans="1:4" x14ac:dyDescent="0.3">
      <c r="A240">
        <v>33</v>
      </c>
      <c r="B240">
        <v>0</v>
      </c>
      <c r="C240">
        <v>0</v>
      </c>
      <c r="D240">
        <v>12.275</v>
      </c>
    </row>
    <row r="241" spans="1:4" x14ac:dyDescent="0.3">
      <c r="A241">
        <v>19</v>
      </c>
      <c r="B241">
        <v>1</v>
      </c>
      <c r="C241">
        <v>0</v>
      </c>
      <c r="D241">
        <v>14.4542</v>
      </c>
    </row>
    <row r="242" spans="1:4" x14ac:dyDescent="0.3">
      <c r="A242">
        <v>18</v>
      </c>
      <c r="B242">
        <v>1</v>
      </c>
      <c r="C242">
        <v>0</v>
      </c>
      <c r="D242">
        <v>15.5</v>
      </c>
    </row>
    <row r="243" spans="1:4" x14ac:dyDescent="0.3">
      <c r="A243">
        <v>29</v>
      </c>
      <c r="B243">
        <v>0</v>
      </c>
      <c r="C243">
        <v>0</v>
      </c>
      <c r="D243">
        <v>10.5</v>
      </c>
    </row>
    <row r="244" spans="1:4" x14ac:dyDescent="0.3">
      <c r="A244">
        <v>22</v>
      </c>
      <c r="B244">
        <v>0</v>
      </c>
      <c r="C244">
        <v>0</v>
      </c>
      <c r="D244">
        <v>7.125</v>
      </c>
    </row>
    <row r="245" spans="1:4" x14ac:dyDescent="0.3">
      <c r="A245">
        <v>30</v>
      </c>
      <c r="B245">
        <v>0</v>
      </c>
      <c r="C245">
        <v>0</v>
      </c>
      <c r="D245">
        <v>7.2249999999999996</v>
      </c>
    </row>
    <row r="246" spans="1:4" x14ac:dyDescent="0.3">
      <c r="A246">
        <v>44</v>
      </c>
      <c r="B246">
        <v>2</v>
      </c>
      <c r="C246">
        <v>0</v>
      </c>
      <c r="D246">
        <v>90</v>
      </c>
    </row>
    <row r="247" spans="1:4" x14ac:dyDescent="0.3">
      <c r="A247">
        <v>25</v>
      </c>
      <c r="B247">
        <v>0</v>
      </c>
      <c r="C247">
        <v>0</v>
      </c>
      <c r="D247">
        <v>7.7750000000000004</v>
      </c>
    </row>
    <row r="248" spans="1:4" x14ac:dyDescent="0.3">
      <c r="A248">
        <v>24</v>
      </c>
      <c r="B248">
        <v>0</v>
      </c>
      <c r="C248">
        <v>2</v>
      </c>
      <c r="D248">
        <v>14.5</v>
      </c>
    </row>
    <row r="249" spans="1:4" x14ac:dyDescent="0.3">
      <c r="A249">
        <v>37</v>
      </c>
      <c r="B249">
        <v>1</v>
      </c>
      <c r="C249">
        <v>1</v>
      </c>
      <c r="D249">
        <v>52.554200000000002</v>
      </c>
    </row>
    <row r="250" spans="1:4" x14ac:dyDescent="0.3">
      <c r="A250">
        <v>54</v>
      </c>
      <c r="B250">
        <v>1</v>
      </c>
      <c r="C250">
        <v>0</v>
      </c>
      <c r="D250">
        <v>26</v>
      </c>
    </row>
    <row r="251" spans="1:4" x14ac:dyDescent="0.3">
      <c r="A251">
        <v>18</v>
      </c>
      <c r="B251">
        <v>0</v>
      </c>
      <c r="C251">
        <v>0</v>
      </c>
      <c r="D251">
        <v>7.25</v>
      </c>
    </row>
    <row r="252" spans="1:4" x14ac:dyDescent="0.3">
      <c r="A252">
        <v>29</v>
      </c>
      <c r="B252">
        <v>1</v>
      </c>
      <c r="C252">
        <v>1</v>
      </c>
      <c r="D252">
        <v>10.4625</v>
      </c>
    </row>
    <row r="253" spans="1:4" x14ac:dyDescent="0.3">
      <c r="A253">
        <v>62</v>
      </c>
      <c r="B253">
        <v>0</v>
      </c>
      <c r="C253">
        <v>0</v>
      </c>
      <c r="D253">
        <v>26.55</v>
      </c>
    </row>
    <row r="254" spans="1:4" x14ac:dyDescent="0.3">
      <c r="A254">
        <v>30</v>
      </c>
      <c r="B254">
        <v>1</v>
      </c>
      <c r="C254">
        <v>0</v>
      </c>
      <c r="D254">
        <v>16.100000000000001</v>
      </c>
    </row>
    <row r="255" spans="1:4" x14ac:dyDescent="0.3">
      <c r="A255">
        <v>41</v>
      </c>
      <c r="B255">
        <v>0</v>
      </c>
      <c r="C255">
        <v>2</v>
      </c>
      <c r="D255">
        <v>20.212499999999999</v>
      </c>
    </row>
    <row r="256" spans="1:4" x14ac:dyDescent="0.3">
      <c r="A256">
        <v>29</v>
      </c>
      <c r="B256">
        <v>0</v>
      </c>
      <c r="C256">
        <v>2</v>
      </c>
      <c r="D256">
        <v>15.245799999999999</v>
      </c>
    </row>
    <row r="257" spans="1:4" x14ac:dyDescent="0.3">
      <c r="A257">
        <v>38</v>
      </c>
      <c r="B257">
        <v>0</v>
      </c>
      <c r="C257">
        <v>0</v>
      </c>
      <c r="D257">
        <v>79.2</v>
      </c>
    </row>
    <row r="258" spans="1:4" x14ac:dyDescent="0.3">
      <c r="A258">
        <v>30</v>
      </c>
      <c r="B258">
        <v>0</v>
      </c>
      <c r="C258">
        <v>0</v>
      </c>
      <c r="D258">
        <v>86.5</v>
      </c>
    </row>
    <row r="259" spans="1:4" x14ac:dyDescent="0.3">
      <c r="A259">
        <v>35</v>
      </c>
      <c r="B259">
        <v>0</v>
      </c>
      <c r="C259">
        <v>0</v>
      </c>
      <c r="D259">
        <v>512.32920000000001</v>
      </c>
    </row>
    <row r="260" spans="1:4" x14ac:dyDescent="0.3">
      <c r="A260">
        <v>50</v>
      </c>
      <c r="B260">
        <v>0</v>
      </c>
      <c r="C260">
        <v>1</v>
      </c>
      <c r="D260">
        <v>26</v>
      </c>
    </row>
    <row r="261" spans="1:4" x14ac:dyDescent="0.3">
      <c r="A261">
        <v>3</v>
      </c>
      <c r="B261">
        <v>4</v>
      </c>
      <c r="C261">
        <v>2</v>
      </c>
      <c r="D261">
        <v>31.387499999999999</v>
      </c>
    </row>
    <row r="262" spans="1:4" x14ac:dyDescent="0.3">
      <c r="A262">
        <v>52</v>
      </c>
      <c r="B262">
        <v>1</v>
      </c>
      <c r="C262">
        <v>1</v>
      </c>
      <c r="D262">
        <v>79.650000000000006</v>
      </c>
    </row>
    <row r="263" spans="1:4" x14ac:dyDescent="0.3">
      <c r="A263">
        <v>40</v>
      </c>
      <c r="B263">
        <v>0</v>
      </c>
      <c r="C263">
        <v>0</v>
      </c>
      <c r="D263">
        <v>0</v>
      </c>
    </row>
    <row r="264" spans="1:4" x14ac:dyDescent="0.3">
      <c r="A264">
        <v>21</v>
      </c>
      <c r="B264">
        <v>0</v>
      </c>
      <c r="C264">
        <v>0</v>
      </c>
      <c r="D264">
        <v>7.75</v>
      </c>
    </row>
    <row r="265" spans="1:4" x14ac:dyDescent="0.3">
      <c r="A265">
        <v>36</v>
      </c>
      <c r="B265">
        <v>0</v>
      </c>
      <c r="C265">
        <v>0</v>
      </c>
      <c r="D265">
        <v>10.5</v>
      </c>
    </row>
    <row r="266" spans="1:4" x14ac:dyDescent="0.3">
      <c r="A266">
        <v>16</v>
      </c>
      <c r="B266">
        <v>4</v>
      </c>
      <c r="C266">
        <v>1</v>
      </c>
      <c r="D266">
        <v>39.6875</v>
      </c>
    </row>
    <row r="267" spans="1:4" x14ac:dyDescent="0.3">
      <c r="A267">
        <v>25</v>
      </c>
      <c r="B267">
        <v>1</v>
      </c>
      <c r="C267">
        <v>0</v>
      </c>
      <c r="D267">
        <v>7.7750000000000004</v>
      </c>
    </row>
    <row r="268" spans="1:4" x14ac:dyDescent="0.3">
      <c r="A268">
        <v>58</v>
      </c>
      <c r="B268">
        <v>0</v>
      </c>
      <c r="C268">
        <v>1</v>
      </c>
      <c r="D268">
        <v>153.46250000000001</v>
      </c>
    </row>
    <row r="269" spans="1:4" x14ac:dyDescent="0.3">
      <c r="A269">
        <v>35</v>
      </c>
      <c r="B269">
        <v>0</v>
      </c>
      <c r="C269">
        <v>0</v>
      </c>
      <c r="D269">
        <v>135.63329999999999</v>
      </c>
    </row>
    <row r="270" spans="1:4" x14ac:dyDescent="0.3">
      <c r="A270">
        <v>28</v>
      </c>
      <c r="B270">
        <v>0</v>
      </c>
      <c r="C270">
        <v>0</v>
      </c>
      <c r="D270">
        <v>31</v>
      </c>
    </row>
    <row r="271" spans="1:4" x14ac:dyDescent="0.3">
      <c r="A271">
        <v>25</v>
      </c>
      <c r="B271">
        <v>0</v>
      </c>
      <c r="C271">
        <v>0</v>
      </c>
      <c r="D271">
        <v>0</v>
      </c>
    </row>
    <row r="272" spans="1:4" x14ac:dyDescent="0.3">
      <c r="A272">
        <v>41</v>
      </c>
      <c r="B272">
        <v>0</v>
      </c>
      <c r="C272">
        <v>1</v>
      </c>
      <c r="D272">
        <v>19.5</v>
      </c>
    </row>
    <row r="273" spans="1:4" x14ac:dyDescent="0.3">
      <c r="A273">
        <v>37</v>
      </c>
      <c r="B273">
        <v>0</v>
      </c>
      <c r="C273">
        <v>1</v>
      </c>
      <c r="D273">
        <v>29.7</v>
      </c>
    </row>
    <row r="274" spans="1:4" x14ac:dyDescent="0.3">
      <c r="A274">
        <v>33</v>
      </c>
      <c r="B274">
        <v>0</v>
      </c>
      <c r="C274">
        <v>0</v>
      </c>
      <c r="D274">
        <v>7.75</v>
      </c>
    </row>
    <row r="275" spans="1:4" x14ac:dyDescent="0.3">
      <c r="A275">
        <v>63</v>
      </c>
      <c r="B275">
        <v>1</v>
      </c>
      <c r="C275">
        <v>0</v>
      </c>
      <c r="D275">
        <v>77.958299999999994</v>
      </c>
    </row>
    <row r="276" spans="1:4" x14ac:dyDescent="0.3">
      <c r="A276">
        <v>45</v>
      </c>
      <c r="B276">
        <v>0</v>
      </c>
      <c r="C276">
        <v>0</v>
      </c>
      <c r="D276">
        <v>7.75</v>
      </c>
    </row>
    <row r="277" spans="1:4" x14ac:dyDescent="0.3">
      <c r="A277">
        <v>21</v>
      </c>
      <c r="B277">
        <v>0</v>
      </c>
      <c r="C277">
        <v>0</v>
      </c>
      <c r="D277">
        <v>0</v>
      </c>
    </row>
    <row r="278" spans="1:4" x14ac:dyDescent="0.3">
      <c r="A278">
        <v>7</v>
      </c>
      <c r="B278">
        <v>4</v>
      </c>
      <c r="C278">
        <v>1</v>
      </c>
      <c r="D278">
        <v>29.125</v>
      </c>
    </row>
    <row r="279" spans="1:4" x14ac:dyDescent="0.3">
      <c r="A279">
        <v>35</v>
      </c>
      <c r="B279">
        <v>1</v>
      </c>
      <c r="C279">
        <v>1</v>
      </c>
      <c r="D279">
        <v>20.25</v>
      </c>
    </row>
    <row r="280" spans="1:4" x14ac:dyDescent="0.3">
      <c r="A280">
        <v>65</v>
      </c>
      <c r="B280">
        <v>0</v>
      </c>
      <c r="C280">
        <v>0</v>
      </c>
      <c r="D280">
        <v>7.75</v>
      </c>
    </row>
    <row r="281" spans="1:4" x14ac:dyDescent="0.3">
      <c r="A281">
        <v>28</v>
      </c>
      <c r="B281">
        <v>0</v>
      </c>
      <c r="C281">
        <v>0</v>
      </c>
      <c r="D281">
        <v>7.8541999999999996</v>
      </c>
    </row>
    <row r="282" spans="1:4" x14ac:dyDescent="0.3">
      <c r="A282">
        <v>16</v>
      </c>
      <c r="B282">
        <v>0</v>
      </c>
      <c r="C282">
        <v>0</v>
      </c>
      <c r="D282">
        <v>9.5</v>
      </c>
    </row>
    <row r="283" spans="1:4" x14ac:dyDescent="0.3">
      <c r="A283">
        <v>19</v>
      </c>
      <c r="B283">
        <v>0</v>
      </c>
      <c r="C283">
        <v>0</v>
      </c>
      <c r="D283">
        <v>8.0500000000000007</v>
      </c>
    </row>
    <row r="284" spans="1:4" x14ac:dyDescent="0.3">
      <c r="A284">
        <v>57</v>
      </c>
      <c r="B284">
        <v>0</v>
      </c>
      <c r="C284">
        <v>0</v>
      </c>
      <c r="D284">
        <v>26</v>
      </c>
    </row>
    <row r="285" spans="1:4" x14ac:dyDescent="0.3">
      <c r="A285">
        <v>33</v>
      </c>
      <c r="B285">
        <v>0</v>
      </c>
      <c r="C285">
        <v>0</v>
      </c>
      <c r="D285">
        <v>8.6624999999999996</v>
      </c>
    </row>
    <row r="286" spans="1:4" x14ac:dyDescent="0.3">
      <c r="A286">
        <v>30</v>
      </c>
      <c r="B286">
        <v>0</v>
      </c>
      <c r="C286">
        <v>0</v>
      </c>
      <c r="D286">
        <v>9.5</v>
      </c>
    </row>
    <row r="287" spans="1:4" x14ac:dyDescent="0.3">
      <c r="A287">
        <v>22</v>
      </c>
      <c r="B287">
        <v>0</v>
      </c>
      <c r="C287">
        <v>0</v>
      </c>
      <c r="D287">
        <v>7.8958000000000004</v>
      </c>
    </row>
    <row r="288" spans="1:4" x14ac:dyDescent="0.3">
      <c r="A288">
        <v>42</v>
      </c>
      <c r="B288">
        <v>0</v>
      </c>
      <c r="C288">
        <v>0</v>
      </c>
      <c r="D288">
        <v>13</v>
      </c>
    </row>
    <row r="289" spans="1:4" x14ac:dyDescent="0.3">
      <c r="A289">
        <v>22</v>
      </c>
      <c r="B289">
        <v>0</v>
      </c>
      <c r="C289">
        <v>0</v>
      </c>
      <c r="D289">
        <v>7.75</v>
      </c>
    </row>
    <row r="290" spans="1:4" x14ac:dyDescent="0.3">
      <c r="A290">
        <v>26</v>
      </c>
      <c r="B290">
        <v>0</v>
      </c>
      <c r="C290">
        <v>0</v>
      </c>
      <c r="D290">
        <v>78.849999999999994</v>
      </c>
    </row>
    <row r="291" spans="1:4" x14ac:dyDescent="0.3">
      <c r="A291">
        <v>19</v>
      </c>
      <c r="B291">
        <v>1</v>
      </c>
      <c r="C291">
        <v>0</v>
      </c>
      <c r="D291">
        <v>91.0792</v>
      </c>
    </row>
    <row r="292" spans="1:4" x14ac:dyDescent="0.3">
      <c r="A292">
        <v>36</v>
      </c>
      <c r="B292">
        <v>0</v>
      </c>
      <c r="C292">
        <v>0</v>
      </c>
      <c r="D292">
        <v>12.875</v>
      </c>
    </row>
    <row r="293" spans="1:4" x14ac:dyDescent="0.3">
      <c r="A293">
        <v>24</v>
      </c>
      <c r="B293">
        <v>0</v>
      </c>
      <c r="C293">
        <v>0</v>
      </c>
      <c r="D293">
        <v>8.85</v>
      </c>
    </row>
    <row r="294" spans="1:4" x14ac:dyDescent="0.3">
      <c r="A294">
        <v>24</v>
      </c>
      <c r="B294">
        <v>0</v>
      </c>
      <c r="C294">
        <v>0</v>
      </c>
      <c r="D294">
        <v>7.8958000000000004</v>
      </c>
    </row>
    <row r="295" spans="1:4" x14ac:dyDescent="0.3">
      <c r="A295">
        <v>30</v>
      </c>
      <c r="B295">
        <v>0</v>
      </c>
      <c r="C295">
        <v>0</v>
      </c>
      <c r="D295">
        <v>27.720800000000001</v>
      </c>
    </row>
    <row r="296" spans="1:4" x14ac:dyDescent="0.3">
      <c r="A296">
        <v>23.5</v>
      </c>
      <c r="B296">
        <v>0</v>
      </c>
      <c r="C296">
        <v>0</v>
      </c>
      <c r="D296">
        <v>7.2291999999999996</v>
      </c>
    </row>
    <row r="297" spans="1:4" x14ac:dyDescent="0.3">
      <c r="A297">
        <v>2</v>
      </c>
      <c r="B297">
        <v>1</v>
      </c>
      <c r="C297">
        <v>2</v>
      </c>
      <c r="D297">
        <v>151.55000000000001</v>
      </c>
    </row>
    <row r="298" spans="1:4" x14ac:dyDescent="0.3">
      <c r="A298">
        <v>47</v>
      </c>
      <c r="B298">
        <v>0</v>
      </c>
      <c r="C298">
        <v>0</v>
      </c>
      <c r="D298">
        <v>30.5</v>
      </c>
    </row>
    <row r="299" spans="1:4" x14ac:dyDescent="0.3">
      <c r="A299">
        <v>50</v>
      </c>
      <c r="B299">
        <v>0</v>
      </c>
      <c r="C299">
        <v>1</v>
      </c>
      <c r="D299">
        <v>247.52080000000001</v>
      </c>
    </row>
    <row r="300" spans="1:4" x14ac:dyDescent="0.3">
      <c r="A300">
        <v>20</v>
      </c>
      <c r="B300">
        <v>0</v>
      </c>
      <c r="C300">
        <v>0</v>
      </c>
      <c r="D300">
        <v>7.75</v>
      </c>
    </row>
    <row r="301" spans="1:4" x14ac:dyDescent="0.3">
      <c r="A301">
        <v>24</v>
      </c>
      <c r="B301">
        <v>2</v>
      </c>
      <c r="C301">
        <v>0</v>
      </c>
      <c r="D301">
        <v>23.25</v>
      </c>
    </row>
    <row r="302" spans="1:4" x14ac:dyDescent="0.3">
      <c r="A302">
        <v>19</v>
      </c>
      <c r="B302">
        <v>0</v>
      </c>
      <c r="C302">
        <v>0</v>
      </c>
      <c r="D302">
        <v>0</v>
      </c>
    </row>
    <row r="303" spans="1:4" x14ac:dyDescent="0.3">
      <c r="A303">
        <v>46</v>
      </c>
      <c r="B303">
        <v>0</v>
      </c>
      <c r="C303">
        <v>0</v>
      </c>
      <c r="D303">
        <v>12.35</v>
      </c>
    </row>
    <row r="304" spans="1:4" x14ac:dyDescent="0.3">
      <c r="A304">
        <v>28</v>
      </c>
      <c r="B304">
        <v>0</v>
      </c>
      <c r="C304">
        <v>0</v>
      </c>
      <c r="D304">
        <v>8.0500000000000007</v>
      </c>
    </row>
    <row r="305" spans="1:4" x14ac:dyDescent="0.3">
      <c r="A305">
        <v>0.92</v>
      </c>
      <c r="B305">
        <v>1</v>
      </c>
      <c r="C305">
        <v>2</v>
      </c>
      <c r="D305">
        <v>151.55000000000001</v>
      </c>
    </row>
    <row r="306" spans="1:4" x14ac:dyDescent="0.3">
      <c r="A306">
        <v>42</v>
      </c>
      <c r="B306">
        <v>0</v>
      </c>
      <c r="C306">
        <v>0</v>
      </c>
      <c r="D306">
        <v>110.88330000000001</v>
      </c>
    </row>
    <row r="307" spans="1:4" x14ac:dyDescent="0.3">
      <c r="A307">
        <v>17</v>
      </c>
      <c r="B307">
        <v>1</v>
      </c>
      <c r="C307">
        <v>0</v>
      </c>
      <c r="D307">
        <v>108.9</v>
      </c>
    </row>
    <row r="308" spans="1:4" x14ac:dyDescent="0.3">
      <c r="A308">
        <v>30</v>
      </c>
      <c r="B308">
        <v>1</v>
      </c>
      <c r="C308">
        <v>0</v>
      </c>
      <c r="D308">
        <v>24</v>
      </c>
    </row>
    <row r="309" spans="1:4" x14ac:dyDescent="0.3">
      <c r="A309">
        <v>30</v>
      </c>
      <c r="B309">
        <v>0</v>
      </c>
      <c r="C309">
        <v>0</v>
      </c>
      <c r="D309">
        <v>56.929200000000002</v>
      </c>
    </row>
    <row r="310" spans="1:4" x14ac:dyDescent="0.3">
      <c r="A310">
        <v>24</v>
      </c>
      <c r="B310">
        <v>0</v>
      </c>
      <c r="C310">
        <v>0</v>
      </c>
      <c r="D310">
        <v>83.158299999999997</v>
      </c>
    </row>
    <row r="311" spans="1:4" x14ac:dyDescent="0.3">
      <c r="A311">
        <v>18</v>
      </c>
      <c r="B311">
        <v>2</v>
      </c>
      <c r="C311">
        <v>2</v>
      </c>
      <c r="D311">
        <v>262.375</v>
      </c>
    </row>
    <row r="312" spans="1:4" x14ac:dyDescent="0.3">
      <c r="A312">
        <v>26</v>
      </c>
      <c r="B312">
        <v>1</v>
      </c>
      <c r="C312">
        <v>1</v>
      </c>
      <c r="D312">
        <v>26</v>
      </c>
    </row>
    <row r="313" spans="1:4" x14ac:dyDescent="0.3">
      <c r="A313">
        <v>28</v>
      </c>
      <c r="B313">
        <v>0</v>
      </c>
      <c r="C313">
        <v>0</v>
      </c>
      <c r="D313">
        <v>7.8958000000000004</v>
      </c>
    </row>
    <row r="314" spans="1:4" x14ac:dyDescent="0.3">
      <c r="A314">
        <v>43</v>
      </c>
      <c r="B314">
        <v>1</v>
      </c>
      <c r="C314">
        <v>1</v>
      </c>
      <c r="D314">
        <v>26.25</v>
      </c>
    </row>
    <row r="315" spans="1:4" x14ac:dyDescent="0.3">
      <c r="A315">
        <v>26</v>
      </c>
      <c r="B315">
        <v>0</v>
      </c>
      <c r="C315">
        <v>0</v>
      </c>
      <c r="D315">
        <v>7.8541999999999996</v>
      </c>
    </row>
    <row r="316" spans="1:4" x14ac:dyDescent="0.3">
      <c r="A316">
        <v>24</v>
      </c>
      <c r="B316">
        <v>1</v>
      </c>
      <c r="C316">
        <v>0</v>
      </c>
      <c r="D316">
        <v>26</v>
      </c>
    </row>
    <row r="317" spans="1:4" x14ac:dyDescent="0.3">
      <c r="A317">
        <v>54</v>
      </c>
      <c r="B317">
        <v>0</v>
      </c>
      <c r="C317">
        <v>0</v>
      </c>
      <c r="D317">
        <v>14</v>
      </c>
    </row>
    <row r="318" spans="1:4" x14ac:dyDescent="0.3">
      <c r="A318">
        <v>31</v>
      </c>
      <c r="B318">
        <v>0</v>
      </c>
      <c r="C318">
        <v>2</v>
      </c>
      <c r="D318">
        <v>164.86670000000001</v>
      </c>
    </row>
    <row r="319" spans="1:4" x14ac:dyDescent="0.3">
      <c r="A319">
        <v>40</v>
      </c>
      <c r="B319">
        <v>1</v>
      </c>
      <c r="C319">
        <v>1</v>
      </c>
      <c r="D319">
        <v>134.5</v>
      </c>
    </row>
    <row r="320" spans="1:4" x14ac:dyDescent="0.3">
      <c r="A320">
        <v>22</v>
      </c>
      <c r="B320">
        <v>0</v>
      </c>
      <c r="C320">
        <v>0</v>
      </c>
      <c r="D320">
        <v>7.25</v>
      </c>
    </row>
    <row r="321" spans="1:4" x14ac:dyDescent="0.3">
      <c r="A321">
        <v>27</v>
      </c>
      <c r="B321">
        <v>0</v>
      </c>
      <c r="C321">
        <v>0</v>
      </c>
      <c r="D321">
        <v>7.8958000000000004</v>
      </c>
    </row>
    <row r="322" spans="1:4" x14ac:dyDescent="0.3">
      <c r="A322">
        <v>30</v>
      </c>
      <c r="B322">
        <v>0</v>
      </c>
      <c r="C322">
        <v>0</v>
      </c>
      <c r="D322">
        <v>12.35</v>
      </c>
    </row>
    <row r="323" spans="1:4" x14ac:dyDescent="0.3">
      <c r="A323">
        <v>22</v>
      </c>
      <c r="B323">
        <v>1</v>
      </c>
      <c r="C323">
        <v>1</v>
      </c>
      <c r="D323">
        <v>29</v>
      </c>
    </row>
    <row r="324" spans="1:4" x14ac:dyDescent="0.3">
      <c r="A324">
        <v>20</v>
      </c>
      <c r="B324">
        <v>8</v>
      </c>
      <c r="C324">
        <v>2</v>
      </c>
      <c r="D324">
        <v>69.55</v>
      </c>
    </row>
    <row r="325" spans="1:4" x14ac:dyDescent="0.3">
      <c r="A325">
        <v>36</v>
      </c>
      <c r="B325">
        <v>0</v>
      </c>
      <c r="C325">
        <v>0</v>
      </c>
      <c r="D325">
        <v>135.63329999999999</v>
      </c>
    </row>
    <row r="326" spans="1:4" x14ac:dyDescent="0.3">
      <c r="A326">
        <v>61</v>
      </c>
      <c r="B326">
        <v>0</v>
      </c>
      <c r="C326">
        <v>0</v>
      </c>
      <c r="D326">
        <v>6.2374999999999998</v>
      </c>
    </row>
    <row r="327" spans="1:4" x14ac:dyDescent="0.3">
      <c r="A327">
        <v>36</v>
      </c>
      <c r="B327">
        <v>0</v>
      </c>
      <c r="C327">
        <v>0</v>
      </c>
      <c r="D327">
        <v>13</v>
      </c>
    </row>
    <row r="328" spans="1:4" x14ac:dyDescent="0.3">
      <c r="A328">
        <v>31</v>
      </c>
      <c r="B328">
        <v>1</v>
      </c>
      <c r="C328">
        <v>1</v>
      </c>
      <c r="D328">
        <v>20.524999999999999</v>
      </c>
    </row>
    <row r="329" spans="1:4" x14ac:dyDescent="0.3">
      <c r="A329">
        <v>16</v>
      </c>
      <c r="B329">
        <v>0</v>
      </c>
      <c r="C329">
        <v>1</v>
      </c>
      <c r="D329">
        <v>57.979199999999999</v>
      </c>
    </row>
    <row r="330" spans="1:4" x14ac:dyDescent="0.3">
      <c r="A330">
        <v>28</v>
      </c>
      <c r="B330">
        <v>2</v>
      </c>
      <c r="C330">
        <v>0</v>
      </c>
      <c r="D330">
        <v>23.25</v>
      </c>
    </row>
    <row r="331" spans="1:4" x14ac:dyDescent="0.3">
      <c r="A331">
        <v>45.5</v>
      </c>
      <c r="B331">
        <v>0</v>
      </c>
      <c r="C331">
        <v>0</v>
      </c>
      <c r="D331">
        <v>28.5</v>
      </c>
    </row>
    <row r="332" spans="1:4" x14ac:dyDescent="0.3">
      <c r="A332">
        <v>38</v>
      </c>
      <c r="B332">
        <v>0</v>
      </c>
      <c r="C332">
        <v>1</v>
      </c>
      <c r="D332">
        <v>153.46250000000001</v>
      </c>
    </row>
    <row r="333" spans="1:4" x14ac:dyDescent="0.3">
      <c r="A333">
        <v>16</v>
      </c>
      <c r="B333">
        <v>2</v>
      </c>
      <c r="C333">
        <v>0</v>
      </c>
      <c r="D333">
        <v>18</v>
      </c>
    </row>
    <row r="334" spans="1:4" x14ac:dyDescent="0.3">
      <c r="A334">
        <v>42</v>
      </c>
      <c r="B334">
        <v>1</v>
      </c>
      <c r="C334">
        <v>0</v>
      </c>
      <c r="D334">
        <v>133.65</v>
      </c>
    </row>
    <row r="335" spans="1:4" x14ac:dyDescent="0.3">
      <c r="A335">
        <v>30</v>
      </c>
      <c r="B335">
        <v>0</v>
      </c>
      <c r="C335">
        <v>0</v>
      </c>
      <c r="D335">
        <v>7.8958000000000004</v>
      </c>
    </row>
    <row r="336" spans="1:4" x14ac:dyDescent="0.3">
      <c r="A336">
        <v>29</v>
      </c>
      <c r="B336">
        <v>1</v>
      </c>
      <c r="C336">
        <v>0</v>
      </c>
      <c r="D336">
        <v>66.599999999999994</v>
      </c>
    </row>
    <row r="337" spans="1:4" x14ac:dyDescent="0.3">
      <c r="A337">
        <v>41</v>
      </c>
      <c r="B337">
        <v>0</v>
      </c>
      <c r="C337">
        <v>0</v>
      </c>
      <c r="D337">
        <v>134.5</v>
      </c>
    </row>
    <row r="338" spans="1:4" x14ac:dyDescent="0.3">
      <c r="A338">
        <v>45</v>
      </c>
      <c r="B338">
        <v>0</v>
      </c>
      <c r="C338">
        <v>0</v>
      </c>
      <c r="D338">
        <v>8.0500000000000007</v>
      </c>
    </row>
    <row r="339" spans="1:4" x14ac:dyDescent="0.3">
      <c r="A339">
        <v>45</v>
      </c>
      <c r="B339">
        <v>0</v>
      </c>
      <c r="C339">
        <v>0</v>
      </c>
      <c r="D339">
        <v>35.5</v>
      </c>
    </row>
    <row r="340" spans="1:4" x14ac:dyDescent="0.3">
      <c r="A340">
        <v>2</v>
      </c>
      <c r="B340">
        <v>1</v>
      </c>
      <c r="C340">
        <v>1</v>
      </c>
      <c r="D340">
        <v>26</v>
      </c>
    </row>
    <row r="341" spans="1:4" x14ac:dyDescent="0.3">
      <c r="A341">
        <v>24</v>
      </c>
      <c r="B341">
        <v>3</v>
      </c>
      <c r="C341">
        <v>2</v>
      </c>
      <c r="D341">
        <v>263</v>
      </c>
    </row>
    <row r="342" spans="1:4" x14ac:dyDescent="0.3">
      <c r="A342">
        <v>28</v>
      </c>
      <c r="B342">
        <v>0</v>
      </c>
      <c r="C342">
        <v>0</v>
      </c>
      <c r="D342">
        <v>13</v>
      </c>
    </row>
    <row r="343" spans="1:4" x14ac:dyDescent="0.3">
      <c r="A343">
        <v>25</v>
      </c>
      <c r="B343">
        <v>0</v>
      </c>
      <c r="C343">
        <v>0</v>
      </c>
      <c r="D343">
        <v>13</v>
      </c>
    </row>
    <row r="344" spans="1:4" x14ac:dyDescent="0.3">
      <c r="A344">
        <v>36</v>
      </c>
      <c r="B344">
        <v>0</v>
      </c>
      <c r="C344">
        <v>0</v>
      </c>
      <c r="D344">
        <v>13</v>
      </c>
    </row>
    <row r="345" spans="1:4" x14ac:dyDescent="0.3">
      <c r="A345">
        <v>24</v>
      </c>
      <c r="B345">
        <v>0</v>
      </c>
      <c r="C345">
        <v>0</v>
      </c>
      <c r="D345">
        <v>13</v>
      </c>
    </row>
    <row r="346" spans="1:4" x14ac:dyDescent="0.3">
      <c r="A346">
        <v>40</v>
      </c>
      <c r="B346">
        <v>0</v>
      </c>
      <c r="C346">
        <v>0</v>
      </c>
      <c r="D346">
        <v>13</v>
      </c>
    </row>
    <row r="347" spans="1:4" x14ac:dyDescent="0.3">
      <c r="A347">
        <v>34</v>
      </c>
      <c r="B347">
        <v>1</v>
      </c>
      <c r="C347">
        <v>0</v>
      </c>
      <c r="D347">
        <v>16.100000000000001</v>
      </c>
    </row>
    <row r="348" spans="1:4" x14ac:dyDescent="0.3">
      <c r="A348">
        <v>3</v>
      </c>
      <c r="B348">
        <v>1</v>
      </c>
      <c r="C348">
        <v>1</v>
      </c>
      <c r="D348">
        <v>15.9</v>
      </c>
    </row>
    <row r="349" spans="1:4" x14ac:dyDescent="0.3">
      <c r="A349">
        <v>42</v>
      </c>
      <c r="B349">
        <v>0</v>
      </c>
      <c r="C349">
        <v>0</v>
      </c>
      <c r="D349">
        <v>8.6624999999999996</v>
      </c>
    </row>
    <row r="350" spans="1:4" x14ac:dyDescent="0.3">
      <c r="A350">
        <v>23</v>
      </c>
      <c r="B350">
        <v>0</v>
      </c>
      <c r="C350">
        <v>0</v>
      </c>
      <c r="D350">
        <v>9.2249999999999996</v>
      </c>
    </row>
    <row r="351" spans="1:4" x14ac:dyDescent="0.3">
      <c r="A351">
        <v>43</v>
      </c>
      <c r="B351">
        <v>0</v>
      </c>
      <c r="C351">
        <v>0</v>
      </c>
      <c r="D351">
        <v>35</v>
      </c>
    </row>
    <row r="352" spans="1:4" x14ac:dyDescent="0.3">
      <c r="A352">
        <v>15</v>
      </c>
      <c r="B352">
        <v>1</v>
      </c>
      <c r="C352">
        <v>1</v>
      </c>
      <c r="D352">
        <v>7.2291999999999996</v>
      </c>
    </row>
    <row r="353" spans="1:4" x14ac:dyDescent="0.3">
      <c r="A353">
        <v>25</v>
      </c>
      <c r="B353">
        <v>1</v>
      </c>
      <c r="C353">
        <v>0</v>
      </c>
      <c r="D353">
        <v>17.8</v>
      </c>
    </row>
    <row r="354" spans="1:4" x14ac:dyDescent="0.3">
      <c r="A354">
        <v>23</v>
      </c>
      <c r="B354">
        <v>0</v>
      </c>
      <c r="C354">
        <v>0</v>
      </c>
      <c r="D354">
        <v>7.2249999999999996</v>
      </c>
    </row>
    <row r="355" spans="1:4" x14ac:dyDescent="0.3">
      <c r="A355">
        <v>28</v>
      </c>
      <c r="B355">
        <v>0</v>
      </c>
      <c r="C355">
        <v>0</v>
      </c>
      <c r="D355">
        <v>9.5</v>
      </c>
    </row>
    <row r="356" spans="1:4" x14ac:dyDescent="0.3">
      <c r="A356">
        <v>22</v>
      </c>
      <c r="B356">
        <v>0</v>
      </c>
      <c r="C356">
        <v>1</v>
      </c>
      <c r="D356">
        <v>55</v>
      </c>
    </row>
    <row r="357" spans="1:4" x14ac:dyDescent="0.3">
      <c r="A357">
        <v>38</v>
      </c>
      <c r="B357">
        <v>0</v>
      </c>
      <c r="C357">
        <v>0</v>
      </c>
      <c r="D357">
        <v>13</v>
      </c>
    </row>
    <row r="358" spans="1:4" x14ac:dyDescent="0.3">
      <c r="A358">
        <v>22</v>
      </c>
      <c r="B358">
        <v>0</v>
      </c>
      <c r="C358">
        <v>0</v>
      </c>
      <c r="D358">
        <v>7.8792</v>
      </c>
    </row>
    <row r="359" spans="1:4" x14ac:dyDescent="0.3">
      <c r="A359">
        <v>23</v>
      </c>
      <c r="B359">
        <v>0</v>
      </c>
      <c r="C359">
        <v>0</v>
      </c>
      <c r="D359">
        <v>7.8792</v>
      </c>
    </row>
    <row r="360" spans="1:4" x14ac:dyDescent="0.3">
      <c r="A360">
        <v>40</v>
      </c>
      <c r="B360">
        <v>1</v>
      </c>
      <c r="C360">
        <v>4</v>
      </c>
      <c r="D360">
        <v>27.9</v>
      </c>
    </row>
    <row r="361" spans="1:4" x14ac:dyDescent="0.3">
      <c r="A361">
        <v>29</v>
      </c>
      <c r="B361">
        <v>1</v>
      </c>
      <c r="C361">
        <v>0</v>
      </c>
      <c r="D361">
        <v>27.720800000000001</v>
      </c>
    </row>
    <row r="362" spans="1:4" x14ac:dyDescent="0.3">
      <c r="A362">
        <v>45</v>
      </c>
      <c r="B362">
        <v>0</v>
      </c>
      <c r="C362">
        <v>1</v>
      </c>
      <c r="D362">
        <v>14.4542</v>
      </c>
    </row>
    <row r="363" spans="1:4" x14ac:dyDescent="0.3">
      <c r="A363">
        <v>35</v>
      </c>
      <c r="B363">
        <v>0</v>
      </c>
      <c r="C363">
        <v>0</v>
      </c>
      <c r="D363">
        <v>7.05</v>
      </c>
    </row>
    <row r="364" spans="1:4" x14ac:dyDescent="0.3">
      <c r="A364">
        <v>27</v>
      </c>
      <c r="B364">
        <v>1</v>
      </c>
      <c r="C364">
        <v>0</v>
      </c>
      <c r="D364">
        <v>15.5</v>
      </c>
    </row>
    <row r="365" spans="1:4" x14ac:dyDescent="0.3">
      <c r="A365">
        <v>30</v>
      </c>
      <c r="B365">
        <v>0</v>
      </c>
      <c r="C365">
        <v>0</v>
      </c>
      <c r="D365">
        <v>7.25</v>
      </c>
    </row>
    <row r="366" spans="1:4" x14ac:dyDescent="0.3">
      <c r="A366">
        <v>60</v>
      </c>
      <c r="B366">
        <v>1</v>
      </c>
      <c r="C366">
        <v>0</v>
      </c>
      <c r="D366">
        <v>75.25</v>
      </c>
    </row>
    <row r="367" spans="1:4" x14ac:dyDescent="0.3">
      <c r="A367">
        <v>35</v>
      </c>
      <c r="B367">
        <v>0</v>
      </c>
      <c r="C367">
        <v>0</v>
      </c>
      <c r="D367">
        <v>7.2291999999999996</v>
      </c>
    </row>
    <row r="368" spans="1:4" x14ac:dyDescent="0.3">
      <c r="A368">
        <v>22</v>
      </c>
      <c r="B368">
        <v>0</v>
      </c>
      <c r="C368">
        <v>0</v>
      </c>
      <c r="D368">
        <v>7.75</v>
      </c>
    </row>
    <row r="369" spans="1:4" x14ac:dyDescent="0.3">
      <c r="A369">
        <v>24</v>
      </c>
      <c r="B369">
        <v>0</v>
      </c>
      <c r="C369">
        <v>0</v>
      </c>
      <c r="D369">
        <v>69.3</v>
      </c>
    </row>
    <row r="370" spans="1:4" x14ac:dyDescent="0.3">
      <c r="A370">
        <v>25</v>
      </c>
      <c r="B370">
        <v>1</v>
      </c>
      <c r="C370">
        <v>0</v>
      </c>
      <c r="D370">
        <v>55.441699999999997</v>
      </c>
    </row>
    <row r="371" spans="1:4" x14ac:dyDescent="0.3">
      <c r="A371">
        <v>18</v>
      </c>
      <c r="B371">
        <v>1</v>
      </c>
      <c r="C371">
        <v>0</v>
      </c>
      <c r="D371">
        <v>6.4958</v>
      </c>
    </row>
    <row r="372" spans="1:4" x14ac:dyDescent="0.3">
      <c r="A372">
        <v>19</v>
      </c>
      <c r="B372">
        <v>0</v>
      </c>
      <c r="C372">
        <v>0</v>
      </c>
      <c r="D372">
        <v>8.0500000000000007</v>
      </c>
    </row>
    <row r="373" spans="1:4" x14ac:dyDescent="0.3">
      <c r="A373">
        <v>22</v>
      </c>
      <c r="B373">
        <v>0</v>
      </c>
      <c r="C373">
        <v>0</v>
      </c>
      <c r="D373">
        <v>135.63329999999999</v>
      </c>
    </row>
    <row r="374" spans="1:4" x14ac:dyDescent="0.3">
      <c r="A374">
        <v>3</v>
      </c>
      <c r="B374">
        <v>3</v>
      </c>
      <c r="C374">
        <v>1</v>
      </c>
      <c r="D374">
        <v>21.074999999999999</v>
      </c>
    </row>
    <row r="375" spans="1:4" x14ac:dyDescent="0.3">
      <c r="A375">
        <v>25</v>
      </c>
      <c r="B375">
        <v>1</v>
      </c>
      <c r="C375">
        <v>0</v>
      </c>
      <c r="D375">
        <v>82.1708</v>
      </c>
    </row>
    <row r="376" spans="1:4" x14ac:dyDescent="0.3">
      <c r="A376">
        <v>22</v>
      </c>
      <c r="B376">
        <v>0</v>
      </c>
      <c r="C376">
        <v>0</v>
      </c>
      <c r="D376">
        <v>7.25</v>
      </c>
    </row>
    <row r="377" spans="1:4" x14ac:dyDescent="0.3">
      <c r="A377">
        <v>27</v>
      </c>
      <c r="B377">
        <v>0</v>
      </c>
      <c r="C377">
        <v>2</v>
      </c>
      <c r="D377">
        <v>211.5</v>
      </c>
    </row>
    <row r="378" spans="1:4" x14ac:dyDescent="0.3">
      <c r="A378">
        <v>20</v>
      </c>
      <c r="B378">
        <v>0</v>
      </c>
      <c r="C378">
        <v>0</v>
      </c>
      <c r="D378">
        <v>4.0125000000000002</v>
      </c>
    </row>
    <row r="379" spans="1:4" x14ac:dyDescent="0.3">
      <c r="A379">
        <v>19</v>
      </c>
      <c r="B379">
        <v>0</v>
      </c>
      <c r="C379">
        <v>0</v>
      </c>
      <c r="D379">
        <v>7.7750000000000004</v>
      </c>
    </row>
    <row r="380" spans="1:4" x14ac:dyDescent="0.3">
      <c r="A380">
        <v>42</v>
      </c>
      <c r="B380">
        <v>0</v>
      </c>
      <c r="C380">
        <v>0</v>
      </c>
      <c r="D380">
        <v>227.52500000000001</v>
      </c>
    </row>
    <row r="381" spans="1:4" x14ac:dyDescent="0.3">
      <c r="A381">
        <v>1</v>
      </c>
      <c r="B381">
        <v>0</v>
      </c>
      <c r="C381">
        <v>2</v>
      </c>
      <c r="D381">
        <v>15.7417</v>
      </c>
    </row>
    <row r="382" spans="1:4" x14ac:dyDescent="0.3">
      <c r="A382">
        <v>32</v>
      </c>
      <c r="B382">
        <v>0</v>
      </c>
      <c r="C382">
        <v>0</v>
      </c>
      <c r="D382">
        <v>7.9249999999999998</v>
      </c>
    </row>
    <row r="383" spans="1:4" x14ac:dyDescent="0.3">
      <c r="A383">
        <v>35</v>
      </c>
      <c r="B383">
        <v>1</v>
      </c>
      <c r="C383">
        <v>0</v>
      </c>
      <c r="D383">
        <v>52</v>
      </c>
    </row>
    <row r="384" spans="1:4" x14ac:dyDescent="0.3">
      <c r="A384">
        <v>27</v>
      </c>
      <c r="B384">
        <v>0</v>
      </c>
      <c r="C384">
        <v>0</v>
      </c>
      <c r="D384">
        <v>7.8958000000000004</v>
      </c>
    </row>
    <row r="385" spans="1:4" x14ac:dyDescent="0.3">
      <c r="A385">
        <v>18</v>
      </c>
      <c r="B385">
        <v>0</v>
      </c>
      <c r="C385">
        <v>0</v>
      </c>
      <c r="D385">
        <v>73.5</v>
      </c>
    </row>
    <row r="386" spans="1:4" x14ac:dyDescent="0.3">
      <c r="A386">
        <v>1</v>
      </c>
      <c r="B386">
        <v>5</v>
      </c>
      <c r="C386">
        <v>2</v>
      </c>
      <c r="D386">
        <v>46.9</v>
      </c>
    </row>
    <row r="387" spans="1:4" x14ac:dyDescent="0.3">
      <c r="A387">
        <v>36</v>
      </c>
      <c r="B387">
        <v>0</v>
      </c>
      <c r="C387">
        <v>0</v>
      </c>
      <c r="D387">
        <v>13</v>
      </c>
    </row>
    <row r="388" spans="1:4" x14ac:dyDescent="0.3">
      <c r="A388">
        <v>19</v>
      </c>
      <c r="B388">
        <v>0</v>
      </c>
      <c r="C388">
        <v>0</v>
      </c>
      <c r="D388">
        <v>7.7291999999999996</v>
      </c>
    </row>
    <row r="389" spans="1:4" x14ac:dyDescent="0.3">
      <c r="A389">
        <v>17</v>
      </c>
      <c r="B389">
        <v>0</v>
      </c>
      <c r="C389">
        <v>0</v>
      </c>
      <c r="D389">
        <v>12</v>
      </c>
    </row>
    <row r="390" spans="1:4" x14ac:dyDescent="0.3">
      <c r="A390">
        <v>36</v>
      </c>
      <c r="B390">
        <v>1</v>
      </c>
      <c r="C390">
        <v>2</v>
      </c>
      <c r="D390">
        <v>120</v>
      </c>
    </row>
    <row r="391" spans="1:4" x14ac:dyDescent="0.3">
      <c r="A391">
        <v>21</v>
      </c>
      <c r="B391">
        <v>0</v>
      </c>
      <c r="C391">
        <v>0</v>
      </c>
      <c r="D391">
        <v>7.7957999999999998</v>
      </c>
    </row>
    <row r="392" spans="1:4" x14ac:dyDescent="0.3">
      <c r="A392">
        <v>28</v>
      </c>
      <c r="B392">
        <v>2</v>
      </c>
      <c r="C392">
        <v>0</v>
      </c>
      <c r="D392">
        <v>7.9249999999999998</v>
      </c>
    </row>
    <row r="393" spans="1:4" x14ac:dyDescent="0.3">
      <c r="A393">
        <v>23</v>
      </c>
      <c r="B393">
        <v>1</v>
      </c>
      <c r="C393">
        <v>0</v>
      </c>
      <c r="D393">
        <v>113.27500000000001</v>
      </c>
    </row>
    <row r="394" spans="1:4" x14ac:dyDescent="0.3">
      <c r="A394">
        <v>24</v>
      </c>
      <c r="B394">
        <v>0</v>
      </c>
      <c r="C394">
        <v>2</v>
      </c>
      <c r="D394">
        <v>16.7</v>
      </c>
    </row>
    <row r="395" spans="1:4" x14ac:dyDescent="0.3">
      <c r="A395">
        <v>22</v>
      </c>
      <c r="B395">
        <v>0</v>
      </c>
      <c r="C395">
        <v>0</v>
      </c>
      <c r="D395">
        <v>7.7957999999999998</v>
      </c>
    </row>
    <row r="396" spans="1:4" x14ac:dyDescent="0.3">
      <c r="A396">
        <v>31</v>
      </c>
      <c r="B396">
        <v>0</v>
      </c>
      <c r="C396">
        <v>0</v>
      </c>
      <c r="D396">
        <v>7.8541999999999996</v>
      </c>
    </row>
    <row r="397" spans="1:4" x14ac:dyDescent="0.3">
      <c r="A397">
        <v>46</v>
      </c>
      <c r="B397">
        <v>0</v>
      </c>
      <c r="C397">
        <v>0</v>
      </c>
      <c r="D397">
        <v>26</v>
      </c>
    </row>
    <row r="398" spans="1:4" x14ac:dyDescent="0.3">
      <c r="A398">
        <v>23</v>
      </c>
      <c r="B398">
        <v>0</v>
      </c>
      <c r="C398">
        <v>0</v>
      </c>
      <c r="D398">
        <v>10.5</v>
      </c>
    </row>
    <row r="399" spans="1:4" x14ac:dyDescent="0.3">
      <c r="A399">
        <v>28</v>
      </c>
      <c r="B399">
        <v>0</v>
      </c>
      <c r="C399">
        <v>0</v>
      </c>
      <c r="D399">
        <v>12.65</v>
      </c>
    </row>
    <row r="400" spans="1:4" x14ac:dyDescent="0.3">
      <c r="A400">
        <v>39</v>
      </c>
      <c r="B400">
        <v>0</v>
      </c>
      <c r="C400">
        <v>0</v>
      </c>
      <c r="D400">
        <v>7.9249999999999998</v>
      </c>
    </row>
    <row r="401" spans="1:4" x14ac:dyDescent="0.3">
      <c r="A401">
        <v>26</v>
      </c>
      <c r="B401">
        <v>0</v>
      </c>
      <c r="C401">
        <v>0</v>
      </c>
      <c r="D401">
        <v>8.0500000000000007</v>
      </c>
    </row>
    <row r="402" spans="1:4" x14ac:dyDescent="0.3">
      <c r="A402">
        <v>21</v>
      </c>
      <c r="B402">
        <v>1</v>
      </c>
      <c r="C402">
        <v>0</v>
      </c>
      <c r="D402">
        <v>9.8249999999999993</v>
      </c>
    </row>
    <row r="403" spans="1:4" x14ac:dyDescent="0.3">
      <c r="A403">
        <v>28</v>
      </c>
      <c r="B403">
        <v>1</v>
      </c>
      <c r="C403">
        <v>0</v>
      </c>
      <c r="D403">
        <v>15.85</v>
      </c>
    </row>
    <row r="404" spans="1:4" x14ac:dyDescent="0.3">
      <c r="A404">
        <v>20</v>
      </c>
      <c r="B404">
        <v>0</v>
      </c>
      <c r="C404">
        <v>0</v>
      </c>
      <c r="D404">
        <v>8.6624999999999996</v>
      </c>
    </row>
    <row r="405" spans="1:4" x14ac:dyDescent="0.3">
      <c r="A405">
        <v>34</v>
      </c>
      <c r="B405">
        <v>1</v>
      </c>
      <c r="C405">
        <v>0</v>
      </c>
      <c r="D405">
        <v>21</v>
      </c>
    </row>
    <row r="406" spans="1:4" x14ac:dyDescent="0.3">
      <c r="A406">
        <v>51</v>
      </c>
      <c r="B406">
        <v>0</v>
      </c>
      <c r="C406">
        <v>0</v>
      </c>
      <c r="D406">
        <v>7.75</v>
      </c>
    </row>
    <row r="407" spans="1:4" x14ac:dyDescent="0.3">
      <c r="A407">
        <v>3</v>
      </c>
      <c r="B407">
        <v>1</v>
      </c>
      <c r="C407">
        <v>1</v>
      </c>
      <c r="D407">
        <v>18.75</v>
      </c>
    </row>
    <row r="408" spans="1:4" x14ac:dyDescent="0.3">
      <c r="A408">
        <v>21</v>
      </c>
      <c r="B408">
        <v>0</v>
      </c>
      <c r="C408">
        <v>0</v>
      </c>
      <c r="D408">
        <v>7.7750000000000004</v>
      </c>
    </row>
    <row r="409" spans="1:4" x14ac:dyDescent="0.3">
      <c r="A409">
        <v>3</v>
      </c>
      <c r="B409">
        <v>3</v>
      </c>
      <c r="C409">
        <v>1</v>
      </c>
      <c r="D409">
        <v>25.466699999999999</v>
      </c>
    </row>
    <row r="410" spans="1:4" x14ac:dyDescent="0.3">
      <c r="A410">
        <v>42</v>
      </c>
      <c r="B410">
        <v>0</v>
      </c>
      <c r="C410">
        <v>0</v>
      </c>
      <c r="D410">
        <v>7.8958000000000004</v>
      </c>
    </row>
    <row r="411" spans="1:4" x14ac:dyDescent="0.3">
      <c r="A411">
        <v>27</v>
      </c>
      <c r="B411">
        <v>0</v>
      </c>
      <c r="C411">
        <v>0</v>
      </c>
      <c r="D411">
        <v>6.8582999999999998</v>
      </c>
    </row>
    <row r="412" spans="1:4" x14ac:dyDescent="0.3">
      <c r="A412">
        <v>33</v>
      </c>
      <c r="B412">
        <v>1</v>
      </c>
      <c r="C412">
        <v>0</v>
      </c>
      <c r="D412">
        <v>90</v>
      </c>
    </row>
    <row r="413" spans="1:4" x14ac:dyDescent="0.3">
      <c r="A413">
        <v>22</v>
      </c>
      <c r="B413">
        <v>0</v>
      </c>
      <c r="C413">
        <v>0</v>
      </c>
      <c r="D413">
        <v>0</v>
      </c>
    </row>
    <row r="414" spans="1:4" x14ac:dyDescent="0.3">
      <c r="A414">
        <v>44</v>
      </c>
      <c r="B414">
        <v>0</v>
      </c>
      <c r="C414">
        <v>0</v>
      </c>
      <c r="D414">
        <v>7.9249999999999998</v>
      </c>
    </row>
    <row r="415" spans="1:4" x14ac:dyDescent="0.3">
      <c r="A415">
        <v>32</v>
      </c>
      <c r="B415">
        <v>0</v>
      </c>
      <c r="C415">
        <v>0</v>
      </c>
      <c r="D415">
        <v>8.0500000000000007</v>
      </c>
    </row>
    <row r="416" spans="1:4" x14ac:dyDescent="0.3">
      <c r="A416">
        <v>34</v>
      </c>
      <c r="B416">
        <v>1</v>
      </c>
      <c r="C416">
        <v>1</v>
      </c>
      <c r="D416">
        <v>32.5</v>
      </c>
    </row>
    <row r="417" spans="1:4" x14ac:dyDescent="0.3">
      <c r="A417">
        <v>18</v>
      </c>
      <c r="B417">
        <v>0</v>
      </c>
      <c r="C417">
        <v>2</v>
      </c>
      <c r="D417">
        <v>13</v>
      </c>
    </row>
    <row r="418" spans="1:4" x14ac:dyDescent="0.3">
      <c r="A418">
        <v>30</v>
      </c>
      <c r="B418">
        <v>0</v>
      </c>
      <c r="C418">
        <v>0</v>
      </c>
      <c r="D418">
        <v>13</v>
      </c>
    </row>
    <row r="419" spans="1:4" x14ac:dyDescent="0.3">
      <c r="A419">
        <v>10</v>
      </c>
      <c r="B419">
        <v>0</v>
      </c>
      <c r="C419">
        <v>2</v>
      </c>
      <c r="D419">
        <v>24.15</v>
      </c>
    </row>
    <row r="420" spans="1:4" x14ac:dyDescent="0.3">
      <c r="A420">
        <v>21</v>
      </c>
      <c r="B420">
        <v>0</v>
      </c>
      <c r="C420">
        <v>0</v>
      </c>
      <c r="D420">
        <v>7.7332999999999998</v>
      </c>
    </row>
    <row r="421" spans="1:4" x14ac:dyDescent="0.3">
      <c r="A421">
        <v>29</v>
      </c>
      <c r="B421">
        <v>0</v>
      </c>
      <c r="C421">
        <v>0</v>
      </c>
      <c r="D421">
        <v>7.875</v>
      </c>
    </row>
    <row r="422" spans="1:4" x14ac:dyDescent="0.3">
      <c r="A422">
        <v>28</v>
      </c>
      <c r="B422">
        <v>1</v>
      </c>
      <c r="C422">
        <v>1</v>
      </c>
      <c r="D422">
        <v>14.4</v>
      </c>
    </row>
    <row r="423" spans="1:4" x14ac:dyDescent="0.3">
      <c r="A423">
        <v>18</v>
      </c>
      <c r="B423">
        <v>1</v>
      </c>
      <c r="C423">
        <v>1</v>
      </c>
      <c r="D423">
        <v>20.212499999999999</v>
      </c>
    </row>
    <row r="424" spans="1:4" x14ac:dyDescent="0.3">
      <c r="A424">
        <v>54</v>
      </c>
      <c r="B424">
        <v>0</v>
      </c>
      <c r="C424">
        <v>0</v>
      </c>
      <c r="D424">
        <v>7.25</v>
      </c>
    </row>
    <row r="425" spans="1:4" x14ac:dyDescent="0.3">
      <c r="A425">
        <v>28</v>
      </c>
      <c r="B425">
        <v>1</v>
      </c>
      <c r="C425">
        <v>0</v>
      </c>
      <c r="D425">
        <v>26</v>
      </c>
    </row>
    <row r="426" spans="1:4" x14ac:dyDescent="0.3">
      <c r="A426">
        <v>19</v>
      </c>
      <c r="B426">
        <v>0</v>
      </c>
      <c r="C426">
        <v>0</v>
      </c>
      <c r="D426">
        <v>26</v>
      </c>
    </row>
    <row r="427" spans="1:4" x14ac:dyDescent="0.3">
      <c r="A427">
        <v>28</v>
      </c>
      <c r="B427">
        <v>0</v>
      </c>
      <c r="C427">
        <v>0</v>
      </c>
      <c r="D427">
        <v>7.75</v>
      </c>
    </row>
    <row r="428" spans="1:4" x14ac:dyDescent="0.3">
      <c r="A428">
        <v>32</v>
      </c>
      <c r="B428">
        <v>0</v>
      </c>
      <c r="C428">
        <v>0</v>
      </c>
      <c r="D428">
        <v>8.0500000000000007</v>
      </c>
    </row>
    <row r="429" spans="1:4" x14ac:dyDescent="0.3">
      <c r="A429">
        <v>28</v>
      </c>
      <c r="B429">
        <v>0</v>
      </c>
      <c r="C429">
        <v>0</v>
      </c>
      <c r="D429">
        <v>26.55</v>
      </c>
    </row>
    <row r="430" spans="1:4" x14ac:dyDescent="0.3">
      <c r="A430">
        <v>33</v>
      </c>
      <c r="B430">
        <v>1</v>
      </c>
      <c r="C430">
        <v>0</v>
      </c>
      <c r="D430">
        <v>16.100000000000001</v>
      </c>
    </row>
    <row r="431" spans="1:4" x14ac:dyDescent="0.3">
      <c r="A431">
        <v>42</v>
      </c>
      <c r="B431">
        <v>1</v>
      </c>
      <c r="C431">
        <v>0</v>
      </c>
      <c r="D431">
        <v>26</v>
      </c>
    </row>
    <row r="432" spans="1:4" x14ac:dyDescent="0.3">
      <c r="A432">
        <v>17</v>
      </c>
      <c r="B432">
        <v>0</v>
      </c>
      <c r="C432">
        <v>0</v>
      </c>
      <c r="D432">
        <v>7.125</v>
      </c>
    </row>
    <row r="433" spans="1:4" x14ac:dyDescent="0.3">
      <c r="A433">
        <v>50</v>
      </c>
      <c r="B433">
        <v>1</v>
      </c>
      <c r="C433">
        <v>0</v>
      </c>
      <c r="D433">
        <v>55.9</v>
      </c>
    </row>
    <row r="434" spans="1:4" x14ac:dyDescent="0.3">
      <c r="A434">
        <v>14</v>
      </c>
      <c r="B434">
        <v>1</v>
      </c>
      <c r="C434">
        <v>2</v>
      </c>
      <c r="D434">
        <v>120</v>
      </c>
    </row>
    <row r="435" spans="1:4" x14ac:dyDescent="0.3">
      <c r="A435">
        <v>21</v>
      </c>
      <c r="B435">
        <v>2</v>
      </c>
      <c r="C435">
        <v>2</v>
      </c>
      <c r="D435">
        <v>34.375</v>
      </c>
    </row>
    <row r="436" spans="1:4" x14ac:dyDescent="0.3">
      <c r="A436">
        <v>24</v>
      </c>
      <c r="B436">
        <v>2</v>
      </c>
      <c r="C436">
        <v>3</v>
      </c>
      <c r="D436">
        <v>18.75</v>
      </c>
    </row>
    <row r="437" spans="1:4" x14ac:dyDescent="0.3">
      <c r="A437">
        <v>64</v>
      </c>
      <c r="B437">
        <v>1</v>
      </c>
      <c r="C437">
        <v>4</v>
      </c>
      <c r="D437">
        <v>263</v>
      </c>
    </row>
    <row r="438" spans="1:4" x14ac:dyDescent="0.3">
      <c r="A438">
        <v>31</v>
      </c>
      <c r="B438">
        <v>0</v>
      </c>
      <c r="C438">
        <v>0</v>
      </c>
      <c r="D438">
        <v>10.5</v>
      </c>
    </row>
    <row r="439" spans="1:4" x14ac:dyDescent="0.3">
      <c r="A439">
        <v>45</v>
      </c>
      <c r="B439">
        <v>1</v>
      </c>
      <c r="C439">
        <v>1</v>
      </c>
      <c r="D439">
        <v>26.25</v>
      </c>
    </row>
    <row r="440" spans="1:4" x14ac:dyDescent="0.3">
      <c r="A440">
        <v>20</v>
      </c>
      <c r="B440">
        <v>0</v>
      </c>
      <c r="C440">
        <v>0</v>
      </c>
      <c r="D440">
        <v>9.5</v>
      </c>
    </row>
    <row r="441" spans="1:4" x14ac:dyDescent="0.3">
      <c r="A441">
        <v>25</v>
      </c>
      <c r="B441">
        <v>1</v>
      </c>
      <c r="C441">
        <v>0</v>
      </c>
      <c r="D441">
        <v>7.7750000000000004</v>
      </c>
    </row>
    <row r="442" spans="1:4" x14ac:dyDescent="0.3">
      <c r="A442">
        <v>28</v>
      </c>
      <c r="B442">
        <v>0</v>
      </c>
      <c r="C442">
        <v>0</v>
      </c>
      <c r="D442">
        <v>13</v>
      </c>
    </row>
    <row r="443" spans="1:4" x14ac:dyDescent="0.3">
      <c r="A443">
        <v>29</v>
      </c>
      <c r="B443">
        <v>0</v>
      </c>
      <c r="C443">
        <v>0</v>
      </c>
      <c r="D443">
        <v>8.1125000000000007</v>
      </c>
    </row>
    <row r="444" spans="1:4" x14ac:dyDescent="0.3">
      <c r="A444">
        <v>4</v>
      </c>
      <c r="B444">
        <v>0</v>
      </c>
      <c r="C444">
        <v>2</v>
      </c>
      <c r="D444">
        <v>81.8583</v>
      </c>
    </row>
    <row r="445" spans="1:4" x14ac:dyDescent="0.3">
      <c r="A445">
        <v>13</v>
      </c>
      <c r="B445">
        <v>0</v>
      </c>
      <c r="C445">
        <v>1</v>
      </c>
      <c r="D445">
        <v>19.5</v>
      </c>
    </row>
    <row r="446" spans="1:4" x14ac:dyDescent="0.3">
      <c r="A446">
        <v>34</v>
      </c>
      <c r="B446">
        <v>0</v>
      </c>
      <c r="C446">
        <v>0</v>
      </c>
      <c r="D446">
        <v>26.55</v>
      </c>
    </row>
    <row r="447" spans="1:4" x14ac:dyDescent="0.3">
      <c r="A447">
        <v>5</v>
      </c>
      <c r="B447">
        <v>2</v>
      </c>
      <c r="C447">
        <v>1</v>
      </c>
      <c r="D447">
        <v>19.258299999999998</v>
      </c>
    </row>
    <row r="448" spans="1:4" x14ac:dyDescent="0.3">
      <c r="A448">
        <v>52</v>
      </c>
      <c r="B448">
        <v>0</v>
      </c>
      <c r="C448">
        <v>0</v>
      </c>
      <c r="D448">
        <v>30.5</v>
      </c>
    </row>
    <row r="449" spans="1:4" x14ac:dyDescent="0.3">
      <c r="A449">
        <v>36</v>
      </c>
      <c r="B449">
        <v>1</v>
      </c>
      <c r="C449">
        <v>2</v>
      </c>
      <c r="D449">
        <v>27.75</v>
      </c>
    </row>
    <row r="450" spans="1:4" x14ac:dyDescent="0.3">
      <c r="A450">
        <v>28</v>
      </c>
      <c r="B450">
        <v>1</v>
      </c>
      <c r="C450">
        <v>0</v>
      </c>
      <c r="D450">
        <v>19.966699999999999</v>
      </c>
    </row>
    <row r="451" spans="1:4" x14ac:dyDescent="0.3">
      <c r="A451">
        <v>30</v>
      </c>
      <c r="B451">
        <v>0</v>
      </c>
      <c r="C451">
        <v>0</v>
      </c>
      <c r="D451">
        <v>27.75</v>
      </c>
    </row>
    <row r="452" spans="1:4" x14ac:dyDescent="0.3">
      <c r="A452">
        <v>49</v>
      </c>
      <c r="B452">
        <v>1</v>
      </c>
      <c r="C452">
        <v>0</v>
      </c>
      <c r="D452">
        <v>89.104200000000006</v>
      </c>
    </row>
    <row r="453" spans="1:4" x14ac:dyDescent="0.3">
      <c r="A453">
        <v>24</v>
      </c>
      <c r="B453">
        <v>0</v>
      </c>
      <c r="C453">
        <v>0</v>
      </c>
      <c r="D453">
        <v>8.0500000000000007</v>
      </c>
    </row>
    <row r="454" spans="1:4" x14ac:dyDescent="0.3">
      <c r="A454">
        <v>29</v>
      </c>
      <c r="B454">
        <v>0</v>
      </c>
      <c r="C454">
        <v>0</v>
      </c>
      <c r="D454">
        <v>7.8958000000000004</v>
      </c>
    </row>
    <row r="455" spans="1:4" x14ac:dyDescent="0.3">
      <c r="A455">
        <v>65</v>
      </c>
      <c r="B455">
        <v>0</v>
      </c>
      <c r="C455">
        <v>0</v>
      </c>
      <c r="D455">
        <v>26.55</v>
      </c>
    </row>
    <row r="456" spans="1:4" x14ac:dyDescent="0.3">
      <c r="A456">
        <v>41</v>
      </c>
      <c r="B456">
        <v>1</v>
      </c>
      <c r="C456">
        <v>0</v>
      </c>
      <c r="D456">
        <v>51.862499999999997</v>
      </c>
    </row>
    <row r="457" spans="1:4" x14ac:dyDescent="0.3">
      <c r="A457">
        <v>50</v>
      </c>
      <c r="B457">
        <v>0</v>
      </c>
      <c r="C457">
        <v>0</v>
      </c>
      <c r="D457">
        <v>10.5</v>
      </c>
    </row>
    <row r="458" spans="1:4" x14ac:dyDescent="0.3">
      <c r="A458">
        <v>17</v>
      </c>
      <c r="B458">
        <v>0</v>
      </c>
      <c r="C458">
        <v>0</v>
      </c>
      <c r="D458">
        <v>7.75</v>
      </c>
    </row>
    <row r="459" spans="1:4" x14ac:dyDescent="0.3">
      <c r="A459">
        <v>48</v>
      </c>
      <c r="B459">
        <v>0</v>
      </c>
      <c r="C459">
        <v>0</v>
      </c>
      <c r="D459">
        <v>26.55</v>
      </c>
    </row>
    <row r="460" spans="1:4" x14ac:dyDescent="0.3">
      <c r="A460">
        <v>34</v>
      </c>
      <c r="B460">
        <v>0</v>
      </c>
      <c r="C460">
        <v>0</v>
      </c>
      <c r="D460">
        <v>8.0500000000000007</v>
      </c>
    </row>
    <row r="461" spans="1:4" x14ac:dyDescent="0.3">
      <c r="A461">
        <v>47</v>
      </c>
      <c r="B461">
        <v>0</v>
      </c>
      <c r="C461">
        <v>0</v>
      </c>
      <c r="D461">
        <v>38.5</v>
      </c>
    </row>
    <row r="462" spans="1:4" x14ac:dyDescent="0.3">
      <c r="A462">
        <v>48</v>
      </c>
      <c r="B462">
        <v>0</v>
      </c>
      <c r="C462">
        <v>0</v>
      </c>
      <c r="D462">
        <v>13</v>
      </c>
    </row>
    <row r="463" spans="1:4" x14ac:dyDescent="0.3">
      <c r="A463">
        <v>34</v>
      </c>
      <c r="B463">
        <v>0</v>
      </c>
      <c r="C463">
        <v>0</v>
      </c>
      <c r="D463">
        <v>8.0500000000000007</v>
      </c>
    </row>
    <row r="464" spans="1:4" x14ac:dyDescent="0.3">
      <c r="A464">
        <v>38</v>
      </c>
      <c r="B464">
        <v>0</v>
      </c>
      <c r="C464">
        <v>0</v>
      </c>
      <c r="D464">
        <v>7.05</v>
      </c>
    </row>
    <row r="465" spans="1:4" x14ac:dyDescent="0.3">
      <c r="A465">
        <v>21</v>
      </c>
      <c r="B465">
        <v>0</v>
      </c>
      <c r="C465">
        <v>0</v>
      </c>
      <c r="D465">
        <v>0</v>
      </c>
    </row>
    <row r="466" spans="1:4" x14ac:dyDescent="0.3">
      <c r="A466">
        <v>56</v>
      </c>
      <c r="B466">
        <v>0</v>
      </c>
      <c r="C466">
        <v>0</v>
      </c>
      <c r="D466">
        <v>26.55</v>
      </c>
    </row>
    <row r="467" spans="1:4" x14ac:dyDescent="0.3">
      <c r="A467">
        <v>22</v>
      </c>
      <c r="B467">
        <v>0</v>
      </c>
      <c r="C467">
        <v>0</v>
      </c>
      <c r="D467">
        <v>7.7249999999999996</v>
      </c>
    </row>
    <row r="468" spans="1:4" x14ac:dyDescent="0.3">
      <c r="A468">
        <v>0.75</v>
      </c>
      <c r="B468">
        <v>2</v>
      </c>
      <c r="C468">
        <v>1</v>
      </c>
      <c r="D468">
        <v>19.258299999999998</v>
      </c>
    </row>
    <row r="469" spans="1:4" x14ac:dyDescent="0.3">
      <c r="A469">
        <v>39</v>
      </c>
      <c r="B469">
        <v>0</v>
      </c>
      <c r="C469">
        <v>0</v>
      </c>
      <c r="D469">
        <v>7.25</v>
      </c>
    </row>
    <row r="470" spans="1:4" x14ac:dyDescent="0.3">
      <c r="A470">
        <v>38</v>
      </c>
      <c r="B470">
        <v>0</v>
      </c>
      <c r="C470">
        <v>0</v>
      </c>
      <c r="D470">
        <v>8.6624999999999996</v>
      </c>
    </row>
    <row r="471" spans="1:4" x14ac:dyDescent="0.3">
      <c r="A471">
        <v>33</v>
      </c>
      <c r="B471">
        <v>1</v>
      </c>
      <c r="C471">
        <v>2</v>
      </c>
      <c r="D471">
        <v>27.75</v>
      </c>
    </row>
    <row r="472" spans="1:4" x14ac:dyDescent="0.3">
      <c r="A472">
        <v>23</v>
      </c>
      <c r="B472">
        <v>0</v>
      </c>
      <c r="C472">
        <v>0</v>
      </c>
      <c r="D472">
        <v>13.791700000000001</v>
      </c>
    </row>
    <row r="473" spans="1:4" x14ac:dyDescent="0.3">
      <c r="A473">
        <v>22</v>
      </c>
      <c r="B473">
        <v>0</v>
      </c>
      <c r="C473">
        <v>0</v>
      </c>
      <c r="D473">
        <v>9.8375000000000004</v>
      </c>
    </row>
    <row r="474" spans="1:4" x14ac:dyDescent="0.3">
      <c r="A474">
        <v>40</v>
      </c>
      <c r="B474">
        <v>0</v>
      </c>
      <c r="C474">
        <v>0</v>
      </c>
      <c r="D474">
        <v>52</v>
      </c>
    </row>
    <row r="475" spans="1:4" x14ac:dyDescent="0.3">
      <c r="A475">
        <v>34</v>
      </c>
      <c r="B475">
        <v>1</v>
      </c>
      <c r="C475">
        <v>0</v>
      </c>
      <c r="D475">
        <v>21</v>
      </c>
    </row>
    <row r="476" spans="1:4" x14ac:dyDescent="0.3">
      <c r="A476">
        <v>29</v>
      </c>
      <c r="B476">
        <v>1</v>
      </c>
      <c r="C476">
        <v>0</v>
      </c>
      <c r="D476">
        <v>7.0457999999999998</v>
      </c>
    </row>
    <row r="477" spans="1:4" x14ac:dyDescent="0.3">
      <c r="A477">
        <v>22</v>
      </c>
      <c r="B477">
        <v>0</v>
      </c>
      <c r="C477">
        <v>0</v>
      </c>
      <c r="D477">
        <v>7.5208000000000004</v>
      </c>
    </row>
    <row r="478" spans="1:4" x14ac:dyDescent="0.3">
      <c r="A478">
        <v>2</v>
      </c>
      <c r="B478">
        <v>0</v>
      </c>
      <c r="C478">
        <v>1</v>
      </c>
      <c r="D478">
        <v>12.2875</v>
      </c>
    </row>
    <row r="479" spans="1:4" x14ac:dyDescent="0.3">
      <c r="A479">
        <v>9</v>
      </c>
      <c r="B479">
        <v>5</v>
      </c>
      <c r="C479">
        <v>2</v>
      </c>
      <c r="D479">
        <v>46.9</v>
      </c>
    </row>
    <row r="480" spans="1:4" x14ac:dyDescent="0.3">
      <c r="A480">
        <v>37</v>
      </c>
      <c r="B480">
        <v>0</v>
      </c>
      <c r="C480">
        <v>0</v>
      </c>
      <c r="D480">
        <v>0</v>
      </c>
    </row>
    <row r="481" spans="1:4" x14ac:dyDescent="0.3">
      <c r="A481">
        <v>50</v>
      </c>
      <c r="B481">
        <v>0</v>
      </c>
      <c r="C481">
        <v>0</v>
      </c>
      <c r="D481">
        <v>8.0500000000000007</v>
      </c>
    </row>
    <row r="482" spans="1:4" x14ac:dyDescent="0.3">
      <c r="A482">
        <v>63</v>
      </c>
      <c r="B482">
        <v>0</v>
      </c>
      <c r="C482">
        <v>0</v>
      </c>
      <c r="D482">
        <v>9.5875000000000004</v>
      </c>
    </row>
    <row r="483" spans="1:4" x14ac:dyDescent="0.3">
      <c r="A483">
        <v>25</v>
      </c>
      <c r="B483">
        <v>1</v>
      </c>
      <c r="C483">
        <v>0</v>
      </c>
      <c r="D483">
        <v>91.0792</v>
      </c>
    </row>
    <row r="484" spans="1:4" x14ac:dyDescent="0.3">
      <c r="A484">
        <v>8</v>
      </c>
      <c r="B484">
        <v>3</v>
      </c>
      <c r="C484">
        <v>1</v>
      </c>
      <c r="D484">
        <v>25.466699999999999</v>
      </c>
    </row>
    <row r="485" spans="1:4" x14ac:dyDescent="0.3">
      <c r="A485">
        <v>35</v>
      </c>
      <c r="B485">
        <v>1</v>
      </c>
      <c r="C485">
        <v>0</v>
      </c>
      <c r="D485">
        <v>90</v>
      </c>
    </row>
    <row r="486" spans="1:4" x14ac:dyDescent="0.3">
      <c r="A486">
        <v>58</v>
      </c>
      <c r="B486">
        <v>0</v>
      </c>
      <c r="C486">
        <v>0</v>
      </c>
      <c r="D486">
        <v>29.7</v>
      </c>
    </row>
    <row r="487" spans="1:4" x14ac:dyDescent="0.3">
      <c r="A487">
        <v>30</v>
      </c>
      <c r="B487">
        <v>0</v>
      </c>
      <c r="C487">
        <v>0</v>
      </c>
      <c r="D487">
        <v>8.0500000000000007</v>
      </c>
    </row>
    <row r="488" spans="1:4" x14ac:dyDescent="0.3">
      <c r="A488">
        <v>9</v>
      </c>
      <c r="B488">
        <v>1</v>
      </c>
      <c r="C488">
        <v>1</v>
      </c>
      <c r="D488">
        <v>15.9</v>
      </c>
    </row>
    <row r="489" spans="1:4" x14ac:dyDescent="0.3">
      <c r="A489">
        <v>19</v>
      </c>
      <c r="B489">
        <v>1</v>
      </c>
      <c r="C489">
        <v>0</v>
      </c>
      <c r="D489">
        <v>19.966699999999999</v>
      </c>
    </row>
    <row r="490" spans="1:4" x14ac:dyDescent="0.3">
      <c r="A490">
        <v>21</v>
      </c>
      <c r="B490">
        <v>0</v>
      </c>
      <c r="C490">
        <v>0</v>
      </c>
      <c r="D490">
        <v>7.25</v>
      </c>
    </row>
    <row r="491" spans="1:4" x14ac:dyDescent="0.3">
      <c r="A491">
        <v>55</v>
      </c>
      <c r="B491">
        <v>0</v>
      </c>
      <c r="C491">
        <v>0</v>
      </c>
      <c r="D491">
        <v>30.5</v>
      </c>
    </row>
    <row r="492" spans="1:4" x14ac:dyDescent="0.3">
      <c r="A492">
        <v>71</v>
      </c>
      <c r="B492">
        <v>0</v>
      </c>
      <c r="C492">
        <v>0</v>
      </c>
      <c r="D492">
        <v>49.504199999999997</v>
      </c>
    </row>
    <row r="493" spans="1:4" x14ac:dyDescent="0.3">
      <c r="A493">
        <v>21</v>
      </c>
      <c r="B493">
        <v>0</v>
      </c>
      <c r="C493">
        <v>0</v>
      </c>
      <c r="D493">
        <v>8.0500000000000007</v>
      </c>
    </row>
    <row r="494" spans="1:4" x14ac:dyDescent="0.3">
      <c r="A494">
        <v>26</v>
      </c>
      <c r="B494">
        <v>0</v>
      </c>
      <c r="C494">
        <v>0</v>
      </c>
      <c r="D494">
        <v>14.458299999999999</v>
      </c>
    </row>
    <row r="495" spans="1:4" x14ac:dyDescent="0.3">
      <c r="A495">
        <v>54</v>
      </c>
      <c r="B495">
        <v>1</v>
      </c>
      <c r="C495">
        <v>0</v>
      </c>
      <c r="D495">
        <v>78.2667</v>
      </c>
    </row>
    <row r="496" spans="1:4" x14ac:dyDescent="0.3">
      <c r="A496">
        <v>55</v>
      </c>
      <c r="B496">
        <v>0</v>
      </c>
      <c r="C496">
        <v>0</v>
      </c>
      <c r="D496">
        <v>15.1</v>
      </c>
    </row>
    <row r="497" spans="1:4" x14ac:dyDescent="0.3">
      <c r="A497">
        <v>25</v>
      </c>
      <c r="B497">
        <v>1</v>
      </c>
      <c r="C497">
        <v>2</v>
      </c>
      <c r="D497">
        <v>151.55000000000001</v>
      </c>
    </row>
    <row r="498" spans="1:4" x14ac:dyDescent="0.3">
      <c r="A498">
        <v>24</v>
      </c>
      <c r="B498">
        <v>0</v>
      </c>
      <c r="C498">
        <v>0</v>
      </c>
      <c r="D498">
        <v>7.7957999999999998</v>
      </c>
    </row>
    <row r="499" spans="1:4" x14ac:dyDescent="0.3">
      <c r="A499">
        <v>17</v>
      </c>
      <c r="B499">
        <v>0</v>
      </c>
      <c r="C499">
        <v>0</v>
      </c>
      <c r="D499">
        <v>8.6624999999999996</v>
      </c>
    </row>
    <row r="500" spans="1:4" x14ac:dyDescent="0.3">
      <c r="A500">
        <v>21</v>
      </c>
      <c r="B500">
        <v>0</v>
      </c>
      <c r="C500">
        <v>0</v>
      </c>
      <c r="D500">
        <v>7.75</v>
      </c>
    </row>
    <row r="501" spans="1:4" x14ac:dyDescent="0.3">
      <c r="A501">
        <v>21</v>
      </c>
      <c r="B501">
        <v>0</v>
      </c>
      <c r="C501">
        <v>0</v>
      </c>
      <c r="D501">
        <v>7.6292</v>
      </c>
    </row>
    <row r="502" spans="1:4" x14ac:dyDescent="0.3">
      <c r="A502">
        <v>37</v>
      </c>
      <c r="B502">
        <v>0</v>
      </c>
      <c r="C502">
        <v>0</v>
      </c>
      <c r="D502">
        <v>9.5875000000000004</v>
      </c>
    </row>
    <row r="503" spans="1:4" x14ac:dyDescent="0.3">
      <c r="A503">
        <v>16</v>
      </c>
      <c r="B503">
        <v>0</v>
      </c>
      <c r="C503">
        <v>0</v>
      </c>
      <c r="D503">
        <v>86.5</v>
      </c>
    </row>
    <row r="504" spans="1:4" x14ac:dyDescent="0.3">
      <c r="A504">
        <v>18</v>
      </c>
      <c r="B504">
        <v>1</v>
      </c>
      <c r="C504">
        <v>0</v>
      </c>
      <c r="D504">
        <v>108.9</v>
      </c>
    </row>
    <row r="505" spans="1:4" x14ac:dyDescent="0.3">
      <c r="A505">
        <v>33</v>
      </c>
      <c r="B505">
        <v>0</v>
      </c>
      <c r="C505">
        <v>2</v>
      </c>
      <c r="D505">
        <v>26</v>
      </c>
    </row>
    <row r="506" spans="1:4" x14ac:dyDescent="0.3">
      <c r="A506">
        <v>37</v>
      </c>
      <c r="B506">
        <v>0</v>
      </c>
      <c r="C506">
        <v>0</v>
      </c>
      <c r="D506">
        <v>26.55</v>
      </c>
    </row>
    <row r="507" spans="1:4" x14ac:dyDescent="0.3">
      <c r="A507">
        <v>28</v>
      </c>
      <c r="B507">
        <v>0</v>
      </c>
      <c r="C507">
        <v>0</v>
      </c>
      <c r="D507">
        <v>22.524999999999999</v>
      </c>
    </row>
    <row r="508" spans="1:4" x14ac:dyDescent="0.3">
      <c r="A508">
        <v>26</v>
      </c>
      <c r="B508">
        <v>0</v>
      </c>
      <c r="C508">
        <v>0</v>
      </c>
      <c r="D508">
        <v>56.495800000000003</v>
      </c>
    </row>
    <row r="509" spans="1:4" x14ac:dyDescent="0.3">
      <c r="A509">
        <v>29</v>
      </c>
      <c r="B509">
        <v>0</v>
      </c>
      <c r="C509">
        <v>0</v>
      </c>
      <c r="D509">
        <v>7.75</v>
      </c>
    </row>
    <row r="510" spans="1:4" x14ac:dyDescent="0.3">
      <c r="A510">
        <v>66</v>
      </c>
      <c r="B510">
        <v>0</v>
      </c>
      <c r="C510">
        <v>0</v>
      </c>
      <c r="D510">
        <v>8.0500000000000007</v>
      </c>
    </row>
    <row r="511" spans="1:4" x14ac:dyDescent="0.3">
      <c r="A511">
        <v>36</v>
      </c>
      <c r="B511">
        <v>0</v>
      </c>
      <c r="C511">
        <v>0</v>
      </c>
      <c r="D511">
        <v>26.287500000000001</v>
      </c>
    </row>
    <row r="512" spans="1:4" x14ac:dyDescent="0.3">
      <c r="A512">
        <v>54</v>
      </c>
      <c r="B512">
        <v>1</v>
      </c>
      <c r="C512">
        <v>0</v>
      </c>
      <c r="D512">
        <v>59.4</v>
      </c>
    </row>
    <row r="513" spans="1:4" x14ac:dyDescent="0.3">
      <c r="A513">
        <v>24</v>
      </c>
      <c r="B513">
        <v>0</v>
      </c>
      <c r="C513">
        <v>0</v>
      </c>
      <c r="D513">
        <v>7.4958</v>
      </c>
    </row>
    <row r="514" spans="1:4" x14ac:dyDescent="0.3">
      <c r="A514">
        <v>47</v>
      </c>
      <c r="B514">
        <v>0</v>
      </c>
      <c r="C514">
        <v>0</v>
      </c>
      <c r="D514">
        <v>34.020800000000001</v>
      </c>
    </row>
    <row r="515" spans="1:4" x14ac:dyDescent="0.3">
      <c r="A515">
        <v>34</v>
      </c>
      <c r="B515">
        <v>0</v>
      </c>
      <c r="C515">
        <v>0</v>
      </c>
      <c r="D515">
        <v>10.5</v>
      </c>
    </row>
    <row r="516" spans="1:4" x14ac:dyDescent="0.3">
      <c r="A516">
        <v>30</v>
      </c>
      <c r="B516">
        <v>0</v>
      </c>
      <c r="C516">
        <v>0</v>
      </c>
      <c r="D516">
        <v>24.15</v>
      </c>
    </row>
    <row r="517" spans="1:4" x14ac:dyDescent="0.3">
      <c r="A517">
        <v>36</v>
      </c>
      <c r="B517">
        <v>1</v>
      </c>
      <c r="C517">
        <v>0</v>
      </c>
      <c r="D517">
        <v>26</v>
      </c>
    </row>
    <row r="518" spans="1:4" x14ac:dyDescent="0.3">
      <c r="A518">
        <v>32</v>
      </c>
      <c r="B518">
        <v>0</v>
      </c>
      <c r="C518">
        <v>0</v>
      </c>
      <c r="D518">
        <v>7.8958000000000004</v>
      </c>
    </row>
    <row r="519" spans="1:4" x14ac:dyDescent="0.3">
      <c r="A519">
        <v>30</v>
      </c>
      <c r="B519">
        <v>0</v>
      </c>
      <c r="C519">
        <v>0</v>
      </c>
      <c r="D519">
        <v>93.5</v>
      </c>
    </row>
    <row r="520" spans="1:4" x14ac:dyDescent="0.3">
      <c r="A520">
        <v>22</v>
      </c>
      <c r="B520">
        <v>0</v>
      </c>
      <c r="C520">
        <v>0</v>
      </c>
      <c r="D520">
        <v>7.8958000000000004</v>
      </c>
    </row>
    <row r="521" spans="1:4" x14ac:dyDescent="0.3">
      <c r="A521">
        <v>35</v>
      </c>
      <c r="B521">
        <v>0</v>
      </c>
      <c r="C521">
        <v>0</v>
      </c>
      <c r="D521">
        <v>7.2249999999999996</v>
      </c>
    </row>
    <row r="522" spans="1:4" x14ac:dyDescent="0.3">
      <c r="A522">
        <v>44</v>
      </c>
      <c r="B522">
        <v>0</v>
      </c>
      <c r="C522">
        <v>1</v>
      </c>
      <c r="D522">
        <v>57.979199999999999</v>
      </c>
    </row>
    <row r="523" spans="1:4" x14ac:dyDescent="0.3">
      <c r="A523">
        <v>18</v>
      </c>
      <c r="B523">
        <v>0</v>
      </c>
      <c r="C523">
        <v>0</v>
      </c>
      <c r="D523">
        <v>7.2291999999999996</v>
      </c>
    </row>
    <row r="524" spans="1:4" x14ac:dyDescent="0.3">
      <c r="A524">
        <v>40.5</v>
      </c>
      <c r="B524">
        <v>0</v>
      </c>
      <c r="C524">
        <v>0</v>
      </c>
      <c r="D524">
        <v>7.75</v>
      </c>
    </row>
    <row r="525" spans="1:4" x14ac:dyDescent="0.3">
      <c r="A525">
        <v>50</v>
      </c>
      <c r="B525">
        <v>0</v>
      </c>
      <c r="C525">
        <v>0</v>
      </c>
      <c r="D525">
        <v>10.5</v>
      </c>
    </row>
    <row r="526" spans="1:4" x14ac:dyDescent="0.3">
      <c r="A526">
        <v>49</v>
      </c>
      <c r="B526">
        <v>0</v>
      </c>
      <c r="C526">
        <v>0</v>
      </c>
      <c r="D526">
        <v>221.7792</v>
      </c>
    </row>
    <row r="527" spans="1:4" x14ac:dyDescent="0.3">
      <c r="A527">
        <v>39</v>
      </c>
      <c r="B527">
        <v>0</v>
      </c>
      <c r="C527">
        <v>0</v>
      </c>
      <c r="D527">
        <v>7.9249999999999998</v>
      </c>
    </row>
    <row r="528" spans="1:4" x14ac:dyDescent="0.3">
      <c r="A528">
        <v>23</v>
      </c>
      <c r="B528">
        <v>2</v>
      </c>
      <c r="C528">
        <v>1</v>
      </c>
      <c r="D528">
        <v>11.5</v>
      </c>
    </row>
    <row r="529" spans="1:4" x14ac:dyDescent="0.3">
      <c r="A529">
        <v>2</v>
      </c>
      <c r="B529">
        <v>1</v>
      </c>
      <c r="C529">
        <v>1</v>
      </c>
      <c r="D529">
        <v>26</v>
      </c>
    </row>
    <row r="530" spans="1:4" x14ac:dyDescent="0.3">
      <c r="A530">
        <v>17</v>
      </c>
      <c r="B530">
        <v>0</v>
      </c>
      <c r="C530">
        <v>0</v>
      </c>
      <c r="D530">
        <v>7.2291999999999996</v>
      </c>
    </row>
    <row r="531" spans="1:4" x14ac:dyDescent="0.3">
      <c r="A531">
        <v>17</v>
      </c>
      <c r="B531">
        <v>1</v>
      </c>
      <c r="C531">
        <v>1</v>
      </c>
      <c r="D531">
        <v>7.2291999999999996</v>
      </c>
    </row>
    <row r="532" spans="1:4" x14ac:dyDescent="0.3">
      <c r="A532">
        <v>24</v>
      </c>
      <c r="B532">
        <v>0</v>
      </c>
      <c r="C532">
        <v>2</v>
      </c>
      <c r="D532">
        <v>22.3583</v>
      </c>
    </row>
    <row r="533" spans="1:4" x14ac:dyDescent="0.3">
      <c r="A533">
        <v>30</v>
      </c>
      <c r="B533">
        <v>0</v>
      </c>
      <c r="C533">
        <v>0</v>
      </c>
      <c r="D533">
        <v>8.6624999999999996</v>
      </c>
    </row>
    <row r="534" spans="1:4" x14ac:dyDescent="0.3">
      <c r="A534">
        <v>7</v>
      </c>
      <c r="B534">
        <v>0</v>
      </c>
      <c r="C534">
        <v>2</v>
      </c>
      <c r="D534">
        <v>26.25</v>
      </c>
    </row>
    <row r="535" spans="1:4" x14ac:dyDescent="0.3">
      <c r="A535">
        <v>45</v>
      </c>
      <c r="B535">
        <v>0</v>
      </c>
      <c r="C535">
        <v>0</v>
      </c>
      <c r="D535">
        <v>26.55</v>
      </c>
    </row>
    <row r="536" spans="1:4" x14ac:dyDescent="0.3">
      <c r="A536">
        <v>30</v>
      </c>
      <c r="B536">
        <v>0</v>
      </c>
      <c r="C536">
        <v>0</v>
      </c>
      <c r="D536">
        <v>106.425</v>
      </c>
    </row>
    <row r="537" spans="1:4" x14ac:dyDescent="0.3">
      <c r="A537">
        <v>69</v>
      </c>
      <c r="B537">
        <v>0</v>
      </c>
      <c r="C537">
        <v>0</v>
      </c>
      <c r="D537">
        <v>14.5</v>
      </c>
    </row>
    <row r="538" spans="1:4" x14ac:dyDescent="0.3">
      <c r="A538">
        <v>22</v>
      </c>
      <c r="B538">
        <v>0</v>
      </c>
      <c r="C538">
        <v>2</v>
      </c>
      <c r="D538">
        <v>49.5</v>
      </c>
    </row>
    <row r="539" spans="1:4" x14ac:dyDescent="0.3">
      <c r="A539">
        <v>36</v>
      </c>
      <c r="B539">
        <v>0</v>
      </c>
      <c r="C539">
        <v>2</v>
      </c>
      <c r="D539">
        <v>71</v>
      </c>
    </row>
    <row r="540" spans="1:4" x14ac:dyDescent="0.3">
      <c r="A540">
        <v>9</v>
      </c>
      <c r="B540">
        <v>4</v>
      </c>
      <c r="C540">
        <v>2</v>
      </c>
      <c r="D540">
        <v>31.274999999999999</v>
      </c>
    </row>
    <row r="541" spans="1:4" x14ac:dyDescent="0.3">
      <c r="A541">
        <v>11</v>
      </c>
      <c r="B541">
        <v>4</v>
      </c>
      <c r="C541">
        <v>2</v>
      </c>
      <c r="D541">
        <v>31.274999999999999</v>
      </c>
    </row>
    <row r="542" spans="1:4" x14ac:dyDescent="0.3">
      <c r="A542">
        <v>32</v>
      </c>
      <c r="B542">
        <v>1</v>
      </c>
      <c r="C542">
        <v>0</v>
      </c>
      <c r="D542">
        <v>26</v>
      </c>
    </row>
    <row r="543" spans="1:4" x14ac:dyDescent="0.3">
      <c r="A543">
        <v>50</v>
      </c>
      <c r="B543">
        <v>1</v>
      </c>
      <c r="C543">
        <v>0</v>
      </c>
      <c r="D543">
        <v>106.425</v>
      </c>
    </row>
    <row r="544" spans="1:4" x14ac:dyDescent="0.3">
      <c r="A544">
        <v>64</v>
      </c>
      <c r="B544">
        <v>0</v>
      </c>
      <c r="C544">
        <v>0</v>
      </c>
      <c r="D544">
        <v>26</v>
      </c>
    </row>
    <row r="545" spans="1:4" x14ac:dyDescent="0.3">
      <c r="A545">
        <v>19</v>
      </c>
      <c r="B545">
        <v>1</v>
      </c>
      <c r="C545">
        <v>0</v>
      </c>
      <c r="D545">
        <v>26</v>
      </c>
    </row>
    <row r="546" spans="1:4" x14ac:dyDescent="0.3">
      <c r="A546">
        <v>27</v>
      </c>
      <c r="B546">
        <v>0</v>
      </c>
      <c r="C546">
        <v>0</v>
      </c>
      <c r="D546">
        <v>13.862500000000001</v>
      </c>
    </row>
    <row r="547" spans="1:4" x14ac:dyDescent="0.3">
      <c r="A547">
        <v>33</v>
      </c>
      <c r="B547">
        <v>1</v>
      </c>
      <c r="C547">
        <v>1</v>
      </c>
      <c r="D547">
        <v>20.524999999999999</v>
      </c>
    </row>
    <row r="548" spans="1:4" x14ac:dyDescent="0.3">
      <c r="A548">
        <v>8</v>
      </c>
      <c r="B548">
        <v>1</v>
      </c>
      <c r="C548">
        <v>1</v>
      </c>
      <c r="D548">
        <v>36.75</v>
      </c>
    </row>
    <row r="549" spans="1:4" x14ac:dyDescent="0.3">
      <c r="A549">
        <v>17</v>
      </c>
      <c r="B549">
        <v>0</v>
      </c>
      <c r="C549">
        <v>2</v>
      </c>
      <c r="D549">
        <v>110.88330000000001</v>
      </c>
    </row>
    <row r="550" spans="1:4" x14ac:dyDescent="0.3">
      <c r="A550">
        <v>27</v>
      </c>
      <c r="B550">
        <v>0</v>
      </c>
      <c r="C550">
        <v>0</v>
      </c>
      <c r="D550">
        <v>26</v>
      </c>
    </row>
    <row r="551" spans="1:4" x14ac:dyDescent="0.3">
      <c r="A551">
        <v>21</v>
      </c>
      <c r="B551">
        <v>0</v>
      </c>
      <c r="C551">
        <v>0</v>
      </c>
      <c r="D551">
        <v>7.8292000000000002</v>
      </c>
    </row>
    <row r="552" spans="1:4" x14ac:dyDescent="0.3">
      <c r="A552">
        <v>22</v>
      </c>
      <c r="B552">
        <v>0</v>
      </c>
      <c r="C552">
        <v>0</v>
      </c>
      <c r="D552">
        <v>7.2249999999999996</v>
      </c>
    </row>
    <row r="553" spans="1:4" x14ac:dyDescent="0.3">
      <c r="A553">
        <v>22</v>
      </c>
      <c r="B553">
        <v>0</v>
      </c>
      <c r="C553">
        <v>0</v>
      </c>
      <c r="D553">
        <v>7.7750000000000004</v>
      </c>
    </row>
    <row r="554" spans="1:4" x14ac:dyDescent="0.3">
      <c r="A554">
        <v>62</v>
      </c>
      <c r="B554">
        <v>0</v>
      </c>
      <c r="C554">
        <v>0</v>
      </c>
      <c r="D554">
        <v>26.55</v>
      </c>
    </row>
    <row r="555" spans="1:4" x14ac:dyDescent="0.3">
      <c r="A555">
        <v>48</v>
      </c>
      <c r="B555">
        <v>1</v>
      </c>
      <c r="C555">
        <v>0</v>
      </c>
      <c r="D555">
        <v>39.6</v>
      </c>
    </row>
    <row r="556" spans="1:4" x14ac:dyDescent="0.3">
      <c r="A556">
        <v>45</v>
      </c>
      <c r="B556">
        <v>0</v>
      </c>
      <c r="C556">
        <v>0</v>
      </c>
      <c r="D556">
        <v>227.52500000000001</v>
      </c>
    </row>
    <row r="557" spans="1:4" x14ac:dyDescent="0.3">
      <c r="A557">
        <v>39</v>
      </c>
      <c r="B557">
        <v>1</v>
      </c>
      <c r="C557">
        <v>1</v>
      </c>
      <c r="D557">
        <v>79.650000000000006</v>
      </c>
    </row>
    <row r="558" spans="1:4" x14ac:dyDescent="0.3">
      <c r="A558">
        <v>36</v>
      </c>
      <c r="B558">
        <v>1</v>
      </c>
      <c r="C558">
        <v>0</v>
      </c>
      <c r="D558">
        <v>17.399999999999999</v>
      </c>
    </row>
    <row r="559" spans="1:4" x14ac:dyDescent="0.3">
      <c r="A559">
        <v>30</v>
      </c>
      <c r="B559">
        <v>0</v>
      </c>
      <c r="C559">
        <v>0</v>
      </c>
      <c r="D559">
        <v>7.75</v>
      </c>
    </row>
    <row r="560" spans="1:4" x14ac:dyDescent="0.3">
      <c r="A560">
        <v>40</v>
      </c>
      <c r="B560">
        <v>0</v>
      </c>
      <c r="C560">
        <v>0</v>
      </c>
      <c r="D560">
        <v>7.8958000000000004</v>
      </c>
    </row>
    <row r="561" spans="1:4" x14ac:dyDescent="0.3">
      <c r="A561">
        <v>28</v>
      </c>
      <c r="B561">
        <v>0</v>
      </c>
      <c r="C561">
        <v>0</v>
      </c>
      <c r="D561">
        <v>13.5</v>
      </c>
    </row>
    <row r="562" spans="1:4" x14ac:dyDescent="0.3">
      <c r="A562">
        <v>40</v>
      </c>
      <c r="B562">
        <v>0</v>
      </c>
      <c r="C562">
        <v>0</v>
      </c>
      <c r="D562">
        <v>8.0500000000000007</v>
      </c>
    </row>
    <row r="563" spans="1:4" x14ac:dyDescent="0.3">
      <c r="A563">
        <v>62</v>
      </c>
      <c r="B563">
        <v>0</v>
      </c>
      <c r="C563">
        <v>0</v>
      </c>
      <c r="D563">
        <v>8.0500000000000007</v>
      </c>
    </row>
    <row r="564" spans="1:4" x14ac:dyDescent="0.3">
      <c r="A564">
        <v>24</v>
      </c>
      <c r="B564">
        <v>2</v>
      </c>
      <c r="C564">
        <v>0</v>
      </c>
      <c r="D564">
        <v>24.15</v>
      </c>
    </row>
    <row r="565" spans="1:4" x14ac:dyDescent="0.3">
      <c r="A565">
        <v>19</v>
      </c>
      <c r="B565">
        <v>0</v>
      </c>
      <c r="C565">
        <v>0</v>
      </c>
      <c r="D565">
        <v>7.8958000000000004</v>
      </c>
    </row>
    <row r="566" spans="1:4" x14ac:dyDescent="0.3">
      <c r="A566">
        <v>29</v>
      </c>
      <c r="B566">
        <v>0</v>
      </c>
      <c r="C566">
        <v>4</v>
      </c>
      <c r="D566">
        <v>21.074999999999999</v>
      </c>
    </row>
    <row r="567" spans="1:4" x14ac:dyDescent="0.3">
      <c r="A567">
        <v>28</v>
      </c>
      <c r="B567">
        <v>0</v>
      </c>
      <c r="C567">
        <v>0</v>
      </c>
      <c r="D567">
        <v>7.2291999999999996</v>
      </c>
    </row>
    <row r="568" spans="1:4" x14ac:dyDescent="0.3">
      <c r="A568">
        <v>32</v>
      </c>
      <c r="B568">
        <v>0</v>
      </c>
      <c r="C568">
        <v>0</v>
      </c>
      <c r="D568">
        <v>7.8541999999999996</v>
      </c>
    </row>
    <row r="569" spans="1:4" x14ac:dyDescent="0.3">
      <c r="A569">
        <v>62</v>
      </c>
      <c r="B569">
        <v>0</v>
      </c>
      <c r="C569">
        <v>0</v>
      </c>
      <c r="D569">
        <v>10.5</v>
      </c>
    </row>
    <row r="570" spans="1:4" x14ac:dyDescent="0.3">
      <c r="A570">
        <v>53</v>
      </c>
      <c r="B570">
        <v>2</v>
      </c>
      <c r="C570">
        <v>0</v>
      </c>
      <c r="D570">
        <v>51.479199999999999</v>
      </c>
    </row>
    <row r="571" spans="1:4" x14ac:dyDescent="0.3">
      <c r="A571">
        <v>36</v>
      </c>
      <c r="B571">
        <v>0</v>
      </c>
      <c r="C571">
        <v>0</v>
      </c>
      <c r="D571">
        <v>26.387499999999999</v>
      </c>
    </row>
    <row r="572" spans="1:4" x14ac:dyDescent="0.3">
      <c r="A572">
        <v>22</v>
      </c>
      <c r="B572">
        <v>0</v>
      </c>
      <c r="C572">
        <v>0</v>
      </c>
      <c r="D572">
        <v>7.75</v>
      </c>
    </row>
    <row r="573" spans="1:4" x14ac:dyDescent="0.3">
      <c r="A573">
        <v>16</v>
      </c>
      <c r="B573">
        <v>0</v>
      </c>
      <c r="C573">
        <v>0</v>
      </c>
      <c r="D573">
        <v>8.0500000000000007</v>
      </c>
    </row>
    <row r="574" spans="1:4" x14ac:dyDescent="0.3">
      <c r="A574">
        <v>19</v>
      </c>
      <c r="B574">
        <v>0</v>
      </c>
      <c r="C574">
        <v>0</v>
      </c>
      <c r="D574">
        <v>14.5</v>
      </c>
    </row>
    <row r="575" spans="1:4" x14ac:dyDescent="0.3">
      <c r="A575">
        <v>34</v>
      </c>
      <c r="B575">
        <v>0</v>
      </c>
      <c r="C575">
        <v>0</v>
      </c>
      <c r="D575">
        <v>13</v>
      </c>
    </row>
    <row r="576" spans="1:4" x14ac:dyDescent="0.3">
      <c r="A576">
        <v>39</v>
      </c>
      <c r="B576">
        <v>1</v>
      </c>
      <c r="C576">
        <v>0</v>
      </c>
      <c r="D576">
        <v>55.9</v>
      </c>
    </row>
    <row r="577" spans="1:4" x14ac:dyDescent="0.3">
      <c r="A577">
        <v>18</v>
      </c>
      <c r="B577">
        <v>1</v>
      </c>
      <c r="C577">
        <v>0</v>
      </c>
      <c r="D577">
        <v>14.458299999999999</v>
      </c>
    </row>
    <row r="578" spans="1:4" x14ac:dyDescent="0.3">
      <c r="A578">
        <v>32</v>
      </c>
      <c r="B578">
        <v>0</v>
      </c>
      <c r="C578">
        <v>0</v>
      </c>
      <c r="D578">
        <v>7.9249999999999998</v>
      </c>
    </row>
    <row r="579" spans="1:4" x14ac:dyDescent="0.3">
      <c r="A579">
        <v>25</v>
      </c>
      <c r="B579">
        <v>1</v>
      </c>
      <c r="C579">
        <v>1</v>
      </c>
      <c r="D579">
        <v>30</v>
      </c>
    </row>
    <row r="580" spans="1:4" x14ac:dyDescent="0.3">
      <c r="A580">
        <v>39</v>
      </c>
      <c r="B580">
        <v>1</v>
      </c>
      <c r="C580">
        <v>1</v>
      </c>
      <c r="D580">
        <v>110.88330000000001</v>
      </c>
    </row>
    <row r="581" spans="1:4" x14ac:dyDescent="0.3">
      <c r="A581">
        <v>54</v>
      </c>
      <c r="B581">
        <v>0</v>
      </c>
      <c r="C581">
        <v>0</v>
      </c>
      <c r="D581">
        <v>26</v>
      </c>
    </row>
    <row r="582" spans="1:4" x14ac:dyDescent="0.3">
      <c r="A582">
        <v>36</v>
      </c>
      <c r="B582">
        <v>0</v>
      </c>
      <c r="C582">
        <v>0</v>
      </c>
      <c r="D582">
        <v>40.125</v>
      </c>
    </row>
    <row r="583" spans="1:4" x14ac:dyDescent="0.3">
      <c r="A583">
        <v>16</v>
      </c>
      <c r="B583">
        <v>0</v>
      </c>
      <c r="C583">
        <v>0</v>
      </c>
      <c r="D583">
        <v>8.7125000000000004</v>
      </c>
    </row>
    <row r="584" spans="1:4" x14ac:dyDescent="0.3">
      <c r="A584">
        <v>18</v>
      </c>
      <c r="B584">
        <v>0</v>
      </c>
      <c r="C584">
        <v>2</v>
      </c>
      <c r="D584">
        <v>79.650000000000006</v>
      </c>
    </row>
    <row r="585" spans="1:4" x14ac:dyDescent="0.3">
      <c r="A585">
        <v>47</v>
      </c>
      <c r="B585">
        <v>0</v>
      </c>
      <c r="C585">
        <v>0</v>
      </c>
      <c r="D585">
        <v>15</v>
      </c>
    </row>
    <row r="586" spans="1:4" x14ac:dyDescent="0.3">
      <c r="A586">
        <v>60</v>
      </c>
      <c r="B586">
        <v>1</v>
      </c>
      <c r="C586">
        <v>1</v>
      </c>
      <c r="D586">
        <v>79.2</v>
      </c>
    </row>
    <row r="587" spans="1:4" x14ac:dyDescent="0.3">
      <c r="A587">
        <v>22</v>
      </c>
      <c r="B587">
        <v>0</v>
      </c>
      <c r="C587">
        <v>0</v>
      </c>
      <c r="D587">
        <v>8.0500000000000007</v>
      </c>
    </row>
    <row r="588" spans="1:4" x14ac:dyDescent="0.3">
      <c r="A588">
        <v>22</v>
      </c>
      <c r="B588">
        <v>0</v>
      </c>
      <c r="C588">
        <v>0</v>
      </c>
      <c r="D588">
        <v>8.0500000000000007</v>
      </c>
    </row>
    <row r="589" spans="1:4" x14ac:dyDescent="0.3">
      <c r="A589">
        <v>35</v>
      </c>
      <c r="B589">
        <v>0</v>
      </c>
      <c r="C589">
        <v>0</v>
      </c>
      <c r="D589">
        <v>7.125</v>
      </c>
    </row>
    <row r="590" spans="1:4" x14ac:dyDescent="0.3">
      <c r="A590">
        <v>52</v>
      </c>
      <c r="B590">
        <v>1</v>
      </c>
      <c r="C590">
        <v>0</v>
      </c>
      <c r="D590">
        <v>78.2667</v>
      </c>
    </row>
    <row r="591" spans="1:4" x14ac:dyDescent="0.3">
      <c r="A591">
        <v>47</v>
      </c>
      <c r="B591">
        <v>0</v>
      </c>
      <c r="C591">
        <v>0</v>
      </c>
      <c r="D591">
        <v>7.25</v>
      </c>
    </row>
    <row r="592" spans="1:4" x14ac:dyDescent="0.3">
      <c r="A592">
        <v>40</v>
      </c>
      <c r="B592">
        <v>0</v>
      </c>
      <c r="C592">
        <v>2</v>
      </c>
      <c r="D592">
        <v>7.75</v>
      </c>
    </row>
    <row r="593" spans="1:4" x14ac:dyDescent="0.3">
      <c r="A593">
        <v>37</v>
      </c>
      <c r="B593">
        <v>1</v>
      </c>
      <c r="C593">
        <v>0</v>
      </c>
      <c r="D593">
        <v>26</v>
      </c>
    </row>
    <row r="594" spans="1:4" x14ac:dyDescent="0.3">
      <c r="A594">
        <v>36</v>
      </c>
      <c r="B594">
        <v>1</v>
      </c>
      <c r="C594">
        <v>1</v>
      </c>
      <c r="D594">
        <v>24.15</v>
      </c>
    </row>
    <row r="595" spans="1:4" x14ac:dyDescent="0.3">
      <c r="A595">
        <v>31</v>
      </c>
      <c r="B595">
        <v>0</v>
      </c>
      <c r="C595">
        <v>0</v>
      </c>
      <c r="D595">
        <v>33</v>
      </c>
    </row>
    <row r="596" spans="1:4" x14ac:dyDescent="0.3">
      <c r="A596">
        <v>49</v>
      </c>
      <c r="B596">
        <v>0</v>
      </c>
      <c r="C596">
        <v>0</v>
      </c>
      <c r="D596">
        <v>0</v>
      </c>
    </row>
    <row r="597" spans="1:4" x14ac:dyDescent="0.3">
      <c r="A597">
        <v>18</v>
      </c>
      <c r="B597">
        <v>0</v>
      </c>
      <c r="C597">
        <v>0</v>
      </c>
      <c r="D597">
        <v>7.2249999999999996</v>
      </c>
    </row>
    <row r="598" spans="1:4" x14ac:dyDescent="0.3">
      <c r="A598">
        <v>49</v>
      </c>
      <c r="B598">
        <v>1</v>
      </c>
      <c r="C598">
        <v>0</v>
      </c>
      <c r="D598">
        <v>56.929200000000002</v>
      </c>
    </row>
    <row r="599" spans="1:4" x14ac:dyDescent="0.3">
      <c r="A599">
        <v>24</v>
      </c>
      <c r="B599">
        <v>2</v>
      </c>
      <c r="C599">
        <v>1</v>
      </c>
      <c r="D599">
        <v>27</v>
      </c>
    </row>
    <row r="600" spans="1:4" x14ac:dyDescent="0.3">
      <c r="A600">
        <v>42</v>
      </c>
      <c r="B600">
        <v>0</v>
      </c>
      <c r="C600">
        <v>0</v>
      </c>
      <c r="D600">
        <v>7.8958000000000004</v>
      </c>
    </row>
    <row r="601" spans="1:4" x14ac:dyDescent="0.3">
      <c r="A601">
        <v>37</v>
      </c>
      <c r="B601">
        <v>0</v>
      </c>
      <c r="C601">
        <v>0</v>
      </c>
      <c r="D601">
        <v>42.4</v>
      </c>
    </row>
    <row r="602" spans="1:4" x14ac:dyDescent="0.3">
      <c r="A602">
        <v>44</v>
      </c>
      <c r="B602">
        <v>0</v>
      </c>
      <c r="C602">
        <v>0</v>
      </c>
      <c r="D602">
        <v>8.0500000000000007</v>
      </c>
    </row>
    <row r="603" spans="1:4" x14ac:dyDescent="0.3">
      <c r="A603">
        <v>35</v>
      </c>
      <c r="B603">
        <v>0</v>
      </c>
      <c r="C603">
        <v>0</v>
      </c>
      <c r="D603">
        <v>26.55</v>
      </c>
    </row>
    <row r="604" spans="1:4" x14ac:dyDescent="0.3">
      <c r="A604">
        <v>36</v>
      </c>
      <c r="B604">
        <v>1</v>
      </c>
      <c r="C604">
        <v>0</v>
      </c>
      <c r="D604">
        <v>15.55</v>
      </c>
    </row>
    <row r="605" spans="1:4" x14ac:dyDescent="0.3">
      <c r="A605">
        <v>30</v>
      </c>
      <c r="B605">
        <v>0</v>
      </c>
      <c r="C605">
        <v>0</v>
      </c>
      <c r="D605">
        <v>7.8958000000000004</v>
      </c>
    </row>
    <row r="606" spans="1:4" x14ac:dyDescent="0.3">
      <c r="A606">
        <v>27</v>
      </c>
      <c r="B606">
        <v>0</v>
      </c>
      <c r="C606">
        <v>0</v>
      </c>
      <c r="D606">
        <v>30.5</v>
      </c>
    </row>
    <row r="607" spans="1:4" x14ac:dyDescent="0.3">
      <c r="A607">
        <v>22</v>
      </c>
      <c r="B607">
        <v>1</v>
      </c>
      <c r="C607">
        <v>2</v>
      </c>
      <c r="D607">
        <v>41.5792</v>
      </c>
    </row>
    <row r="608" spans="1:4" x14ac:dyDescent="0.3">
      <c r="A608">
        <v>40</v>
      </c>
      <c r="B608">
        <v>0</v>
      </c>
      <c r="C608">
        <v>0</v>
      </c>
      <c r="D608">
        <v>153.46250000000001</v>
      </c>
    </row>
    <row r="609" spans="1:4" x14ac:dyDescent="0.3">
      <c r="A609">
        <v>39</v>
      </c>
      <c r="B609">
        <v>1</v>
      </c>
      <c r="C609">
        <v>5</v>
      </c>
      <c r="D609">
        <v>31.274999999999999</v>
      </c>
    </row>
    <row r="610" spans="1:4" x14ac:dyDescent="0.3">
      <c r="A610">
        <v>21</v>
      </c>
      <c r="B610">
        <v>0</v>
      </c>
      <c r="C610">
        <v>0</v>
      </c>
      <c r="D610">
        <v>7.05</v>
      </c>
    </row>
    <row r="611" spans="1:4" x14ac:dyDescent="0.3">
      <c r="A611">
        <v>18</v>
      </c>
      <c r="B611">
        <v>1</v>
      </c>
      <c r="C611">
        <v>0</v>
      </c>
      <c r="D611">
        <v>15.5</v>
      </c>
    </row>
    <row r="612" spans="1:4" x14ac:dyDescent="0.3">
      <c r="A612">
        <v>22</v>
      </c>
      <c r="B612">
        <v>0</v>
      </c>
      <c r="C612">
        <v>0</v>
      </c>
      <c r="D612">
        <v>7.75</v>
      </c>
    </row>
    <row r="613" spans="1:4" x14ac:dyDescent="0.3">
      <c r="A613">
        <v>35</v>
      </c>
      <c r="B613">
        <v>0</v>
      </c>
      <c r="C613">
        <v>0</v>
      </c>
      <c r="D613">
        <v>8.0500000000000007</v>
      </c>
    </row>
    <row r="614" spans="1:4" x14ac:dyDescent="0.3">
      <c r="A614">
        <v>24</v>
      </c>
      <c r="B614">
        <v>1</v>
      </c>
      <c r="C614">
        <v>2</v>
      </c>
      <c r="D614">
        <v>65</v>
      </c>
    </row>
    <row r="615" spans="1:4" x14ac:dyDescent="0.3">
      <c r="A615">
        <v>34</v>
      </c>
      <c r="B615">
        <v>1</v>
      </c>
      <c r="C615">
        <v>1</v>
      </c>
      <c r="D615">
        <v>14.4</v>
      </c>
    </row>
    <row r="616" spans="1:4" x14ac:dyDescent="0.3">
      <c r="A616">
        <v>26</v>
      </c>
      <c r="B616">
        <v>1</v>
      </c>
      <c r="C616">
        <v>0</v>
      </c>
      <c r="D616">
        <v>16.100000000000001</v>
      </c>
    </row>
    <row r="617" spans="1:4" x14ac:dyDescent="0.3">
      <c r="A617">
        <v>4</v>
      </c>
      <c r="B617">
        <v>2</v>
      </c>
      <c r="C617">
        <v>1</v>
      </c>
      <c r="D617">
        <v>39</v>
      </c>
    </row>
    <row r="618" spans="1:4" x14ac:dyDescent="0.3">
      <c r="A618">
        <v>26</v>
      </c>
      <c r="B618">
        <v>0</v>
      </c>
      <c r="C618">
        <v>0</v>
      </c>
      <c r="D618">
        <v>10.5</v>
      </c>
    </row>
    <row r="619" spans="1:4" x14ac:dyDescent="0.3">
      <c r="A619">
        <v>27</v>
      </c>
      <c r="B619">
        <v>1</v>
      </c>
      <c r="C619">
        <v>0</v>
      </c>
      <c r="D619">
        <v>14.4542</v>
      </c>
    </row>
    <row r="620" spans="1:4" x14ac:dyDescent="0.3">
      <c r="A620">
        <v>42</v>
      </c>
      <c r="B620">
        <v>1</v>
      </c>
      <c r="C620">
        <v>0</v>
      </c>
      <c r="D620">
        <v>52.554200000000002</v>
      </c>
    </row>
    <row r="621" spans="1:4" x14ac:dyDescent="0.3">
      <c r="A621">
        <v>20</v>
      </c>
      <c r="B621">
        <v>1</v>
      </c>
      <c r="C621">
        <v>1</v>
      </c>
      <c r="D621">
        <v>15.7417</v>
      </c>
    </row>
    <row r="622" spans="1:4" x14ac:dyDescent="0.3">
      <c r="A622">
        <v>21</v>
      </c>
      <c r="B622">
        <v>0</v>
      </c>
      <c r="C622">
        <v>0</v>
      </c>
      <c r="D622">
        <v>7.8541999999999996</v>
      </c>
    </row>
    <row r="623" spans="1:4" x14ac:dyDescent="0.3">
      <c r="A623">
        <v>21</v>
      </c>
      <c r="B623">
        <v>0</v>
      </c>
      <c r="C623">
        <v>0</v>
      </c>
      <c r="D623">
        <v>16.100000000000001</v>
      </c>
    </row>
    <row r="624" spans="1:4" x14ac:dyDescent="0.3">
      <c r="A624">
        <v>61</v>
      </c>
      <c r="B624">
        <v>0</v>
      </c>
      <c r="C624">
        <v>0</v>
      </c>
      <c r="D624">
        <v>32.320799999999998</v>
      </c>
    </row>
    <row r="625" spans="1:4" x14ac:dyDescent="0.3">
      <c r="A625">
        <v>57</v>
      </c>
      <c r="B625">
        <v>0</v>
      </c>
      <c r="C625">
        <v>0</v>
      </c>
      <c r="D625">
        <v>12.35</v>
      </c>
    </row>
    <row r="626" spans="1:4" x14ac:dyDescent="0.3">
      <c r="A626">
        <v>21</v>
      </c>
      <c r="B626">
        <v>0</v>
      </c>
      <c r="C626">
        <v>0</v>
      </c>
      <c r="D626">
        <v>77.958299999999994</v>
      </c>
    </row>
    <row r="627" spans="1:4" x14ac:dyDescent="0.3">
      <c r="A627">
        <v>26</v>
      </c>
      <c r="B627">
        <v>0</v>
      </c>
      <c r="C627">
        <v>0</v>
      </c>
      <c r="D627">
        <v>7.8958000000000004</v>
      </c>
    </row>
    <row r="628" spans="1:4" x14ac:dyDescent="0.3">
      <c r="A628">
        <v>18</v>
      </c>
      <c r="B628">
        <v>0</v>
      </c>
      <c r="C628">
        <v>0</v>
      </c>
      <c r="D628">
        <v>7.7332999999999998</v>
      </c>
    </row>
    <row r="629" spans="1:4" x14ac:dyDescent="0.3">
      <c r="A629">
        <v>80</v>
      </c>
      <c r="B629">
        <v>0</v>
      </c>
      <c r="C629">
        <v>0</v>
      </c>
      <c r="D629">
        <v>30</v>
      </c>
    </row>
    <row r="630" spans="1:4" x14ac:dyDescent="0.3">
      <c r="A630">
        <v>51</v>
      </c>
      <c r="B630">
        <v>0</v>
      </c>
      <c r="C630">
        <v>0</v>
      </c>
      <c r="D630">
        <v>7.0541999999999998</v>
      </c>
    </row>
    <row r="631" spans="1:4" x14ac:dyDescent="0.3">
      <c r="A631">
        <v>32</v>
      </c>
      <c r="B631">
        <v>0</v>
      </c>
      <c r="C631">
        <v>0</v>
      </c>
      <c r="D631">
        <v>30.5</v>
      </c>
    </row>
    <row r="632" spans="1:4" x14ac:dyDescent="0.3">
      <c r="A632">
        <v>30</v>
      </c>
      <c r="B632">
        <v>0</v>
      </c>
      <c r="C632">
        <v>0</v>
      </c>
      <c r="D632">
        <v>0</v>
      </c>
    </row>
    <row r="633" spans="1:4" x14ac:dyDescent="0.3">
      <c r="A633">
        <v>9</v>
      </c>
      <c r="B633">
        <v>3</v>
      </c>
      <c r="C633">
        <v>2</v>
      </c>
      <c r="D633">
        <v>27.9</v>
      </c>
    </row>
    <row r="634" spans="1:4" x14ac:dyDescent="0.3">
      <c r="A634">
        <v>28</v>
      </c>
      <c r="B634">
        <v>0</v>
      </c>
      <c r="C634">
        <v>0</v>
      </c>
      <c r="D634">
        <v>13</v>
      </c>
    </row>
    <row r="635" spans="1:4" x14ac:dyDescent="0.3">
      <c r="A635">
        <v>32</v>
      </c>
      <c r="B635">
        <v>0</v>
      </c>
      <c r="C635">
        <v>0</v>
      </c>
      <c r="D635">
        <v>7.9249999999999998</v>
      </c>
    </row>
    <row r="636" spans="1:4" x14ac:dyDescent="0.3">
      <c r="A636">
        <v>31</v>
      </c>
      <c r="B636">
        <v>1</v>
      </c>
      <c r="C636">
        <v>1</v>
      </c>
      <c r="D636">
        <v>26.25</v>
      </c>
    </row>
    <row r="637" spans="1:4" x14ac:dyDescent="0.3">
      <c r="A637">
        <v>41</v>
      </c>
      <c r="B637">
        <v>0</v>
      </c>
      <c r="C637">
        <v>5</v>
      </c>
      <c r="D637">
        <v>39.6875</v>
      </c>
    </row>
    <row r="638" spans="1:4" x14ac:dyDescent="0.3">
      <c r="A638">
        <v>37</v>
      </c>
      <c r="B638">
        <v>1</v>
      </c>
      <c r="C638">
        <v>0</v>
      </c>
      <c r="D638">
        <v>16.100000000000001</v>
      </c>
    </row>
    <row r="639" spans="1:4" x14ac:dyDescent="0.3">
      <c r="A639">
        <v>20</v>
      </c>
      <c r="B639">
        <v>0</v>
      </c>
      <c r="C639">
        <v>0</v>
      </c>
      <c r="D639">
        <v>7.8541999999999996</v>
      </c>
    </row>
    <row r="640" spans="1:4" x14ac:dyDescent="0.3">
      <c r="A640">
        <v>24</v>
      </c>
      <c r="B640">
        <v>0</v>
      </c>
      <c r="C640">
        <v>0</v>
      </c>
      <c r="D640">
        <v>69.3</v>
      </c>
    </row>
    <row r="641" spans="1:4" x14ac:dyDescent="0.3">
      <c r="A641">
        <v>2</v>
      </c>
      <c r="B641">
        <v>3</v>
      </c>
      <c r="C641">
        <v>2</v>
      </c>
      <c r="D641">
        <v>27.9</v>
      </c>
    </row>
    <row r="642" spans="1:4" x14ac:dyDescent="0.3">
      <c r="A642">
        <v>32</v>
      </c>
      <c r="B642">
        <v>0</v>
      </c>
      <c r="C642">
        <v>0</v>
      </c>
      <c r="D642">
        <v>56.495800000000003</v>
      </c>
    </row>
    <row r="643" spans="1:4" x14ac:dyDescent="0.3">
      <c r="A643">
        <v>0.75</v>
      </c>
      <c r="B643">
        <v>2</v>
      </c>
      <c r="C643">
        <v>1</v>
      </c>
      <c r="D643">
        <v>19.258299999999998</v>
      </c>
    </row>
    <row r="644" spans="1:4" x14ac:dyDescent="0.3">
      <c r="A644">
        <v>48</v>
      </c>
      <c r="B644">
        <v>1</v>
      </c>
      <c r="C644">
        <v>0</v>
      </c>
      <c r="D644">
        <v>76.729200000000006</v>
      </c>
    </row>
    <row r="645" spans="1:4" x14ac:dyDescent="0.3">
      <c r="A645">
        <v>19</v>
      </c>
      <c r="B645">
        <v>0</v>
      </c>
      <c r="C645">
        <v>0</v>
      </c>
      <c r="D645">
        <v>7.8958000000000004</v>
      </c>
    </row>
    <row r="646" spans="1:4" x14ac:dyDescent="0.3">
      <c r="A646">
        <v>56</v>
      </c>
      <c r="B646">
        <v>0</v>
      </c>
      <c r="C646">
        <v>0</v>
      </c>
      <c r="D646">
        <v>35.5</v>
      </c>
    </row>
    <row r="647" spans="1:4" x14ac:dyDescent="0.3">
      <c r="A647">
        <v>21</v>
      </c>
      <c r="B647">
        <v>0</v>
      </c>
      <c r="C647">
        <v>0</v>
      </c>
      <c r="D647">
        <v>7.55</v>
      </c>
    </row>
    <row r="648" spans="1:4" x14ac:dyDescent="0.3">
      <c r="A648">
        <v>23</v>
      </c>
      <c r="B648">
        <v>0</v>
      </c>
      <c r="C648">
        <v>0</v>
      </c>
      <c r="D648">
        <v>7.55</v>
      </c>
    </row>
    <row r="649" spans="1:4" x14ac:dyDescent="0.3">
      <c r="A649">
        <v>23</v>
      </c>
      <c r="B649">
        <v>0</v>
      </c>
      <c r="C649">
        <v>0</v>
      </c>
      <c r="D649">
        <v>7.8958000000000004</v>
      </c>
    </row>
    <row r="650" spans="1:4" x14ac:dyDescent="0.3">
      <c r="A650">
        <v>18</v>
      </c>
      <c r="B650">
        <v>0</v>
      </c>
      <c r="C650">
        <v>1</v>
      </c>
      <c r="D650">
        <v>23</v>
      </c>
    </row>
    <row r="651" spans="1:4" x14ac:dyDescent="0.3">
      <c r="A651">
        <v>21</v>
      </c>
      <c r="B651">
        <v>0</v>
      </c>
      <c r="C651">
        <v>0</v>
      </c>
      <c r="D651">
        <v>8.4332999999999991</v>
      </c>
    </row>
    <row r="652" spans="1:4" x14ac:dyDescent="0.3">
      <c r="A652">
        <v>16</v>
      </c>
      <c r="B652">
        <v>0</v>
      </c>
      <c r="C652">
        <v>0</v>
      </c>
      <c r="D652">
        <v>7.8292000000000002</v>
      </c>
    </row>
    <row r="653" spans="1:4" x14ac:dyDescent="0.3">
      <c r="A653">
        <v>18</v>
      </c>
      <c r="B653">
        <v>0</v>
      </c>
      <c r="C653">
        <v>0</v>
      </c>
      <c r="D653">
        <v>6.75</v>
      </c>
    </row>
    <row r="654" spans="1:4" x14ac:dyDescent="0.3">
      <c r="A654">
        <v>24</v>
      </c>
      <c r="B654">
        <v>2</v>
      </c>
      <c r="C654">
        <v>0</v>
      </c>
      <c r="D654">
        <v>73.5</v>
      </c>
    </row>
    <row r="655" spans="1:4" x14ac:dyDescent="0.3">
      <c r="A655">
        <v>27</v>
      </c>
      <c r="B655">
        <v>0</v>
      </c>
      <c r="C655">
        <v>0</v>
      </c>
      <c r="D655">
        <v>7.8958000000000004</v>
      </c>
    </row>
    <row r="656" spans="1:4" x14ac:dyDescent="0.3">
      <c r="A656">
        <v>32</v>
      </c>
      <c r="B656">
        <v>1</v>
      </c>
      <c r="C656">
        <v>1</v>
      </c>
      <c r="D656">
        <v>15.5</v>
      </c>
    </row>
    <row r="657" spans="1:4" x14ac:dyDescent="0.3">
      <c r="A657">
        <v>23</v>
      </c>
      <c r="B657">
        <v>0</v>
      </c>
      <c r="C657">
        <v>0</v>
      </c>
      <c r="D657">
        <v>13</v>
      </c>
    </row>
    <row r="658" spans="1:4" x14ac:dyDescent="0.3">
      <c r="A658">
        <v>58</v>
      </c>
      <c r="B658">
        <v>0</v>
      </c>
      <c r="C658">
        <v>2</v>
      </c>
      <c r="D658">
        <v>113.27500000000001</v>
      </c>
    </row>
    <row r="659" spans="1:4" x14ac:dyDescent="0.3">
      <c r="A659">
        <v>50</v>
      </c>
      <c r="B659">
        <v>2</v>
      </c>
      <c r="C659">
        <v>0</v>
      </c>
      <c r="D659">
        <v>133.65</v>
      </c>
    </row>
    <row r="660" spans="1:4" x14ac:dyDescent="0.3">
      <c r="A660">
        <v>40</v>
      </c>
      <c r="B660">
        <v>0</v>
      </c>
      <c r="C660">
        <v>0</v>
      </c>
      <c r="D660">
        <v>7.2249999999999996</v>
      </c>
    </row>
    <row r="661" spans="1:4" x14ac:dyDescent="0.3">
      <c r="A661">
        <v>47</v>
      </c>
      <c r="B661">
        <v>0</v>
      </c>
      <c r="C661">
        <v>0</v>
      </c>
      <c r="D661">
        <v>25.587499999999999</v>
      </c>
    </row>
    <row r="662" spans="1:4" x14ac:dyDescent="0.3">
      <c r="A662">
        <v>36</v>
      </c>
      <c r="B662">
        <v>0</v>
      </c>
      <c r="C662">
        <v>0</v>
      </c>
      <c r="D662">
        <v>7.4958</v>
      </c>
    </row>
    <row r="663" spans="1:4" x14ac:dyDescent="0.3">
      <c r="A663">
        <v>20</v>
      </c>
      <c r="B663">
        <v>1</v>
      </c>
      <c r="C663">
        <v>0</v>
      </c>
      <c r="D663">
        <v>7.9249999999999998</v>
      </c>
    </row>
    <row r="664" spans="1:4" x14ac:dyDescent="0.3">
      <c r="A664">
        <v>32</v>
      </c>
      <c r="B664">
        <v>2</v>
      </c>
      <c r="C664">
        <v>0</v>
      </c>
      <c r="D664">
        <v>73.5</v>
      </c>
    </row>
    <row r="665" spans="1:4" x14ac:dyDescent="0.3">
      <c r="A665">
        <v>25</v>
      </c>
      <c r="B665">
        <v>0</v>
      </c>
      <c r="C665">
        <v>0</v>
      </c>
      <c r="D665">
        <v>13</v>
      </c>
    </row>
    <row r="666" spans="1:4" x14ac:dyDescent="0.3">
      <c r="A666">
        <v>49</v>
      </c>
      <c r="B666">
        <v>0</v>
      </c>
      <c r="C666">
        <v>0</v>
      </c>
      <c r="D666">
        <v>7.7750000000000004</v>
      </c>
    </row>
    <row r="667" spans="1:4" x14ac:dyDescent="0.3">
      <c r="A667">
        <v>43</v>
      </c>
      <c r="B667">
        <v>0</v>
      </c>
      <c r="C667">
        <v>0</v>
      </c>
      <c r="D667">
        <v>8.0500000000000007</v>
      </c>
    </row>
    <row r="668" spans="1:4" x14ac:dyDescent="0.3">
      <c r="A668">
        <v>48</v>
      </c>
      <c r="B668">
        <v>1</v>
      </c>
      <c r="C668">
        <v>0</v>
      </c>
      <c r="D668">
        <v>52</v>
      </c>
    </row>
    <row r="669" spans="1:4" x14ac:dyDescent="0.3">
      <c r="A669">
        <v>40</v>
      </c>
      <c r="B669">
        <v>1</v>
      </c>
      <c r="C669">
        <v>1</v>
      </c>
      <c r="D669">
        <v>39</v>
      </c>
    </row>
    <row r="670" spans="1:4" x14ac:dyDescent="0.3">
      <c r="A670">
        <v>31</v>
      </c>
      <c r="B670">
        <v>1</v>
      </c>
      <c r="C670">
        <v>0</v>
      </c>
      <c r="D670">
        <v>52</v>
      </c>
    </row>
    <row r="671" spans="1:4" x14ac:dyDescent="0.3">
      <c r="A671">
        <v>70</v>
      </c>
      <c r="B671">
        <v>0</v>
      </c>
      <c r="C671">
        <v>0</v>
      </c>
      <c r="D671">
        <v>10.5</v>
      </c>
    </row>
    <row r="672" spans="1:4" x14ac:dyDescent="0.3">
      <c r="A672">
        <v>31</v>
      </c>
      <c r="B672">
        <v>0</v>
      </c>
      <c r="C672">
        <v>0</v>
      </c>
      <c r="D672">
        <v>13</v>
      </c>
    </row>
    <row r="673" spans="1:4" x14ac:dyDescent="0.3">
      <c r="A673">
        <v>19</v>
      </c>
      <c r="B673">
        <v>0</v>
      </c>
      <c r="C673">
        <v>0</v>
      </c>
      <c r="D673">
        <v>0</v>
      </c>
    </row>
    <row r="674" spans="1:4" x14ac:dyDescent="0.3">
      <c r="A674">
        <v>18</v>
      </c>
      <c r="B674">
        <v>0</v>
      </c>
      <c r="C674">
        <v>0</v>
      </c>
      <c r="D674">
        <v>7.7750000000000004</v>
      </c>
    </row>
    <row r="675" spans="1:4" x14ac:dyDescent="0.3">
      <c r="A675">
        <v>24.5</v>
      </c>
      <c r="B675">
        <v>0</v>
      </c>
      <c r="C675">
        <v>0</v>
      </c>
      <c r="D675">
        <v>8.0500000000000007</v>
      </c>
    </row>
    <row r="676" spans="1:4" x14ac:dyDescent="0.3">
      <c r="A676">
        <v>18</v>
      </c>
      <c r="B676">
        <v>0</v>
      </c>
      <c r="C676">
        <v>0</v>
      </c>
      <c r="D676">
        <v>9.8416999999999994</v>
      </c>
    </row>
    <row r="677" spans="1:4" x14ac:dyDescent="0.3">
      <c r="A677">
        <v>43</v>
      </c>
      <c r="B677">
        <v>1</v>
      </c>
      <c r="C677">
        <v>6</v>
      </c>
      <c r="D677">
        <v>46.9</v>
      </c>
    </row>
    <row r="678" spans="1:4" x14ac:dyDescent="0.3">
      <c r="A678">
        <v>36</v>
      </c>
      <c r="B678">
        <v>0</v>
      </c>
      <c r="C678">
        <v>1</v>
      </c>
      <c r="D678">
        <v>512.32920000000001</v>
      </c>
    </row>
    <row r="679" spans="1:4" x14ac:dyDescent="0.3">
      <c r="A679">
        <v>28</v>
      </c>
      <c r="B679">
        <v>0</v>
      </c>
      <c r="C679">
        <v>0</v>
      </c>
      <c r="D679">
        <v>8.1374999999999993</v>
      </c>
    </row>
    <row r="680" spans="1:4" x14ac:dyDescent="0.3">
      <c r="A680">
        <v>27</v>
      </c>
      <c r="B680">
        <v>0</v>
      </c>
      <c r="C680">
        <v>0</v>
      </c>
      <c r="D680">
        <v>76.729200000000006</v>
      </c>
    </row>
    <row r="681" spans="1:4" x14ac:dyDescent="0.3">
      <c r="A681">
        <v>20</v>
      </c>
      <c r="B681">
        <v>0</v>
      </c>
      <c r="C681">
        <v>0</v>
      </c>
      <c r="D681">
        <v>9.2249999999999996</v>
      </c>
    </row>
    <row r="682" spans="1:4" x14ac:dyDescent="0.3">
      <c r="A682">
        <v>14</v>
      </c>
      <c r="B682">
        <v>5</v>
      </c>
      <c r="C682">
        <v>2</v>
      </c>
      <c r="D682">
        <v>46.9</v>
      </c>
    </row>
    <row r="683" spans="1:4" x14ac:dyDescent="0.3">
      <c r="A683">
        <v>60</v>
      </c>
      <c r="B683">
        <v>1</v>
      </c>
      <c r="C683">
        <v>1</v>
      </c>
      <c r="D683">
        <v>39</v>
      </c>
    </row>
    <row r="684" spans="1:4" x14ac:dyDescent="0.3">
      <c r="A684">
        <v>25</v>
      </c>
      <c r="B684">
        <v>1</v>
      </c>
      <c r="C684">
        <v>2</v>
      </c>
      <c r="D684">
        <v>41.5792</v>
      </c>
    </row>
    <row r="685" spans="1:4" x14ac:dyDescent="0.3">
      <c r="A685">
        <v>14</v>
      </c>
      <c r="B685">
        <v>4</v>
      </c>
      <c r="C685">
        <v>1</v>
      </c>
      <c r="D685">
        <v>39.6875</v>
      </c>
    </row>
    <row r="686" spans="1:4" x14ac:dyDescent="0.3">
      <c r="A686">
        <v>19</v>
      </c>
      <c r="B686">
        <v>0</v>
      </c>
      <c r="C686">
        <v>0</v>
      </c>
      <c r="D686">
        <v>10.1708</v>
      </c>
    </row>
    <row r="687" spans="1:4" x14ac:dyDescent="0.3">
      <c r="A687">
        <v>18</v>
      </c>
      <c r="B687">
        <v>0</v>
      </c>
      <c r="C687">
        <v>0</v>
      </c>
      <c r="D687">
        <v>7.7957999999999998</v>
      </c>
    </row>
    <row r="688" spans="1:4" x14ac:dyDescent="0.3">
      <c r="A688">
        <v>15</v>
      </c>
      <c r="B688">
        <v>0</v>
      </c>
      <c r="C688">
        <v>1</v>
      </c>
      <c r="D688">
        <v>211.33750000000001</v>
      </c>
    </row>
    <row r="689" spans="1:4" x14ac:dyDescent="0.3">
      <c r="A689">
        <v>31</v>
      </c>
      <c r="B689">
        <v>1</v>
      </c>
      <c r="C689">
        <v>0</v>
      </c>
      <c r="D689">
        <v>57</v>
      </c>
    </row>
    <row r="690" spans="1:4" x14ac:dyDescent="0.3">
      <c r="A690">
        <v>4</v>
      </c>
      <c r="B690">
        <v>0</v>
      </c>
      <c r="C690">
        <v>1</v>
      </c>
      <c r="D690">
        <v>13.416700000000001</v>
      </c>
    </row>
    <row r="691" spans="1:4" x14ac:dyDescent="0.3">
      <c r="A691">
        <v>37</v>
      </c>
      <c r="B691">
        <v>0</v>
      </c>
      <c r="C691">
        <v>0</v>
      </c>
      <c r="D691">
        <v>56.495800000000003</v>
      </c>
    </row>
    <row r="692" spans="1:4" x14ac:dyDescent="0.3">
      <c r="A692">
        <v>25</v>
      </c>
      <c r="B692">
        <v>0</v>
      </c>
      <c r="C692">
        <v>0</v>
      </c>
      <c r="D692">
        <v>7.2249999999999996</v>
      </c>
    </row>
    <row r="693" spans="1:4" x14ac:dyDescent="0.3">
      <c r="A693">
        <v>60</v>
      </c>
      <c r="B693">
        <v>0</v>
      </c>
      <c r="C693">
        <v>0</v>
      </c>
      <c r="D693">
        <v>26.55</v>
      </c>
    </row>
    <row r="694" spans="1:4" x14ac:dyDescent="0.3">
      <c r="A694">
        <v>52</v>
      </c>
      <c r="B694">
        <v>0</v>
      </c>
      <c r="C694">
        <v>0</v>
      </c>
      <c r="D694">
        <v>13.5</v>
      </c>
    </row>
    <row r="695" spans="1:4" x14ac:dyDescent="0.3">
      <c r="A695">
        <v>44</v>
      </c>
      <c r="B695">
        <v>0</v>
      </c>
      <c r="C695">
        <v>0</v>
      </c>
      <c r="D695">
        <v>8.0500000000000007</v>
      </c>
    </row>
    <row r="696" spans="1:4" x14ac:dyDescent="0.3">
      <c r="A696">
        <v>19</v>
      </c>
      <c r="B696">
        <v>0</v>
      </c>
      <c r="C696">
        <v>0</v>
      </c>
      <c r="D696">
        <v>7.7332999999999998</v>
      </c>
    </row>
    <row r="697" spans="1:4" x14ac:dyDescent="0.3">
      <c r="A697">
        <v>49</v>
      </c>
      <c r="B697">
        <v>1</v>
      </c>
      <c r="C697">
        <v>1</v>
      </c>
      <c r="D697">
        <v>110.88330000000001</v>
      </c>
    </row>
    <row r="698" spans="1:4" x14ac:dyDescent="0.3">
      <c r="A698">
        <v>42</v>
      </c>
      <c r="B698">
        <v>0</v>
      </c>
      <c r="C698">
        <v>0</v>
      </c>
      <c r="D698">
        <v>7.65</v>
      </c>
    </row>
    <row r="699" spans="1:4" x14ac:dyDescent="0.3">
      <c r="A699">
        <v>18</v>
      </c>
      <c r="B699">
        <v>1</v>
      </c>
      <c r="C699">
        <v>0</v>
      </c>
      <c r="D699">
        <v>227.52500000000001</v>
      </c>
    </row>
    <row r="700" spans="1:4" x14ac:dyDescent="0.3">
      <c r="A700">
        <v>35</v>
      </c>
      <c r="B700">
        <v>0</v>
      </c>
      <c r="C700">
        <v>0</v>
      </c>
      <c r="D700">
        <v>26.287500000000001</v>
      </c>
    </row>
    <row r="701" spans="1:4" x14ac:dyDescent="0.3">
      <c r="A701">
        <v>18</v>
      </c>
      <c r="B701">
        <v>0</v>
      </c>
      <c r="C701">
        <v>1</v>
      </c>
      <c r="D701">
        <v>14.4542</v>
      </c>
    </row>
    <row r="702" spans="1:4" x14ac:dyDescent="0.3">
      <c r="A702">
        <v>25</v>
      </c>
      <c r="B702">
        <v>0</v>
      </c>
      <c r="C702">
        <v>0</v>
      </c>
      <c r="D702">
        <v>7.7416999999999998</v>
      </c>
    </row>
    <row r="703" spans="1:4" x14ac:dyDescent="0.3">
      <c r="A703">
        <v>26</v>
      </c>
      <c r="B703">
        <v>1</v>
      </c>
      <c r="C703">
        <v>0</v>
      </c>
      <c r="D703">
        <v>7.8541999999999996</v>
      </c>
    </row>
    <row r="704" spans="1:4" x14ac:dyDescent="0.3">
      <c r="A704">
        <v>39</v>
      </c>
      <c r="B704">
        <v>0</v>
      </c>
      <c r="C704">
        <v>0</v>
      </c>
      <c r="D704">
        <v>26</v>
      </c>
    </row>
    <row r="705" spans="1:4" x14ac:dyDescent="0.3">
      <c r="A705">
        <v>45</v>
      </c>
      <c r="B705">
        <v>0</v>
      </c>
      <c r="C705">
        <v>0</v>
      </c>
      <c r="D705">
        <v>13.5</v>
      </c>
    </row>
    <row r="706" spans="1:4" x14ac:dyDescent="0.3">
      <c r="A706">
        <v>42</v>
      </c>
      <c r="B706">
        <v>0</v>
      </c>
      <c r="C706">
        <v>0</v>
      </c>
      <c r="D706">
        <v>26.287500000000001</v>
      </c>
    </row>
    <row r="707" spans="1:4" x14ac:dyDescent="0.3">
      <c r="A707">
        <v>22</v>
      </c>
      <c r="B707">
        <v>0</v>
      </c>
      <c r="C707">
        <v>0</v>
      </c>
      <c r="D707">
        <v>151.55000000000001</v>
      </c>
    </row>
    <row r="708" spans="1:4" x14ac:dyDescent="0.3">
      <c r="A708">
        <v>4</v>
      </c>
      <c r="B708">
        <v>1</v>
      </c>
      <c r="C708">
        <v>1</v>
      </c>
      <c r="D708">
        <v>15.245799999999999</v>
      </c>
    </row>
    <row r="709" spans="1:4" x14ac:dyDescent="0.3">
      <c r="A709">
        <v>24</v>
      </c>
      <c r="B709">
        <v>0</v>
      </c>
      <c r="C709">
        <v>0</v>
      </c>
      <c r="D709">
        <v>49.504199999999997</v>
      </c>
    </row>
    <row r="710" spans="1:4" x14ac:dyDescent="0.3">
      <c r="A710">
        <v>41</v>
      </c>
      <c r="B710">
        <v>0</v>
      </c>
      <c r="C710">
        <v>0</v>
      </c>
      <c r="D710">
        <v>26.55</v>
      </c>
    </row>
    <row r="711" spans="1:4" x14ac:dyDescent="0.3">
      <c r="A711">
        <v>48</v>
      </c>
      <c r="B711">
        <v>1</v>
      </c>
      <c r="C711">
        <v>0</v>
      </c>
      <c r="D711">
        <v>52</v>
      </c>
    </row>
    <row r="712" spans="1:4" x14ac:dyDescent="0.3">
      <c r="A712">
        <v>29</v>
      </c>
      <c r="B712">
        <v>0</v>
      </c>
      <c r="C712">
        <v>0</v>
      </c>
      <c r="D712">
        <v>9.4832999999999998</v>
      </c>
    </row>
    <row r="713" spans="1:4" x14ac:dyDescent="0.3">
      <c r="A713">
        <v>52</v>
      </c>
      <c r="B713">
        <v>0</v>
      </c>
      <c r="C713">
        <v>0</v>
      </c>
      <c r="D713">
        <v>13</v>
      </c>
    </row>
    <row r="714" spans="1:4" x14ac:dyDescent="0.3">
      <c r="A714">
        <v>19</v>
      </c>
      <c r="B714">
        <v>0</v>
      </c>
      <c r="C714">
        <v>0</v>
      </c>
      <c r="D714">
        <v>7.65</v>
      </c>
    </row>
    <row r="715" spans="1:4" x14ac:dyDescent="0.3">
      <c r="A715">
        <v>38</v>
      </c>
      <c r="B715">
        <v>0</v>
      </c>
      <c r="C715">
        <v>0</v>
      </c>
      <c r="D715">
        <v>227.52500000000001</v>
      </c>
    </row>
    <row r="716" spans="1:4" x14ac:dyDescent="0.3">
      <c r="A716">
        <v>27</v>
      </c>
      <c r="B716">
        <v>0</v>
      </c>
      <c r="C716">
        <v>0</v>
      </c>
      <c r="D716">
        <v>10.5</v>
      </c>
    </row>
    <row r="717" spans="1:4" x14ac:dyDescent="0.3">
      <c r="A717">
        <v>33</v>
      </c>
      <c r="B717">
        <v>0</v>
      </c>
      <c r="C717">
        <v>0</v>
      </c>
      <c r="D717">
        <v>7.7750000000000004</v>
      </c>
    </row>
    <row r="718" spans="1:4" x14ac:dyDescent="0.3">
      <c r="A718">
        <v>6</v>
      </c>
      <c r="B718">
        <v>0</v>
      </c>
      <c r="C718">
        <v>1</v>
      </c>
      <c r="D718">
        <v>33</v>
      </c>
    </row>
    <row r="719" spans="1:4" x14ac:dyDescent="0.3">
      <c r="A719">
        <v>17</v>
      </c>
      <c r="B719">
        <v>1</v>
      </c>
      <c r="C719">
        <v>0</v>
      </c>
      <c r="D719">
        <v>7.0541999999999998</v>
      </c>
    </row>
    <row r="720" spans="1:4" x14ac:dyDescent="0.3">
      <c r="A720">
        <v>34</v>
      </c>
      <c r="B720">
        <v>0</v>
      </c>
      <c r="C720">
        <v>0</v>
      </c>
      <c r="D720">
        <v>13</v>
      </c>
    </row>
    <row r="721" spans="1:4" x14ac:dyDescent="0.3">
      <c r="A721">
        <v>50</v>
      </c>
      <c r="B721">
        <v>0</v>
      </c>
      <c r="C721">
        <v>0</v>
      </c>
      <c r="D721">
        <v>13</v>
      </c>
    </row>
    <row r="722" spans="1:4" x14ac:dyDescent="0.3">
      <c r="A722">
        <v>27</v>
      </c>
      <c r="B722">
        <v>1</v>
      </c>
      <c r="C722">
        <v>0</v>
      </c>
      <c r="D722">
        <v>53.1</v>
      </c>
    </row>
    <row r="723" spans="1:4" x14ac:dyDescent="0.3">
      <c r="A723">
        <v>20</v>
      </c>
      <c r="B723">
        <v>0</v>
      </c>
      <c r="C723">
        <v>0</v>
      </c>
      <c r="D723">
        <v>8.6624999999999996</v>
      </c>
    </row>
    <row r="724" spans="1:4" x14ac:dyDescent="0.3">
      <c r="A724">
        <v>30</v>
      </c>
      <c r="B724">
        <v>3</v>
      </c>
      <c r="C724">
        <v>0</v>
      </c>
      <c r="D724">
        <v>21</v>
      </c>
    </row>
    <row r="725" spans="1:4" x14ac:dyDescent="0.3">
      <c r="A725">
        <v>28</v>
      </c>
      <c r="B725">
        <v>0</v>
      </c>
      <c r="C725">
        <v>0</v>
      </c>
      <c r="D725">
        <v>7.7374999999999998</v>
      </c>
    </row>
    <row r="726" spans="1:4" x14ac:dyDescent="0.3">
      <c r="A726">
        <v>25</v>
      </c>
      <c r="B726">
        <v>1</v>
      </c>
      <c r="C726">
        <v>0</v>
      </c>
      <c r="D726">
        <v>26</v>
      </c>
    </row>
    <row r="727" spans="1:4" x14ac:dyDescent="0.3">
      <c r="A727">
        <v>25</v>
      </c>
      <c r="B727">
        <v>1</v>
      </c>
      <c r="C727">
        <v>0</v>
      </c>
      <c r="D727">
        <v>7.9249999999999998</v>
      </c>
    </row>
    <row r="728" spans="1:4" x14ac:dyDescent="0.3">
      <c r="A728">
        <v>29</v>
      </c>
      <c r="B728">
        <v>0</v>
      </c>
      <c r="C728">
        <v>0</v>
      </c>
      <c r="D728">
        <v>211.33750000000001</v>
      </c>
    </row>
    <row r="729" spans="1:4" x14ac:dyDescent="0.3">
      <c r="A729">
        <v>11</v>
      </c>
      <c r="B729">
        <v>0</v>
      </c>
      <c r="C729">
        <v>0</v>
      </c>
      <c r="D729">
        <v>18.787500000000001</v>
      </c>
    </row>
    <row r="730" spans="1:4" x14ac:dyDescent="0.3">
      <c r="A730">
        <v>41</v>
      </c>
      <c r="B730">
        <v>0</v>
      </c>
      <c r="C730">
        <v>0</v>
      </c>
      <c r="D730">
        <v>0</v>
      </c>
    </row>
    <row r="731" spans="1:4" x14ac:dyDescent="0.3">
      <c r="A731">
        <v>23</v>
      </c>
      <c r="B731">
        <v>0</v>
      </c>
      <c r="C731">
        <v>0</v>
      </c>
      <c r="D731">
        <v>13</v>
      </c>
    </row>
    <row r="732" spans="1:4" x14ac:dyDescent="0.3">
      <c r="A732">
        <v>23</v>
      </c>
      <c r="B732">
        <v>0</v>
      </c>
      <c r="C732">
        <v>0</v>
      </c>
      <c r="D732">
        <v>13</v>
      </c>
    </row>
    <row r="733" spans="1:4" x14ac:dyDescent="0.3">
      <c r="A733">
        <v>28.5</v>
      </c>
      <c r="B733">
        <v>0</v>
      </c>
      <c r="C733">
        <v>0</v>
      </c>
      <c r="D733">
        <v>16.100000000000001</v>
      </c>
    </row>
    <row r="734" spans="1:4" x14ac:dyDescent="0.3">
      <c r="A734">
        <v>48</v>
      </c>
      <c r="B734">
        <v>1</v>
      </c>
      <c r="C734">
        <v>3</v>
      </c>
      <c r="D734">
        <v>34.375</v>
      </c>
    </row>
    <row r="735" spans="1:4" x14ac:dyDescent="0.3">
      <c r="A735">
        <v>35</v>
      </c>
      <c r="B735">
        <v>0</v>
      </c>
      <c r="C735">
        <v>0</v>
      </c>
      <c r="D735">
        <v>512.32920000000001</v>
      </c>
    </row>
    <row r="736" spans="1:4" x14ac:dyDescent="0.3">
      <c r="A736">
        <v>20</v>
      </c>
      <c r="B736">
        <v>0</v>
      </c>
      <c r="C736">
        <v>0</v>
      </c>
      <c r="D736">
        <v>7.8958000000000004</v>
      </c>
    </row>
    <row r="737" spans="1:4" x14ac:dyDescent="0.3">
      <c r="A737">
        <v>32</v>
      </c>
      <c r="B737">
        <v>0</v>
      </c>
      <c r="C737">
        <v>0</v>
      </c>
      <c r="D737">
        <v>7.8958000000000004</v>
      </c>
    </row>
    <row r="738" spans="1:4" x14ac:dyDescent="0.3">
      <c r="A738">
        <v>45</v>
      </c>
      <c r="B738">
        <v>0</v>
      </c>
      <c r="C738">
        <v>0</v>
      </c>
      <c r="D738">
        <v>30</v>
      </c>
    </row>
    <row r="739" spans="1:4" x14ac:dyDescent="0.3">
      <c r="A739">
        <v>36</v>
      </c>
      <c r="B739">
        <v>1</v>
      </c>
      <c r="C739">
        <v>0</v>
      </c>
      <c r="D739">
        <v>78.849999999999994</v>
      </c>
    </row>
    <row r="740" spans="1:4" x14ac:dyDescent="0.3">
      <c r="A740">
        <v>21</v>
      </c>
      <c r="B740">
        <v>2</v>
      </c>
      <c r="C740">
        <v>2</v>
      </c>
      <c r="D740">
        <v>262.375</v>
      </c>
    </row>
    <row r="741" spans="1:4" x14ac:dyDescent="0.3">
      <c r="A741">
        <v>24</v>
      </c>
      <c r="B741">
        <v>1</v>
      </c>
      <c r="C741">
        <v>0</v>
      </c>
      <c r="D741">
        <v>16.100000000000001</v>
      </c>
    </row>
    <row r="742" spans="1:4" x14ac:dyDescent="0.3">
      <c r="A742">
        <v>31</v>
      </c>
      <c r="B742">
        <v>0</v>
      </c>
      <c r="C742">
        <v>0</v>
      </c>
      <c r="D742">
        <v>7.9249999999999998</v>
      </c>
    </row>
    <row r="743" spans="1:4" x14ac:dyDescent="0.3">
      <c r="A743">
        <v>70</v>
      </c>
      <c r="B743">
        <v>1</v>
      </c>
      <c r="C743">
        <v>1</v>
      </c>
      <c r="D743">
        <v>71</v>
      </c>
    </row>
    <row r="744" spans="1:4" x14ac:dyDescent="0.3">
      <c r="A744">
        <v>16</v>
      </c>
      <c r="B744">
        <v>1</v>
      </c>
      <c r="C744">
        <v>1</v>
      </c>
      <c r="D744">
        <v>20.25</v>
      </c>
    </row>
    <row r="745" spans="1:4" x14ac:dyDescent="0.3">
      <c r="A745">
        <v>30</v>
      </c>
      <c r="B745">
        <v>0</v>
      </c>
      <c r="C745">
        <v>0</v>
      </c>
      <c r="D745">
        <v>13</v>
      </c>
    </row>
    <row r="746" spans="1:4" x14ac:dyDescent="0.3">
      <c r="A746">
        <v>19</v>
      </c>
      <c r="B746">
        <v>1</v>
      </c>
      <c r="C746">
        <v>0</v>
      </c>
      <c r="D746">
        <v>53.1</v>
      </c>
    </row>
    <row r="747" spans="1:4" x14ac:dyDescent="0.3">
      <c r="A747">
        <v>31</v>
      </c>
      <c r="B747">
        <v>0</v>
      </c>
      <c r="C747">
        <v>0</v>
      </c>
      <c r="D747">
        <v>7.75</v>
      </c>
    </row>
    <row r="748" spans="1:4" x14ac:dyDescent="0.3">
      <c r="A748">
        <v>4</v>
      </c>
      <c r="B748">
        <v>1</v>
      </c>
      <c r="C748">
        <v>1</v>
      </c>
      <c r="D748">
        <v>23</v>
      </c>
    </row>
    <row r="749" spans="1:4" x14ac:dyDescent="0.3">
      <c r="A749">
        <v>6</v>
      </c>
      <c r="B749">
        <v>0</v>
      </c>
      <c r="C749">
        <v>1</v>
      </c>
      <c r="D749">
        <v>12.475</v>
      </c>
    </row>
    <row r="750" spans="1:4" x14ac:dyDescent="0.3">
      <c r="A750">
        <v>33</v>
      </c>
      <c r="B750">
        <v>0</v>
      </c>
      <c r="C750">
        <v>0</v>
      </c>
      <c r="D750">
        <v>9.5</v>
      </c>
    </row>
    <row r="751" spans="1:4" x14ac:dyDescent="0.3">
      <c r="A751">
        <v>23</v>
      </c>
      <c r="B751">
        <v>0</v>
      </c>
      <c r="C751">
        <v>0</v>
      </c>
      <c r="D751">
        <v>7.8958000000000004</v>
      </c>
    </row>
    <row r="752" spans="1:4" x14ac:dyDescent="0.3">
      <c r="A752">
        <v>48</v>
      </c>
      <c r="B752">
        <v>1</v>
      </c>
      <c r="C752">
        <v>2</v>
      </c>
      <c r="D752">
        <v>65</v>
      </c>
    </row>
    <row r="753" spans="1:4" x14ac:dyDescent="0.3">
      <c r="A753">
        <v>0.67</v>
      </c>
      <c r="B753">
        <v>1</v>
      </c>
      <c r="C753">
        <v>1</v>
      </c>
      <c r="D753">
        <v>14.5</v>
      </c>
    </row>
    <row r="754" spans="1:4" x14ac:dyDescent="0.3">
      <c r="A754">
        <v>28</v>
      </c>
      <c r="B754">
        <v>0</v>
      </c>
      <c r="C754">
        <v>0</v>
      </c>
      <c r="D754">
        <v>7.7957999999999998</v>
      </c>
    </row>
    <row r="755" spans="1:4" x14ac:dyDescent="0.3">
      <c r="A755">
        <v>18</v>
      </c>
      <c r="B755">
        <v>0</v>
      </c>
      <c r="C755">
        <v>0</v>
      </c>
      <c r="D755">
        <v>11.5</v>
      </c>
    </row>
    <row r="756" spans="1:4" x14ac:dyDescent="0.3">
      <c r="A756">
        <v>34</v>
      </c>
      <c r="B756">
        <v>0</v>
      </c>
      <c r="C756">
        <v>0</v>
      </c>
      <c r="D756">
        <v>8.0500000000000007</v>
      </c>
    </row>
    <row r="757" spans="1:4" x14ac:dyDescent="0.3">
      <c r="A757">
        <v>33</v>
      </c>
      <c r="B757">
        <v>0</v>
      </c>
      <c r="C757">
        <v>0</v>
      </c>
      <c r="D757">
        <v>86.5</v>
      </c>
    </row>
    <row r="758" spans="1:4" x14ac:dyDescent="0.3">
      <c r="A758">
        <v>23</v>
      </c>
      <c r="B758">
        <v>0</v>
      </c>
      <c r="C758">
        <v>0</v>
      </c>
      <c r="D758">
        <v>14.5</v>
      </c>
    </row>
    <row r="759" spans="1:4" x14ac:dyDescent="0.3">
      <c r="A759">
        <v>41</v>
      </c>
      <c r="B759">
        <v>0</v>
      </c>
      <c r="C759">
        <v>0</v>
      </c>
      <c r="D759">
        <v>7.125</v>
      </c>
    </row>
    <row r="760" spans="1:4" x14ac:dyDescent="0.3">
      <c r="A760">
        <v>20</v>
      </c>
      <c r="B760">
        <v>0</v>
      </c>
      <c r="C760">
        <v>0</v>
      </c>
      <c r="D760">
        <v>7.2291999999999996</v>
      </c>
    </row>
    <row r="761" spans="1:4" x14ac:dyDescent="0.3">
      <c r="A761">
        <v>36</v>
      </c>
      <c r="B761">
        <v>1</v>
      </c>
      <c r="C761">
        <v>2</v>
      </c>
      <c r="D761">
        <v>120</v>
      </c>
    </row>
    <row r="762" spans="1:4" x14ac:dyDescent="0.3">
      <c r="A762">
        <v>16</v>
      </c>
      <c r="B762">
        <v>0</v>
      </c>
      <c r="C762">
        <v>0</v>
      </c>
      <c r="D762">
        <v>7.7750000000000004</v>
      </c>
    </row>
    <row r="763" spans="1:4" x14ac:dyDescent="0.3">
      <c r="A763">
        <v>51</v>
      </c>
      <c r="B763">
        <v>1</v>
      </c>
      <c r="C763">
        <v>0</v>
      </c>
      <c r="D763">
        <v>77.958299999999994</v>
      </c>
    </row>
    <row r="764" spans="1:4" x14ac:dyDescent="0.3">
      <c r="A764">
        <v>46</v>
      </c>
      <c r="B764">
        <v>0</v>
      </c>
      <c r="C764">
        <v>0</v>
      </c>
      <c r="D764">
        <v>39.6</v>
      </c>
    </row>
    <row r="765" spans="1:4" x14ac:dyDescent="0.3">
      <c r="A765">
        <v>30.5</v>
      </c>
      <c r="B765">
        <v>0</v>
      </c>
      <c r="C765">
        <v>0</v>
      </c>
      <c r="D765">
        <v>7.75</v>
      </c>
    </row>
    <row r="766" spans="1:4" x14ac:dyDescent="0.3">
      <c r="A766">
        <v>28</v>
      </c>
      <c r="B766">
        <v>1</v>
      </c>
      <c r="C766">
        <v>0</v>
      </c>
      <c r="D766">
        <v>24.15</v>
      </c>
    </row>
    <row r="767" spans="1:4" x14ac:dyDescent="0.3">
      <c r="A767">
        <v>32</v>
      </c>
      <c r="B767">
        <v>0</v>
      </c>
      <c r="C767">
        <v>0</v>
      </c>
      <c r="D767">
        <v>8.3625000000000007</v>
      </c>
    </row>
    <row r="768" spans="1:4" x14ac:dyDescent="0.3">
      <c r="A768">
        <v>24</v>
      </c>
      <c r="B768">
        <v>0</v>
      </c>
      <c r="C768">
        <v>0</v>
      </c>
      <c r="D768">
        <v>9.5</v>
      </c>
    </row>
    <row r="769" spans="1:4" x14ac:dyDescent="0.3">
      <c r="A769">
        <v>48</v>
      </c>
      <c r="B769">
        <v>0</v>
      </c>
      <c r="C769">
        <v>0</v>
      </c>
      <c r="D769">
        <v>7.8541999999999996</v>
      </c>
    </row>
    <row r="770" spans="1:4" x14ac:dyDescent="0.3">
      <c r="A770">
        <v>57</v>
      </c>
      <c r="B770">
        <v>0</v>
      </c>
      <c r="C770">
        <v>0</v>
      </c>
      <c r="D770">
        <v>10.5</v>
      </c>
    </row>
    <row r="771" spans="1:4" x14ac:dyDescent="0.3">
      <c r="A771">
        <v>29</v>
      </c>
      <c r="B771">
        <v>0</v>
      </c>
      <c r="C771">
        <v>0</v>
      </c>
      <c r="D771">
        <v>7.2249999999999996</v>
      </c>
    </row>
    <row r="772" spans="1:4" x14ac:dyDescent="0.3">
      <c r="A772">
        <v>54</v>
      </c>
      <c r="B772">
        <v>1</v>
      </c>
      <c r="C772">
        <v>3</v>
      </c>
      <c r="D772">
        <v>23</v>
      </c>
    </row>
    <row r="773" spans="1:4" x14ac:dyDescent="0.3">
      <c r="A773">
        <v>18</v>
      </c>
      <c r="B773">
        <v>0</v>
      </c>
      <c r="C773">
        <v>0</v>
      </c>
      <c r="D773">
        <v>7.75</v>
      </c>
    </row>
    <row r="774" spans="1:4" x14ac:dyDescent="0.3">
      <c r="A774">
        <v>20</v>
      </c>
      <c r="B774">
        <v>0</v>
      </c>
      <c r="C774">
        <v>0</v>
      </c>
      <c r="D774">
        <v>7.75</v>
      </c>
    </row>
    <row r="775" spans="1:4" x14ac:dyDescent="0.3">
      <c r="A775">
        <v>5</v>
      </c>
      <c r="B775">
        <v>0</v>
      </c>
      <c r="C775">
        <v>0</v>
      </c>
      <c r="D775">
        <v>12.475</v>
      </c>
    </row>
    <row r="776" spans="1:4" x14ac:dyDescent="0.3">
      <c r="A776">
        <v>22</v>
      </c>
      <c r="B776">
        <v>0</v>
      </c>
      <c r="C776">
        <v>0</v>
      </c>
      <c r="D776">
        <v>7.7374999999999998</v>
      </c>
    </row>
    <row r="777" spans="1:4" x14ac:dyDescent="0.3">
      <c r="A777">
        <v>43</v>
      </c>
      <c r="B777">
        <v>0</v>
      </c>
      <c r="C777">
        <v>1</v>
      </c>
      <c r="D777">
        <v>211.33750000000001</v>
      </c>
    </row>
    <row r="778" spans="1:4" x14ac:dyDescent="0.3">
      <c r="A778">
        <v>13</v>
      </c>
      <c r="B778">
        <v>0</v>
      </c>
      <c r="C778">
        <v>0</v>
      </c>
      <c r="D778">
        <v>7.2291999999999996</v>
      </c>
    </row>
    <row r="779" spans="1:4" x14ac:dyDescent="0.3">
      <c r="A779">
        <v>17</v>
      </c>
      <c r="B779">
        <v>1</v>
      </c>
      <c r="C779">
        <v>0</v>
      </c>
      <c r="D779">
        <v>57</v>
      </c>
    </row>
    <row r="780" spans="1:4" x14ac:dyDescent="0.3">
      <c r="A780">
        <v>29</v>
      </c>
      <c r="B780">
        <v>0</v>
      </c>
      <c r="C780">
        <v>0</v>
      </c>
      <c r="D780">
        <v>30</v>
      </c>
    </row>
    <row r="781" spans="1:4" x14ac:dyDescent="0.3">
      <c r="A781">
        <v>35</v>
      </c>
      <c r="B781">
        <v>1</v>
      </c>
      <c r="C781">
        <v>2</v>
      </c>
      <c r="D781">
        <v>23.45</v>
      </c>
    </row>
    <row r="782" spans="1:4" x14ac:dyDescent="0.3">
      <c r="A782">
        <v>25</v>
      </c>
      <c r="B782">
        <v>0</v>
      </c>
      <c r="C782">
        <v>0</v>
      </c>
      <c r="D782">
        <v>7.05</v>
      </c>
    </row>
    <row r="783" spans="1:4" x14ac:dyDescent="0.3">
      <c r="A783">
        <v>25</v>
      </c>
      <c r="B783">
        <v>0</v>
      </c>
      <c r="C783">
        <v>0</v>
      </c>
      <c r="D783">
        <v>7.25</v>
      </c>
    </row>
    <row r="784" spans="1:4" x14ac:dyDescent="0.3">
      <c r="A784">
        <v>18</v>
      </c>
      <c r="B784">
        <v>0</v>
      </c>
      <c r="C784">
        <v>0</v>
      </c>
      <c r="D784">
        <v>7.4958</v>
      </c>
    </row>
    <row r="785" spans="1:4" x14ac:dyDescent="0.3">
      <c r="A785">
        <v>8</v>
      </c>
      <c r="B785">
        <v>4</v>
      </c>
      <c r="C785">
        <v>1</v>
      </c>
      <c r="D785">
        <v>29.125</v>
      </c>
    </row>
    <row r="786" spans="1:4" x14ac:dyDescent="0.3">
      <c r="A786">
        <v>1</v>
      </c>
      <c r="B786">
        <v>1</v>
      </c>
      <c r="C786">
        <v>2</v>
      </c>
      <c r="D786">
        <v>20.574999999999999</v>
      </c>
    </row>
    <row r="787" spans="1:4" x14ac:dyDescent="0.3">
      <c r="A787">
        <v>46</v>
      </c>
      <c r="B787">
        <v>0</v>
      </c>
      <c r="C787">
        <v>0</v>
      </c>
      <c r="D787">
        <v>79.2</v>
      </c>
    </row>
    <row r="788" spans="1:4" x14ac:dyDescent="0.3">
      <c r="A788">
        <v>20</v>
      </c>
      <c r="B788">
        <v>0</v>
      </c>
      <c r="C788">
        <v>0</v>
      </c>
      <c r="D788">
        <v>7.75</v>
      </c>
    </row>
    <row r="789" spans="1:4" x14ac:dyDescent="0.3">
      <c r="A789">
        <v>16</v>
      </c>
      <c r="B789">
        <v>0</v>
      </c>
      <c r="C789">
        <v>0</v>
      </c>
      <c r="D789">
        <v>26</v>
      </c>
    </row>
    <row r="790" spans="1:4" x14ac:dyDescent="0.3">
      <c r="A790">
        <v>21</v>
      </c>
      <c r="B790">
        <v>8</v>
      </c>
      <c r="C790">
        <v>2</v>
      </c>
      <c r="D790">
        <v>69.55</v>
      </c>
    </row>
    <row r="791" spans="1:4" x14ac:dyDescent="0.3">
      <c r="A791">
        <v>43</v>
      </c>
      <c r="B791">
        <v>0</v>
      </c>
      <c r="C791">
        <v>0</v>
      </c>
      <c r="D791">
        <v>30.695799999999998</v>
      </c>
    </row>
    <row r="792" spans="1:4" x14ac:dyDescent="0.3">
      <c r="A792">
        <v>25</v>
      </c>
      <c r="B792">
        <v>0</v>
      </c>
      <c r="C792">
        <v>0</v>
      </c>
      <c r="D792">
        <v>7.8958000000000004</v>
      </c>
    </row>
    <row r="793" spans="1:4" x14ac:dyDescent="0.3">
      <c r="A793">
        <v>39</v>
      </c>
      <c r="B793">
        <v>0</v>
      </c>
      <c r="C793">
        <v>0</v>
      </c>
      <c r="D793">
        <v>13</v>
      </c>
    </row>
    <row r="794" spans="1:4" x14ac:dyDescent="0.3">
      <c r="A794">
        <v>49</v>
      </c>
      <c r="B794">
        <v>0</v>
      </c>
      <c r="C794">
        <v>0</v>
      </c>
      <c r="D794">
        <v>25.929200000000002</v>
      </c>
    </row>
    <row r="795" spans="1:4" x14ac:dyDescent="0.3">
      <c r="A795">
        <v>31</v>
      </c>
      <c r="B795">
        <v>0</v>
      </c>
      <c r="C795">
        <v>0</v>
      </c>
      <c r="D795">
        <v>8.6832999999999991</v>
      </c>
    </row>
    <row r="796" spans="1:4" x14ac:dyDescent="0.3">
      <c r="A796">
        <v>30</v>
      </c>
      <c r="B796">
        <v>0</v>
      </c>
      <c r="C796">
        <v>0</v>
      </c>
      <c r="D796">
        <v>7.2291999999999996</v>
      </c>
    </row>
    <row r="797" spans="1:4" x14ac:dyDescent="0.3">
      <c r="A797">
        <v>30</v>
      </c>
      <c r="B797">
        <v>1</v>
      </c>
      <c r="C797">
        <v>1</v>
      </c>
      <c r="D797">
        <v>24.15</v>
      </c>
    </row>
    <row r="798" spans="1:4" x14ac:dyDescent="0.3">
      <c r="A798">
        <v>34</v>
      </c>
      <c r="B798">
        <v>0</v>
      </c>
      <c r="C798">
        <v>0</v>
      </c>
      <c r="D798">
        <v>13</v>
      </c>
    </row>
    <row r="799" spans="1:4" x14ac:dyDescent="0.3">
      <c r="A799">
        <v>31</v>
      </c>
      <c r="B799">
        <v>1</v>
      </c>
      <c r="C799">
        <v>1</v>
      </c>
      <c r="D799">
        <v>26.25</v>
      </c>
    </row>
    <row r="800" spans="1:4" x14ac:dyDescent="0.3">
      <c r="A800">
        <v>11</v>
      </c>
      <c r="B800">
        <v>1</v>
      </c>
      <c r="C800">
        <v>2</v>
      </c>
      <c r="D800">
        <v>120</v>
      </c>
    </row>
    <row r="801" spans="1:4" x14ac:dyDescent="0.3">
      <c r="A801">
        <v>0.42</v>
      </c>
      <c r="B801">
        <v>0</v>
      </c>
      <c r="C801">
        <v>1</v>
      </c>
      <c r="D801">
        <v>8.5167000000000002</v>
      </c>
    </row>
    <row r="802" spans="1:4" x14ac:dyDescent="0.3">
      <c r="A802">
        <v>27</v>
      </c>
      <c r="B802">
        <v>0</v>
      </c>
      <c r="C802">
        <v>0</v>
      </c>
      <c r="D802">
        <v>6.9749999999999996</v>
      </c>
    </row>
    <row r="803" spans="1:4" x14ac:dyDescent="0.3">
      <c r="A803">
        <v>31</v>
      </c>
      <c r="B803">
        <v>0</v>
      </c>
      <c r="C803">
        <v>0</v>
      </c>
      <c r="D803">
        <v>7.7750000000000004</v>
      </c>
    </row>
    <row r="804" spans="1:4" x14ac:dyDescent="0.3">
      <c r="A804">
        <v>39</v>
      </c>
      <c r="B804">
        <v>0</v>
      </c>
      <c r="C804">
        <v>0</v>
      </c>
      <c r="D804">
        <v>0</v>
      </c>
    </row>
    <row r="805" spans="1:4" x14ac:dyDescent="0.3">
      <c r="A805">
        <v>18</v>
      </c>
      <c r="B805">
        <v>0</v>
      </c>
      <c r="C805">
        <v>0</v>
      </c>
      <c r="D805">
        <v>7.7750000000000004</v>
      </c>
    </row>
    <row r="806" spans="1:4" x14ac:dyDescent="0.3">
      <c r="A806">
        <v>39</v>
      </c>
      <c r="B806">
        <v>0</v>
      </c>
      <c r="C806">
        <v>0</v>
      </c>
      <c r="D806">
        <v>13</v>
      </c>
    </row>
    <row r="807" spans="1:4" x14ac:dyDescent="0.3">
      <c r="A807">
        <v>33</v>
      </c>
      <c r="B807">
        <v>1</v>
      </c>
      <c r="C807">
        <v>0</v>
      </c>
      <c r="D807">
        <v>53.1</v>
      </c>
    </row>
    <row r="808" spans="1:4" x14ac:dyDescent="0.3">
      <c r="A808">
        <v>26</v>
      </c>
      <c r="B808">
        <v>0</v>
      </c>
      <c r="C808">
        <v>0</v>
      </c>
      <c r="D808">
        <v>7.8875000000000002</v>
      </c>
    </row>
    <row r="809" spans="1:4" x14ac:dyDescent="0.3">
      <c r="A809">
        <v>39</v>
      </c>
      <c r="B809">
        <v>0</v>
      </c>
      <c r="C809">
        <v>0</v>
      </c>
      <c r="D809">
        <v>24.15</v>
      </c>
    </row>
    <row r="810" spans="1:4" x14ac:dyDescent="0.3">
      <c r="A810">
        <v>35</v>
      </c>
      <c r="B810">
        <v>0</v>
      </c>
      <c r="C810">
        <v>0</v>
      </c>
      <c r="D810">
        <v>10.5</v>
      </c>
    </row>
    <row r="811" spans="1:4" x14ac:dyDescent="0.3">
      <c r="A811">
        <v>6</v>
      </c>
      <c r="B811">
        <v>4</v>
      </c>
      <c r="C811">
        <v>2</v>
      </c>
      <c r="D811">
        <v>31.274999999999999</v>
      </c>
    </row>
    <row r="812" spans="1:4" x14ac:dyDescent="0.3">
      <c r="A812">
        <v>30.5</v>
      </c>
      <c r="B812">
        <v>0</v>
      </c>
      <c r="C812">
        <v>0</v>
      </c>
      <c r="D812">
        <v>8.0500000000000007</v>
      </c>
    </row>
    <row r="813" spans="1:4" x14ac:dyDescent="0.3">
      <c r="A813">
        <v>39</v>
      </c>
      <c r="B813">
        <v>0</v>
      </c>
      <c r="C813">
        <v>0</v>
      </c>
      <c r="D813">
        <v>0</v>
      </c>
    </row>
    <row r="814" spans="1:4" x14ac:dyDescent="0.3">
      <c r="A814">
        <v>23</v>
      </c>
      <c r="B814">
        <v>0</v>
      </c>
      <c r="C814">
        <v>0</v>
      </c>
      <c r="D814">
        <v>7.9249999999999998</v>
      </c>
    </row>
    <row r="815" spans="1:4" x14ac:dyDescent="0.3">
      <c r="A815">
        <v>31</v>
      </c>
      <c r="B815">
        <v>1</v>
      </c>
      <c r="C815">
        <v>1</v>
      </c>
      <c r="D815">
        <v>37.004199999999997</v>
      </c>
    </row>
    <row r="816" spans="1:4" x14ac:dyDescent="0.3">
      <c r="A816">
        <v>43</v>
      </c>
      <c r="B816">
        <v>0</v>
      </c>
      <c r="C816">
        <v>0</v>
      </c>
      <c r="D816">
        <v>6.45</v>
      </c>
    </row>
    <row r="817" spans="1:4" x14ac:dyDescent="0.3">
      <c r="A817">
        <v>10</v>
      </c>
      <c r="B817">
        <v>3</v>
      </c>
      <c r="C817">
        <v>2</v>
      </c>
      <c r="D817">
        <v>27.9</v>
      </c>
    </row>
    <row r="818" spans="1:4" x14ac:dyDescent="0.3">
      <c r="A818">
        <v>52</v>
      </c>
      <c r="B818">
        <v>1</v>
      </c>
      <c r="C818">
        <v>1</v>
      </c>
      <c r="D818">
        <v>93.5</v>
      </c>
    </row>
    <row r="819" spans="1:4" x14ac:dyDescent="0.3">
      <c r="A819">
        <v>27</v>
      </c>
      <c r="B819">
        <v>0</v>
      </c>
      <c r="C819">
        <v>0</v>
      </c>
      <c r="D819">
        <v>8.6624999999999996</v>
      </c>
    </row>
    <row r="820" spans="1:4" x14ac:dyDescent="0.3">
      <c r="A820">
        <v>38</v>
      </c>
      <c r="B820">
        <v>0</v>
      </c>
      <c r="C820">
        <v>0</v>
      </c>
      <c r="D820">
        <v>0</v>
      </c>
    </row>
    <row r="821" spans="1:4" x14ac:dyDescent="0.3">
      <c r="A821">
        <v>27</v>
      </c>
      <c r="B821">
        <v>0</v>
      </c>
      <c r="C821">
        <v>1</v>
      </c>
      <c r="D821">
        <v>12.475</v>
      </c>
    </row>
    <row r="822" spans="1:4" x14ac:dyDescent="0.3">
      <c r="A822">
        <v>2</v>
      </c>
      <c r="B822">
        <v>4</v>
      </c>
      <c r="C822">
        <v>1</v>
      </c>
      <c r="D822">
        <v>39.6875</v>
      </c>
    </row>
    <row r="823" spans="1:4" x14ac:dyDescent="0.3">
      <c r="A823">
        <v>36</v>
      </c>
      <c r="B823">
        <v>0</v>
      </c>
      <c r="C823">
        <v>0</v>
      </c>
      <c r="D823">
        <v>6.95</v>
      </c>
    </row>
    <row r="824" spans="1:4" x14ac:dyDescent="0.3">
      <c r="A824">
        <v>23</v>
      </c>
      <c r="B824">
        <v>0</v>
      </c>
      <c r="C824">
        <v>0</v>
      </c>
      <c r="D824">
        <v>56.495800000000003</v>
      </c>
    </row>
    <row r="825" spans="1:4" x14ac:dyDescent="0.3">
      <c r="A825">
        <v>1</v>
      </c>
      <c r="B825">
        <v>0</v>
      </c>
      <c r="C825">
        <v>2</v>
      </c>
      <c r="D825">
        <v>37.004199999999997</v>
      </c>
    </row>
    <row r="826" spans="1:4" x14ac:dyDescent="0.3">
      <c r="A826">
        <v>19</v>
      </c>
      <c r="B826">
        <v>0</v>
      </c>
      <c r="C826">
        <v>0</v>
      </c>
      <c r="D826">
        <v>7.75</v>
      </c>
    </row>
    <row r="827" spans="1:4" x14ac:dyDescent="0.3">
      <c r="A827">
        <v>62</v>
      </c>
      <c r="B827">
        <v>0</v>
      </c>
      <c r="C827">
        <v>0</v>
      </c>
      <c r="D827">
        <v>80</v>
      </c>
    </row>
    <row r="828" spans="1:4" x14ac:dyDescent="0.3">
      <c r="A828">
        <v>15</v>
      </c>
      <c r="B828">
        <v>1</v>
      </c>
      <c r="C828">
        <v>0</v>
      </c>
      <c r="D828">
        <v>14.4542</v>
      </c>
    </row>
    <row r="829" spans="1:4" x14ac:dyDescent="0.3">
      <c r="A829">
        <v>0.83</v>
      </c>
      <c r="B829">
        <v>1</v>
      </c>
      <c r="C829">
        <v>1</v>
      </c>
      <c r="D829">
        <v>18.75</v>
      </c>
    </row>
    <row r="830" spans="1:4" x14ac:dyDescent="0.3">
      <c r="A830">
        <v>30</v>
      </c>
      <c r="B830">
        <v>0</v>
      </c>
      <c r="C830">
        <v>0</v>
      </c>
      <c r="D830">
        <v>7.2291999999999996</v>
      </c>
    </row>
    <row r="831" spans="1:4" x14ac:dyDescent="0.3">
      <c r="A831">
        <v>23</v>
      </c>
      <c r="B831">
        <v>0</v>
      </c>
      <c r="C831">
        <v>0</v>
      </c>
      <c r="D831">
        <v>7.8541999999999996</v>
      </c>
    </row>
    <row r="832" spans="1:4" x14ac:dyDescent="0.3">
      <c r="A832">
        <v>18</v>
      </c>
      <c r="B832">
        <v>0</v>
      </c>
      <c r="C832">
        <v>0</v>
      </c>
      <c r="D832">
        <v>8.3000000000000007</v>
      </c>
    </row>
    <row r="833" spans="1:4" x14ac:dyDescent="0.3">
      <c r="A833">
        <v>39</v>
      </c>
      <c r="B833">
        <v>1</v>
      </c>
      <c r="C833">
        <v>1</v>
      </c>
      <c r="D833">
        <v>83.158299999999997</v>
      </c>
    </row>
    <row r="834" spans="1:4" x14ac:dyDescent="0.3">
      <c r="A834">
        <v>21</v>
      </c>
      <c r="B834">
        <v>0</v>
      </c>
      <c r="C834">
        <v>0</v>
      </c>
      <c r="D834">
        <v>8.6624999999999996</v>
      </c>
    </row>
    <row r="835" spans="1:4" x14ac:dyDescent="0.3">
      <c r="A835">
        <v>20</v>
      </c>
      <c r="B835">
        <v>0</v>
      </c>
      <c r="C835">
        <v>0</v>
      </c>
      <c r="D835">
        <v>8.0500000000000007</v>
      </c>
    </row>
    <row r="836" spans="1:4" x14ac:dyDescent="0.3">
      <c r="A836">
        <v>32</v>
      </c>
      <c r="B836">
        <v>0</v>
      </c>
      <c r="C836">
        <v>0</v>
      </c>
      <c r="D836">
        <v>56.495800000000003</v>
      </c>
    </row>
    <row r="837" spans="1:4" x14ac:dyDescent="0.3">
      <c r="A837">
        <v>29</v>
      </c>
      <c r="B837">
        <v>0</v>
      </c>
      <c r="C837">
        <v>0</v>
      </c>
      <c r="D837">
        <v>29.7</v>
      </c>
    </row>
    <row r="838" spans="1:4" x14ac:dyDescent="0.3">
      <c r="A838">
        <v>20</v>
      </c>
      <c r="B838">
        <v>0</v>
      </c>
      <c r="C838">
        <v>0</v>
      </c>
      <c r="D838">
        <v>7.9249999999999998</v>
      </c>
    </row>
    <row r="839" spans="1:4" x14ac:dyDescent="0.3">
      <c r="A839">
        <v>16</v>
      </c>
      <c r="B839">
        <v>0</v>
      </c>
      <c r="C839">
        <v>0</v>
      </c>
      <c r="D839">
        <v>10.5</v>
      </c>
    </row>
    <row r="840" spans="1:4" x14ac:dyDescent="0.3">
      <c r="A840">
        <v>30</v>
      </c>
      <c r="B840">
        <v>0</v>
      </c>
      <c r="C840">
        <v>0</v>
      </c>
      <c r="D840">
        <v>31</v>
      </c>
    </row>
    <row r="841" spans="1:4" x14ac:dyDescent="0.3">
      <c r="A841">
        <v>34.5</v>
      </c>
      <c r="B841">
        <v>0</v>
      </c>
      <c r="C841">
        <v>0</v>
      </c>
      <c r="D841">
        <v>6.4375</v>
      </c>
    </row>
    <row r="842" spans="1:4" x14ac:dyDescent="0.3">
      <c r="A842">
        <v>17</v>
      </c>
      <c r="B842">
        <v>0</v>
      </c>
      <c r="C842">
        <v>0</v>
      </c>
      <c r="D842">
        <v>8.6624999999999996</v>
      </c>
    </row>
    <row r="843" spans="1:4" x14ac:dyDescent="0.3">
      <c r="A843">
        <v>42</v>
      </c>
      <c r="B843">
        <v>0</v>
      </c>
      <c r="C843">
        <v>0</v>
      </c>
      <c r="D843">
        <v>7.55</v>
      </c>
    </row>
    <row r="844" spans="1:4" x14ac:dyDescent="0.3">
      <c r="A844">
        <v>18</v>
      </c>
      <c r="B844">
        <v>8</v>
      </c>
      <c r="C844">
        <v>2</v>
      </c>
      <c r="D844">
        <v>69.55</v>
      </c>
    </row>
    <row r="845" spans="1:4" x14ac:dyDescent="0.3">
      <c r="A845">
        <v>35</v>
      </c>
      <c r="B845">
        <v>0</v>
      </c>
      <c r="C845">
        <v>0</v>
      </c>
      <c r="D845">
        <v>7.8958000000000004</v>
      </c>
    </row>
    <row r="846" spans="1:4" x14ac:dyDescent="0.3">
      <c r="A846">
        <v>28</v>
      </c>
      <c r="B846">
        <v>0</v>
      </c>
      <c r="C846">
        <v>1</v>
      </c>
      <c r="D846">
        <v>33</v>
      </c>
    </row>
    <row r="847" spans="1:4" x14ac:dyDescent="0.3">
      <c r="A847">
        <v>40</v>
      </c>
      <c r="B847">
        <v>1</v>
      </c>
      <c r="C847">
        <v>0</v>
      </c>
      <c r="D847">
        <v>89.104200000000006</v>
      </c>
    </row>
    <row r="848" spans="1:4" x14ac:dyDescent="0.3">
      <c r="A848">
        <v>4</v>
      </c>
      <c r="B848">
        <v>4</v>
      </c>
      <c r="C848">
        <v>2</v>
      </c>
      <c r="D848">
        <v>31.274999999999999</v>
      </c>
    </row>
    <row r="849" spans="1:4" x14ac:dyDescent="0.3">
      <c r="A849">
        <v>74</v>
      </c>
      <c r="B849">
        <v>0</v>
      </c>
      <c r="C849">
        <v>0</v>
      </c>
      <c r="D849">
        <v>7.7750000000000004</v>
      </c>
    </row>
    <row r="850" spans="1:4" x14ac:dyDescent="0.3">
      <c r="A850">
        <v>9</v>
      </c>
      <c r="B850">
        <v>1</v>
      </c>
      <c r="C850">
        <v>1</v>
      </c>
      <c r="D850">
        <v>15.245799999999999</v>
      </c>
    </row>
    <row r="851" spans="1:4" x14ac:dyDescent="0.3">
      <c r="A851">
        <v>16</v>
      </c>
      <c r="B851">
        <v>0</v>
      </c>
      <c r="C851">
        <v>1</v>
      </c>
      <c r="D851">
        <v>39.4</v>
      </c>
    </row>
    <row r="852" spans="1:4" x14ac:dyDescent="0.3">
      <c r="A852">
        <v>44</v>
      </c>
      <c r="B852">
        <v>1</v>
      </c>
      <c r="C852">
        <v>0</v>
      </c>
      <c r="D852">
        <v>26</v>
      </c>
    </row>
    <row r="853" spans="1:4" x14ac:dyDescent="0.3">
      <c r="A853">
        <v>18</v>
      </c>
      <c r="B853">
        <v>0</v>
      </c>
      <c r="C853">
        <v>1</v>
      </c>
      <c r="D853">
        <v>9.35</v>
      </c>
    </row>
    <row r="854" spans="1:4" x14ac:dyDescent="0.3">
      <c r="A854">
        <v>45</v>
      </c>
      <c r="B854">
        <v>1</v>
      </c>
      <c r="C854">
        <v>1</v>
      </c>
      <c r="D854">
        <v>164.86670000000001</v>
      </c>
    </row>
    <row r="855" spans="1:4" x14ac:dyDescent="0.3">
      <c r="A855">
        <v>51</v>
      </c>
      <c r="B855">
        <v>0</v>
      </c>
      <c r="C855">
        <v>0</v>
      </c>
      <c r="D855">
        <v>26.55</v>
      </c>
    </row>
    <row r="856" spans="1:4" x14ac:dyDescent="0.3">
      <c r="A856">
        <v>24</v>
      </c>
      <c r="B856">
        <v>0</v>
      </c>
      <c r="C856">
        <v>3</v>
      </c>
      <c r="D856">
        <v>19.258299999999998</v>
      </c>
    </row>
    <row r="857" spans="1:4" x14ac:dyDescent="0.3">
      <c r="A857">
        <v>30</v>
      </c>
      <c r="B857">
        <v>0</v>
      </c>
      <c r="C857">
        <v>0</v>
      </c>
      <c r="D857">
        <v>7.2291999999999996</v>
      </c>
    </row>
    <row r="858" spans="1:4" x14ac:dyDescent="0.3">
      <c r="A858">
        <v>41</v>
      </c>
      <c r="B858">
        <v>2</v>
      </c>
      <c r="C858">
        <v>0</v>
      </c>
      <c r="D858">
        <v>14.1083</v>
      </c>
    </row>
    <row r="859" spans="1:4" x14ac:dyDescent="0.3">
      <c r="A859">
        <v>21</v>
      </c>
      <c r="B859">
        <v>1</v>
      </c>
      <c r="C859">
        <v>0</v>
      </c>
      <c r="D859">
        <v>11.5</v>
      </c>
    </row>
    <row r="860" spans="1:4" x14ac:dyDescent="0.3">
      <c r="A860">
        <v>48</v>
      </c>
      <c r="B860">
        <v>0</v>
      </c>
      <c r="C860">
        <v>0</v>
      </c>
      <c r="D860">
        <v>25.929200000000002</v>
      </c>
    </row>
    <row r="861" spans="1:4" x14ac:dyDescent="0.3">
      <c r="A861">
        <v>14</v>
      </c>
      <c r="B861">
        <v>8</v>
      </c>
      <c r="C861">
        <v>2</v>
      </c>
      <c r="D861">
        <v>69.55</v>
      </c>
    </row>
    <row r="862" spans="1:4" x14ac:dyDescent="0.3">
      <c r="A862">
        <v>24</v>
      </c>
      <c r="B862">
        <v>0</v>
      </c>
      <c r="C862">
        <v>0</v>
      </c>
      <c r="D862">
        <v>13</v>
      </c>
    </row>
    <row r="863" spans="1:4" x14ac:dyDescent="0.3">
      <c r="A863">
        <v>42</v>
      </c>
      <c r="B863">
        <v>0</v>
      </c>
      <c r="C863">
        <v>0</v>
      </c>
      <c r="D863">
        <v>13</v>
      </c>
    </row>
    <row r="864" spans="1:4" x14ac:dyDescent="0.3">
      <c r="A864">
        <v>27</v>
      </c>
      <c r="B864">
        <v>1</v>
      </c>
      <c r="C864">
        <v>0</v>
      </c>
      <c r="D864">
        <v>13.8583</v>
      </c>
    </row>
    <row r="865" spans="1:4" x14ac:dyDescent="0.3">
      <c r="A865">
        <v>31</v>
      </c>
      <c r="B865">
        <v>0</v>
      </c>
      <c r="C865">
        <v>0</v>
      </c>
      <c r="D865">
        <v>50.495800000000003</v>
      </c>
    </row>
    <row r="866" spans="1:4" x14ac:dyDescent="0.3">
      <c r="A866">
        <v>23</v>
      </c>
      <c r="B866">
        <v>0</v>
      </c>
      <c r="C866">
        <v>0</v>
      </c>
      <c r="D866">
        <v>9.5</v>
      </c>
    </row>
    <row r="867" spans="1:4" x14ac:dyDescent="0.3">
      <c r="A867">
        <v>4</v>
      </c>
      <c r="B867">
        <v>1</v>
      </c>
      <c r="C867">
        <v>1</v>
      </c>
      <c r="D867">
        <v>11.1333</v>
      </c>
    </row>
    <row r="868" spans="1:4" x14ac:dyDescent="0.3">
      <c r="A868">
        <v>26</v>
      </c>
      <c r="B868">
        <v>0</v>
      </c>
      <c r="C868">
        <v>0</v>
      </c>
      <c r="D868">
        <v>7.8958000000000004</v>
      </c>
    </row>
    <row r="869" spans="1:4" x14ac:dyDescent="0.3">
      <c r="A869">
        <v>47</v>
      </c>
      <c r="B869">
        <v>1</v>
      </c>
      <c r="C869">
        <v>1</v>
      </c>
      <c r="D869">
        <v>52.554200000000002</v>
      </c>
    </row>
    <row r="870" spans="1:4" x14ac:dyDescent="0.3">
      <c r="A870">
        <v>33</v>
      </c>
      <c r="B870">
        <v>0</v>
      </c>
      <c r="C870">
        <v>0</v>
      </c>
      <c r="D870">
        <v>5</v>
      </c>
    </row>
    <row r="871" spans="1:4" x14ac:dyDescent="0.3">
      <c r="A871">
        <v>47</v>
      </c>
      <c r="B871">
        <v>0</v>
      </c>
      <c r="C871">
        <v>0</v>
      </c>
      <c r="D871">
        <v>9</v>
      </c>
    </row>
    <row r="872" spans="1:4" x14ac:dyDescent="0.3">
      <c r="A872">
        <v>28</v>
      </c>
      <c r="B872">
        <v>1</v>
      </c>
      <c r="C872">
        <v>0</v>
      </c>
      <c r="D872">
        <v>24</v>
      </c>
    </row>
    <row r="873" spans="1:4" x14ac:dyDescent="0.3">
      <c r="A873">
        <v>15</v>
      </c>
      <c r="B873">
        <v>0</v>
      </c>
      <c r="C873">
        <v>0</v>
      </c>
      <c r="D873">
        <v>7.2249999999999996</v>
      </c>
    </row>
    <row r="874" spans="1:4" x14ac:dyDescent="0.3">
      <c r="A874">
        <v>20</v>
      </c>
      <c r="B874">
        <v>0</v>
      </c>
      <c r="C874">
        <v>0</v>
      </c>
      <c r="D874">
        <v>9.8458000000000006</v>
      </c>
    </row>
    <row r="875" spans="1:4" x14ac:dyDescent="0.3">
      <c r="A875">
        <v>19</v>
      </c>
      <c r="B875">
        <v>0</v>
      </c>
      <c r="C875">
        <v>0</v>
      </c>
      <c r="D875">
        <v>7.8958000000000004</v>
      </c>
    </row>
    <row r="876" spans="1:4" x14ac:dyDescent="0.3">
      <c r="A876">
        <v>23</v>
      </c>
      <c r="B876">
        <v>0</v>
      </c>
      <c r="C876">
        <v>0</v>
      </c>
      <c r="D876">
        <v>7.8958000000000004</v>
      </c>
    </row>
    <row r="877" spans="1:4" x14ac:dyDescent="0.3">
      <c r="A877">
        <v>56</v>
      </c>
      <c r="B877">
        <v>0</v>
      </c>
      <c r="C877">
        <v>1</v>
      </c>
      <c r="D877">
        <v>83.158299999999997</v>
      </c>
    </row>
    <row r="878" spans="1:4" x14ac:dyDescent="0.3">
      <c r="A878">
        <v>25</v>
      </c>
      <c r="B878">
        <v>0</v>
      </c>
      <c r="C878">
        <v>1</v>
      </c>
      <c r="D878">
        <v>26</v>
      </c>
    </row>
    <row r="879" spans="1:4" x14ac:dyDescent="0.3">
      <c r="A879">
        <v>33</v>
      </c>
      <c r="B879">
        <v>0</v>
      </c>
      <c r="C879">
        <v>0</v>
      </c>
      <c r="D879">
        <v>7.8958000000000004</v>
      </c>
    </row>
    <row r="880" spans="1:4" x14ac:dyDescent="0.3">
      <c r="A880">
        <v>22</v>
      </c>
      <c r="B880">
        <v>0</v>
      </c>
      <c r="C880">
        <v>0</v>
      </c>
      <c r="D880">
        <v>10.5167</v>
      </c>
    </row>
    <row r="881" spans="1:4" x14ac:dyDescent="0.3">
      <c r="A881">
        <v>28</v>
      </c>
      <c r="B881">
        <v>0</v>
      </c>
      <c r="C881">
        <v>0</v>
      </c>
      <c r="D881">
        <v>10.5</v>
      </c>
    </row>
    <row r="882" spans="1:4" x14ac:dyDescent="0.3">
      <c r="A882">
        <v>25</v>
      </c>
      <c r="B882">
        <v>0</v>
      </c>
      <c r="C882">
        <v>0</v>
      </c>
      <c r="D882">
        <v>7.05</v>
      </c>
    </row>
    <row r="883" spans="1:4" x14ac:dyDescent="0.3">
      <c r="A883">
        <v>39</v>
      </c>
      <c r="B883">
        <v>0</v>
      </c>
      <c r="C883">
        <v>5</v>
      </c>
      <c r="D883">
        <v>29.125</v>
      </c>
    </row>
    <row r="884" spans="1:4" x14ac:dyDescent="0.3">
      <c r="A884">
        <v>27</v>
      </c>
      <c r="B884">
        <v>0</v>
      </c>
      <c r="C884">
        <v>0</v>
      </c>
      <c r="D884">
        <v>13</v>
      </c>
    </row>
    <row r="885" spans="1:4" x14ac:dyDescent="0.3">
      <c r="A885">
        <v>19</v>
      </c>
      <c r="B885">
        <v>0</v>
      </c>
      <c r="C885">
        <v>0</v>
      </c>
      <c r="D885">
        <v>30</v>
      </c>
    </row>
    <row r="886" spans="1:4" x14ac:dyDescent="0.3">
      <c r="A886">
        <v>7</v>
      </c>
      <c r="B886">
        <v>1</v>
      </c>
      <c r="C886">
        <v>2</v>
      </c>
      <c r="D886">
        <v>23.45</v>
      </c>
    </row>
    <row r="887" spans="1:4" x14ac:dyDescent="0.3">
      <c r="A887">
        <v>26</v>
      </c>
      <c r="B887">
        <v>0</v>
      </c>
      <c r="C887">
        <v>0</v>
      </c>
      <c r="D887">
        <v>30</v>
      </c>
    </row>
    <row r="888" spans="1:4" x14ac:dyDescent="0.3">
      <c r="A888">
        <v>32</v>
      </c>
      <c r="B888">
        <v>0</v>
      </c>
      <c r="C888">
        <v>0</v>
      </c>
      <c r="D888">
        <v>7.75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0C6539-8D44-4D8E-AD1C-C393F4175E58}">
  <dimension ref="A1:K8"/>
  <sheetViews>
    <sheetView workbookViewId="0">
      <selection activeCell="D2" sqref="D2"/>
    </sheetView>
  </sheetViews>
  <sheetFormatPr defaultRowHeight="14.4" x14ac:dyDescent="0.3"/>
  <cols>
    <col min="2" max="2" width="42.44140625" customWidth="1"/>
    <col min="6" max="6" width="43.88671875" customWidth="1"/>
    <col min="9" max="9" width="20.5546875" customWidth="1"/>
  </cols>
  <sheetData>
    <row r="1" spans="1:11" x14ac:dyDescent="0.3">
      <c r="A1" t="s">
        <v>901</v>
      </c>
      <c r="B1" t="str">
        <f>titanic!C9</f>
        <v>Master. Gosta Leonard Palsson</v>
      </c>
      <c r="C1" t="s">
        <v>902</v>
      </c>
      <c r="D1">
        <f>_xlfn.XLOOKUP(B1, Titanic[Name], Titanic[Age])</f>
        <v>2</v>
      </c>
    </row>
    <row r="2" spans="1:11" x14ac:dyDescent="0.3">
      <c r="A2" t="s">
        <v>901</v>
      </c>
      <c r="B2" t="s">
        <v>903</v>
      </c>
      <c r="C2" t="s">
        <v>902</v>
      </c>
      <c r="D2">
        <f>_xlfn.XLOOKUP("*"&amp;B2&amp;"*", Titanic[Name], Titanic[Age],"no match", 2)</f>
        <v>2</v>
      </c>
    </row>
    <row r="4" spans="1:11" x14ac:dyDescent="0.3">
      <c r="H4" t="s">
        <v>4</v>
      </c>
      <c r="I4" t="s">
        <v>905</v>
      </c>
      <c r="J4" t="s">
        <v>904</v>
      </c>
    </row>
    <row r="5" spans="1:11" x14ac:dyDescent="0.3">
      <c r="A5" t="s">
        <v>901</v>
      </c>
      <c r="B5" t="s">
        <v>903</v>
      </c>
      <c r="C5" t="s">
        <v>902</v>
      </c>
      <c r="D5" cm="1">
        <f t="array" ref="D5:K8">_xlfn._xlws.FILTER(Titanic[], ISNUMBER(SEARCH(B5, Titanic[Name])), "no results")</f>
        <v>0</v>
      </c>
      <c r="E5">
        <v>3</v>
      </c>
      <c r="F5" t="str">
        <v>Master. Gosta Leonard Palsson</v>
      </c>
      <c r="G5" t="str">
        <v>male</v>
      </c>
      <c r="H5">
        <v>2</v>
      </c>
      <c r="I5">
        <v>3</v>
      </c>
      <c r="J5">
        <v>1</v>
      </c>
      <c r="K5">
        <v>21.074999999999999</v>
      </c>
    </row>
    <row r="6" spans="1:11" x14ac:dyDescent="0.3">
      <c r="D6">
        <v>0</v>
      </c>
      <c r="E6">
        <v>3</v>
      </c>
      <c r="F6" t="str">
        <v>Miss. Torborg Danira Palsson</v>
      </c>
      <c r="G6" t="str">
        <v>female</v>
      </c>
      <c r="H6">
        <v>8</v>
      </c>
      <c r="I6">
        <v>3</v>
      </c>
      <c r="J6">
        <v>1</v>
      </c>
      <c r="K6">
        <v>21.074999999999999</v>
      </c>
    </row>
    <row r="7" spans="1:11" x14ac:dyDescent="0.3">
      <c r="D7">
        <v>0</v>
      </c>
      <c r="E7">
        <v>3</v>
      </c>
      <c r="F7" t="str">
        <v>Miss. Stina Viola Palsson</v>
      </c>
      <c r="G7" t="str">
        <v>female</v>
      </c>
      <c r="H7">
        <v>3</v>
      </c>
      <c r="I7">
        <v>3</v>
      </c>
      <c r="J7">
        <v>1</v>
      </c>
      <c r="K7">
        <v>21.074999999999999</v>
      </c>
    </row>
    <row r="8" spans="1:11" x14ac:dyDescent="0.3">
      <c r="D8">
        <v>0</v>
      </c>
      <c r="E8">
        <v>3</v>
      </c>
      <c r="F8" t="str">
        <v>Mrs. Nils (Alma Cornelia Berglund) Palsson</v>
      </c>
      <c r="G8" t="str">
        <v>female</v>
      </c>
      <c r="H8">
        <v>29</v>
      </c>
      <c r="I8">
        <v>0</v>
      </c>
      <c r="J8">
        <v>4</v>
      </c>
      <c r="K8">
        <v>21.074999999999999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"/>
  <sheetViews>
    <sheetView workbookViewId="0">
      <selection activeCell="C3" sqref="C3"/>
    </sheetView>
  </sheetViews>
  <sheetFormatPr defaultRowHeight="14.4" x14ac:dyDescent="0.3"/>
  <cols>
    <col min="1" max="1" width="12.5546875" bestFit="1" customWidth="1"/>
    <col min="2" max="2" width="15.5546875" bestFit="1" customWidth="1"/>
    <col min="3" max="3" width="3" bestFit="1" customWidth="1"/>
    <col min="4" max="4" width="4" bestFit="1" customWidth="1"/>
    <col min="5" max="5" width="10.77734375" bestFit="1" customWidth="1"/>
  </cols>
  <sheetData>
    <row r="1" spans="1:5" x14ac:dyDescent="0.3">
      <c r="A1" s="1" t="s">
        <v>3</v>
      </c>
      <c r="B1" t="s">
        <v>11</v>
      </c>
    </row>
    <row r="3" spans="1:5" x14ac:dyDescent="0.3">
      <c r="A3" s="1" t="s">
        <v>900</v>
      </c>
      <c r="B3" s="1" t="s">
        <v>899</v>
      </c>
    </row>
    <row r="4" spans="1:5" x14ac:dyDescent="0.3">
      <c r="A4" s="1" t="s">
        <v>897</v>
      </c>
      <c r="B4">
        <v>1</v>
      </c>
      <c r="C4">
        <v>2</v>
      </c>
      <c r="D4">
        <v>3</v>
      </c>
      <c r="E4" t="s">
        <v>898</v>
      </c>
    </row>
    <row r="5" spans="1:5" x14ac:dyDescent="0.3">
      <c r="A5" s="2">
        <v>0</v>
      </c>
      <c r="B5" s="12">
        <v>3</v>
      </c>
      <c r="C5" s="12">
        <v>6</v>
      </c>
      <c r="D5" s="12">
        <v>72</v>
      </c>
      <c r="E5" s="12">
        <v>81</v>
      </c>
    </row>
    <row r="6" spans="1:5" x14ac:dyDescent="0.3">
      <c r="A6" s="2">
        <v>1</v>
      </c>
      <c r="B6" s="12">
        <v>91</v>
      </c>
      <c r="C6" s="12">
        <v>70</v>
      </c>
      <c r="D6" s="12">
        <v>72</v>
      </c>
      <c r="E6" s="12">
        <v>233</v>
      </c>
    </row>
    <row r="7" spans="1:5" x14ac:dyDescent="0.3">
      <c r="A7" s="2" t="s">
        <v>898</v>
      </c>
      <c r="B7" s="12">
        <v>94</v>
      </c>
      <c r="C7" s="12">
        <v>76</v>
      </c>
      <c r="D7" s="12">
        <v>144</v>
      </c>
      <c r="E7" s="12">
        <v>314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93EFF6-149A-48E0-83B7-01722B7D4062}">
  <dimension ref="A1:L881"/>
  <sheetViews>
    <sheetView workbookViewId="0">
      <selection activeCell="L11" sqref="L11"/>
    </sheetView>
  </sheetViews>
  <sheetFormatPr defaultRowHeight="14.4" x14ac:dyDescent="0.3"/>
  <cols>
    <col min="1" max="1" width="49.44140625" customWidth="1"/>
    <col min="2" max="2" width="22.6640625" customWidth="1"/>
  </cols>
  <sheetData>
    <row r="1" spans="1:12" x14ac:dyDescent="0.3">
      <c r="A1" t="s">
        <v>906</v>
      </c>
      <c r="B1" t="s">
        <v>907</v>
      </c>
    </row>
    <row r="2" spans="1:12" x14ac:dyDescent="0.3">
      <c r="A2" t="str">
        <f>titanic!C2</f>
        <v>Mr. Owen Harris Braund</v>
      </c>
      <c r="B2">
        <f>titanic!E2</f>
        <v>22</v>
      </c>
      <c r="E2" t="s">
        <v>922</v>
      </c>
      <c r="F2" s="13">
        <f>AVERAGE(Titanic[Age])</f>
        <v>29.471443066516347</v>
      </c>
    </row>
    <row r="3" spans="1:12" x14ac:dyDescent="0.3">
      <c r="A3" t="str">
        <f>titanic!C3</f>
        <v>Mrs. John Bradley (Florence Briggs Thayer) Cumings</v>
      </c>
      <c r="B3">
        <f>titanic!E3</f>
        <v>38</v>
      </c>
      <c r="E3" t="s">
        <v>923</v>
      </c>
      <c r="F3" s="13">
        <f>MEDIAN(Titanic[Age])</f>
        <v>28</v>
      </c>
    </row>
    <row r="4" spans="1:12" x14ac:dyDescent="0.3">
      <c r="A4" t="str">
        <f>titanic!C4</f>
        <v>Miss. Laina Heikkinen</v>
      </c>
      <c r="B4">
        <f>titanic!E4</f>
        <v>26</v>
      </c>
      <c r="E4" t="s">
        <v>924</v>
      </c>
      <c r="F4" s="13">
        <f>MODE(Titanic[Age])</f>
        <v>22</v>
      </c>
    </row>
    <row r="5" spans="1:12" x14ac:dyDescent="0.3">
      <c r="A5" t="str">
        <f>titanic!C5</f>
        <v>Mrs. Jacques Heath (Lily May Peel) Futrelle</v>
      </c>
      <c r="B5">
        <f>titanic!E5</f>
        <v>35</v>
      </c>
      <c r="E5" t="s">
        <v>925</v>
      </c>
      <c r="F5" s="13">
        <f>_xlfn.STDEV.P(Titanic[Age])</f>
        <v>14.113945671023178</v>
      </c>
    </row>
    <row r="6" spans="1:12" x14ac:dyDescent="0.3">
      <c r="A6" t="str">
        <f>titanic!C6</f>
        <v>Mr. William Henry Allen</v>
      </c>
      <c r="B6">
        <f>titanic!E6</f>
        <v>35</v>
      </c>
      <c r="E6" t="s">
        <v>926</v>
      </c>
      <c r="F6" s="13">
        <f>MIN(Titanic[Age])</f>
        <v>0.42</v>
      </c>
    </row>
    <row r="7" spans="1:12" x14ac:dyDescent="0.3">
      <c r="A7" t="str">
        <f>titanic!C7</f>
        <v>Mr. James Moran</v>
      </c>
      <c r="B7">
        <f>titanic!E7</f>
        <v>27</v>
      </c>
      <c r="E7" t="s">
        <v>927</v>
      </c>
      <c r="F7" s="13">
        <f>MAX(Titanic[Age])</f>
        <v>80</v>
      </c>
    </row>
    <row r="8" spans="1:12" x14ac:dyDescent="0.3">
      <c r="A8" t="str">
        <f>titanic!C8</f>
        <v>Mr. Timothy J McCarthy</v>
      </c>
      <c r="B8">
        <f>titanic!E8</f>
        <v>54</v>
      </c>
      <c r="E8" t="s">
        <v>928</v>
      </c>
      <c r="F8" s="13">
        <f>F7-F6</f>
        <v>79.58</v>
      </c>
    </row>
    <row r="9" spans="1:12" x14ac:dyDescent="0.3">
      <c r="A9" t="str">
        <f>titanic!C9</f>
        <v>Master. Gosta Leonard Palsson</v>
      </c>
      <c r="B9">
        <f>titanic!E9</f>
        <v>2</v>
      </c>
      <c r="E9" t="s">
        <v>929</v>
      </c>
      <c r="F9" s="13">
        <f>F8/20</f>
        <v>3.9790000000000001</v>
      </c>
    </row>
    <row r="10" spans="1:12" x14ac:dyDescent="0.3">
      <c r="A10" t="str">
        <f>titanic!C10</f>
        <v>Mrs. Oscar W (Elisabeth Vilhelmina Berg) Johnson</v>
      </c>
      <c r="B10">
        <f>titanic!E10</f>
        <v>27</v>
      </c>
      <c r="E10" t="s">
        <v>930</v>
      </c>
      <c r="F10" s="13">
        <f>COUNT(Titanic[Age])</f>
        <v>887</v>
      </c>
    </row>
    <row r="11" spans="1:12" x14ac:dyDescent="0.3">
      <c r="A11" t="str">
        <f>titanic!C11</f>
        <v>Mrs. Nicholas (Adele Achem) Nasser</v>
      </c>
      <c r="B11">
        <f>titanic!E11</f>
        <v>14</v>
      </c>
      <c r="L11" t="s">
        <v>937</v>
      </c>
    </row>
    <row r="12" spans="1:12" x14ac:dyDescent="0.3">
      <c r="A12" t="str">
        <f>titanic!C12</f>
        <v>Miss. Marguerite Rut Sandstrom</v>
      </c>
      <c r="B12">
        <f>titanic!E12</f>
        <v>4</v>
      </c>
      <c r="E12" t="s">
        <v>936</v>
      </c>
      <c r="F12" t="s">
        <v>935</v>
      </c>
      <c r="G12" t="s">
        <v>931</v>
      </c>
      <c r="H12" t="s">
        <v>933</v>
      </c>
      <c r="L12" t="s">
        <v>932</v>
      </c>
    </row>
    <row r="13" spans="1:12" x14ac:dyDescent="0.3">
      <c r="A13" t="str">
        <f>titanic!C13</f>
        <v>Miss. Elizabeth Bonnell</v>
      </c>
      <c r="B13">
        <f>titanic!E13</f>
        <v>58</v>
      </c>
      <c r="E13">
        <f>F6</f>
        <v>0.42</v>
      </c>
      <c r="F13" t="str">
        <f>(ROUND(E13,1)&amp;"")</f>
        <v>0.4</v>
      </c>
      <c r="G13">
        <f t="array" ref="G13:G33">FREQUENCY(B2:B881, E13:E33)</f>
        <v>1</v>
      </c>
      <c r="H13">
        <v>0</v>
      </c>
      <c r="I13">
        <v>0</v>
      </c>
      <c r="J13">
        <f>_xlfn.NORM.DIST(I13,$F$2,$F$5,FALSE)+G13</f>
        <v>1.0031949001749276</v>
      </c>
      <c r="L13" t="s">
        <v>934</v>
      </c>
    </row>
    <row r="14" spans="1:12" x14ac:dyDescent="0.3">
      <c r="A14" t="str">
        <f>titanic!C14</f>
        <v>Mr. William Henry Saundercock</v>
      </c>
      <c r="B14">
        <f>titanic!E14</f>
        <v>20</v>
      </c>
      <c r="E14">
        <f>E13+$F$9</f>
        <v>4.399</v>
      </c>
      <c r="F14" t="str">
        <f t="shared" ref="F14:F33" si="0">(ROUND(E14,1)&amp;"")</f>
        <v>4.4</v>
      </c>
      <c r="G14">
        <v>42</v>
      </c>
      <c r="H14">
        <v>1</v>
      </c>
      <c r="I14" s="11">
        <f>I13+$F$9</f>
        <v>3.9790000000000001</v>
      </c>
      <c r="J14">
        <f t="shared" ref="J14:J33" si="1">_xlfn.NORM.DIST(I14,$F$2,$F$5,FALSE)+G14</f>
        <v>42.005531700956396</v>
      </c>
    </row>
    <row r="15" spans="1:12" x14ac:dyDescent="0.3">
      <c r="A15" t="str">
        <f>titanic!C15</f>
        <v>Mr. Anders Johan Andersson</v>
      </c>
      <c r="B15">
        <f>titanic!E15</f>
        <v>39</v>
      </c>
      <c r="E15">
        <f t="shared" ref="E15:E33" si="2">E14+$F$9</f>
        <v>8.3780000000000001</v>
      </c>
      <c r="F15" t="str">
        <f t="shared" si="0"/>
        <v>8.4</v>
      </c>
      <c r="G15">
        <v>19</v>
      </c>
      <c r="H15">
        <v>2</v>
      </c>
      <c r="I15" s="11">
        <f t="shared" ref="I15:I33" si="3">I14+$F$9</f>
        <v>7.9580000000000002</v>
      </c>
      <c r="J15">
        <f t="shared" si="1"/>
        <v>19.008845918121001</v>
      </c>
    </row>
    <row r="16" spans="1:12" x14ac:dyDescent="0.3">
      <c r="A16" t="str">
        <f>titanic!C16</f>
        <v>Miss. Hulda Amanda Adolfina Vestrom</v>
      </c>
      <c r="B16">
        <f>titanic!E16</f>
        <v>14</v>
      </c>
      <c r="E16">
        <f t="shared" si="2"/>
        <v>12.356999999999999</v>
      </c>
      <c r="F16" t="str">
        <f t="shared" si="0"/>
        <v>12.4</v>
      </c>
      <c r="G16">
        <v>16</v>
      </c>
      <c r="H16">
        <v>3</v>
      </c>
      <c r="I16" s="11">
        <f t="shared" si="3"/>
        <v>11.937000000000001</v>
      </c>
      <c r="J16">
        <f t="shared" si="1"/>
        <v>16.013065016310485</v>
      </c>
    </row>
    <row r="17" spans="1:10" x14ac:dyDescent="0.3">
      <c r="A17" t="str">
        <f>titanic!C17</f>
        <v>Mrs. (Mary D Kingcome) Hewlett</v>
      </c>
      <c r="B17">
        <f>titanic!E17</f>
        <v>55</v>
      </c>
      <c r="E17">
        <f t="shared" si="2"/>
        <v>16.335999999999999</v>
      </c>
      <c r="F17" t="str">
        <f t="shared" si="0"/>
        <v>16.3</v>
      </c>
      <c r="G17">
        <v>35</v>
      </c>
      <c r="H17">
        <v>4</v>
      </c>
      <c r="I17" s="11">
        <f t="shared" si="3"/>
        <v>15.916</v>
      </c>
      <c r="J17">
        <f t="shared" si="1"/>
        <v>35.017822138623266</v>
      </c>
    </row>
    <row r="18" spans="1:10" x14ac:dyDescent="0.3">
      <c r="A18" t="str">
        <f>titanic!C18</f>
        <v>Master. Eugene Rice</v>
      </c>
      <c r="B18">
        <f>titanic!E18</f>
        <v>2</v>
      </c>
      <c r="E18">
        <f t="shared" si="2"/>
        <v>20.314999999999998</v>
      </c>
      <c r="F18" t="str">
        <f t="shared" si="0"/>
        <v>20.3</v>
      </c>
      <c r="G18">
        <v>107</v>
      </c>
      <c r="H18">
        <v>5</v>
      </c>
      <c r="I18" s="11">
        <f t="shared" si="3"/>
        <v>19.895</v>
      </c>
      <c r="J18">
        <f t="shared" si="1"/>
        <v>107.02245393693319</v>
      </c>
    </row>
    <row r="19" spans="1:10" x14ac:dyDescent="0.3">
      <c r="A19" t="str">
        <f>titanic!C19</f>
        <v>Mr. Charles Eugene Williams</v>
      </c>
      <c r="B19">
        <f>titanic!E19</f>
        <v>23</v>
      </c>
      <c r="E19">
        <f t="shared" si="2"/>
        <v>24.293999999999997</v>
      </c>
      <c r="F19" t="str">
        <f t="shared" si="0"/>
        <v>24.3</v>
      </c>
      <c r="G19">
        <v>134</v>
      </c>
      <c r="H19">
        <v>6</v>
      </c>
      <c r="I19" s="11">
        <f t="shared" si="3"/>
        <v>23.873999999999999</v>
      </c>
      <c r="J19">
        <f t="shared" si="1"/>
        <v>134.02612811023437</v>
      </c>
    </row>
    <row r="20" spans="1:10" x14ac:dyDescent="0.3">
      <c r="A20" t="str">
        <f>titanic!C20</f>
        <v>Mrs. Julius (Emelia Maria Vandemoortele) Vander Planke</v>
      </c>
      <c r="B20">
        <f>titanic!E20</f>
        <v>31</v>
      </c>
      <c r="E20">
        <f t="shared" si="2"/>
        <v>28.272999999999996</v>
      </c>
      <c r="F20" t="str">
        <f t="shared" si="0"/>
        <v>28.3</v>
      </c>
      <c r="G20">
        <v>106</v>
      </c>
      <c r="H20">
        <v>7</v>
      </c>
      <c r="I20" s="11">
        <f t="shared" si="3"/>
        <v>27.852999999999998</v>
      </c>
      <c r="J20">
        <f t="shared" si="1"/>
        <v>106.0280805959748</v>
      </c>
    </row>
    <row r="21" spans="1:10" x14ac:dyDescent="0.3">
      <c r="A21" t="str">
        <f>titanic!C21</f>
        <v>Mrs. Fatima Masselmani</v>
      </c>
      <c r="B21">
        <f>titanic!E21</f>
        <v>22</v>
      </c>
      <c r="E21">
        <f t="shared" si="2"/>
        <v>32.251999999999995</v>
      </c>
      <c r="F21" t="str">
        <f t="shared" si="0"/>
        <v>32.3</v>
      </c>
      <c r="G21">
        <v>101</v>
      </c>
      <c r="H21">
        <v>8</v>
      </c>
      <c r="I21" s="11">
        <f t="shared" si="3"/>
        <v>31.831999999999997</v>
      </c>
      <c r="J21">
        <f t="shared" si="1"/>
        <v>101.02787324050639</v>
      </c>
    </row>
    <row r="22" spans="1:10" x14ac:dyDescent="0.3">
      <c r="A22" t="str">
        <f>titanic!C22</f>
        <v>Mr. Joseph J Fynney</v>
      </c>
      <c r="B22">
        <f>titanic!E22</f>
        <v>35</v>
      </c>
      <c r="E22">
        <f t="shared" si="2"/>
        <v>36.230999999999995</v>
      </c>
      <c r="F22" t="str">
        <f t="shared" si="0"/>
        <v>36.2</v>
      </c>
      <c r="G22">
        <v>81</v>
      </c>
      <c r="H22">
        <v>9</v>
      </c>
      <c r="I22" s="11">
        <f t="shared" si="3"/>
        <v>35.811</v>
      </c>
      <c r="J22">
        <f t="shared" si="1"/>
        <v>81.025553560642834</v>
      </c>
    </row>
    <row r="23" spans="1:10" x14ac:dyDescent="0.3">
      <c r="A23" t="str">
        <f>titanic!C23</f>
        <v>Mr. Lawrence Beesley</v>
      </c>
      <c r="B23">
        <f>titanic!E23</f>
        <v>34</v>
      </c>
      <c r="E23">
        <f t="shared" si="2"/>
        <v>40.209999999999994</v>
      </c>
      <c r="F23" t="str">
        <f t="shared" si="0"/>
        <v>40.2</v>
      </c>
      <c r="G23">
        <v>60</v>
      </c>
      <c r="H23">
        <v>10</v>
      </c>
      <c r="I23" s="11">
        <f t="shared" si="3"/>
        <v>39.79</v>
      </c>
      <c r="J23">
        <f t="shared" si="1"/>
        <v>60.02163705777717</v>
      </c>
    </row>
    <row r="24" spans="1:10" x14ac:dyDescent="0.3">
      <c r="A24" t="str">
        <f>titanic!C24</f>
        <v>Miss. Anna McGowan</v>
      </c>
      <c r="B24">
        <f>titanic!E24</f>
        <v>15</v>
      </c>
      <c r="E24">
        <f t="shared" si="2"/>
        <v>44.188999999999993</v>
      </c>
      <c r="F24" t="str">
        <f t="shared" si="0"/>
        <v>44.2</v>
      </c>
      <c r="G24">
        <v>44</v>
      </c>
      <c r="H24">
        <v>11</v>
      </c>
      <c r="I24" s="11">
        <f t="shared" si="3"/>
        <v>43.768999999999998</v>
      </c>
      <c r="J24">
        <f t="shared" si="1"/>
        <v>44.016921069378448</v>
      </c>
    </row>
    <row r="25" spans="1:10" x14ac:dyDescent="0.3">
      <c r="A25" t="str">
        <f>titanic!C25</f>
        <v>Mr. William Thompson Sloper</v>
      </c>
      <c r="B25">
        <f>titanic!E25</f>
        <v>28</v>
      </c>
      <c r="E25">
        <f t="shared" si="2"/>
        <v>48.167999999999992</v>
      </c>
      <c r="F25" t="str">
        <f t="shared" si="0"/>
        <v>48.2</v>
      </c>
      <c r="G25">
        <v>44</v>
      </c>
      <c r="H25">
        <v>12</v>
      </c>
      <c r="I25" s="11">
        <f t="shared" si="3"/>
        <v>47.747999999999998</v>
      </c>
      <c r="J25">
        <f t="shared" si="1"/>
        <v>44.012221942256389</v>
      </c>
    </row>
    <row r="26" spans="1:10" x14ac:dyDescent="0.3">
      <c r="A26" t="str">
        <f>titanic!C26</f>
        <v>Miss. Torborg Danira Palsson</v>
      </c>
      <c r="B26">
        <f>titanic!E26</f>
        <v>8</v>
      </c>
      <c r="E26">
        <f t="shared" si="2"/>
        <v>52.146999999999991</v>
      </c>
      <c r="F26" t="str">
        <f t="shared" si="0"/>
        <v>52.1</v>
      </c>
      <c r="G26">
        <v>31</v>
      </c>
      <c r="H26">
        <v>13</v>
      </c>
      <c r="I26" s="11">
        <f t="shared" si="3"/>
        <v>51.726999999999997</v>
      </c>
      <c r="J26">
        <f t="shared" si="1"/>
        <v>31.008153338420616</v>
      </c>
    </row>
    <row r="27" spans="1:10" x14ac:dyDescent="0.3">
      <c r="A27" t="str">
        <f>titanic!C27</f>
        <v>Mrs. Carl Oscar (Selma Augusta Emilia Johansson) Asplund</v>
      </c>
      <c r="B27">
        <f>titanic!E27</f>
        <v>38</v>
      </c>
      <c r="E27">
        <f t="shared" si="2"/>
        <v>56.125999999999991</v>
      </c>
      <c r="F27" t="str">
        <f t="shared" si="0"/>
        <v>56.1</v>
      </c>
      <c r="G27">
        <v>18</v>
      </c>
      <c r="H27">
        <v>14</v>
      </c>
      <c r="I27" s="11">
        <f t="shared" si="3"/>
        <v>55.705999999999996</v>
      </c>
      <c r="J27">
        <f t="shared" si="1"/>
        <v>18.005023582402288</v>
      </c>
    </row>
    <row r="28" spans="1:10" x14ac:dyDescent="0.3">
      <c r="A28" t="str">
        <f>titanic!C28</f>
        <v>Mr. Farred Chehab Emir</v>
      </c>
      <c r="B28">
        <f>titanic!E28</f>
        <v>26</v>
      </c>
      <c r="E28">
        <f t="shared" si="2"/>
        <v>60.10499999999999</v>
      </c>
      <c r="F28" t="str">
        <f t="shared" si="0"/>
        <v>60.1</v>
      </c>
      <c r="G28">
        <v>15</v>
      </c>
      <c r="H28">
        <v>15</v>
      </c>
      <c r="I28" s="11">
        <f t="shared" si="3"/>
        <v>59.684999999999995</v>
      </c>
      <c r="J28">
        <f t="shared" si="1"/>
        <v>15.002858738377373</v>
      </c>
    </row>
    <row r="29" spans="1:10" x14ac:dyDescent="0.3">
      <c r="A29" t="str">
        <f>titanic!C29</f>
        <v>Mr. Charles Alexander Fortune</v>
      </c>
      <c r="B29">
        <f>titanic!E29</f>
        <v>19</v>
      </c>
      <c r="E29">
        <f t="shared" si="2"/>
        <v>64.083999999999989</v>
      </c>
      <c r="F29" t="str">
        <f t="shared" si="0"/>
        <v>64.1</v>
      </c>
      <c r="G29">
        <v>13</v>
      </c>
      <c r="H29">
        <v>16</v>
      </c>
      <c r="I29" s="11">
        <f t="shared" si="3"/>
        <v>63.663999999999994</v>
      </c>
      <c r="J29">
        <f t="shared" si="1"/>
        <v>13.001502512568189</v>
      </c>
    </row>
    <row r="30" spans="1:10" x14ac:dyDescent="0.3">
      <c r="A30" t="str">
        <f>titanic!C30</f>
        <v>Miss. Ellen O'Dwyer</v>
      </c>
      <c r="B30">
        <f>titanic!E30</f>
        <v>24</v>
      </c>
      <c r="E30">
        <f t="shared" si="2"/>
        <v>68.062999999999988</v>
      </c>
      <c r="F30" t="str">
        <f t="shared" si="0"/>
        <v>68.1</v>
      </c>
      <c r="G30">
        <v>5</v>
      </c>
      <c r="H30">
        <v>17</v>
      </c>
      <c r="I30" s="11">
        <f t="shared" si="3"/>
        <v>67.643000000000001</v>
      </c>
      <c r="J30">
        <f t="shared" si="1"/>
        <v>5.000729364523095</v>
      </c>
    </row>
    <row r="31" spans="1:10" x14ac:dyDescent="0.3">
      <c r="A31" t="str">
        <f>titanic!C31</f>
        <v>Mr. Lalio Todoroff</v>
      </c>
      <c r="B31">
        <f>titanic!E31</f>
        <v>23</v>
      </c>
      <c r="E31">
        <f t="shared" si="2"/>
        <v>72.041999999999987</v>
      </c>
      <c r="F31" t="str">
        <f t="shared" si="0"/>
        <v>72</v>
      </c>
      <c r="G31">
        <v>6</v>
      </c>
      <c r="H31">
        <v>18</v>
      </c>
      <c r="I31" s="11">
        <f t="shared" si="3"/>
        <v>71.622</v>
      </c>
      <c r="J31">
        <f t="shared" si="1"/>
        <v>6.0003270046863593</v>
      </c>
    </row>
    <row r="32" spans="1:10" x14ac:dyDescent="0.3">
      <c r="A32" t="str">
        <f>titanic!C32</f>
        <v>Don. Manuel E Uruchurtu</v>
      </c>
      <c r="B32">
        <f>titanic!E32</f>
        <v>40</v>
      </c>
      <c r="E32">
        <f t="shared" si="2"/>
        <v>76.020999999999987</v>
      </c>
      <c r="F32" t="str">
        <f t="shared" si="0"/>
        <v>76</v>
      </c>
      <c r="G32">
        <v>1</v>
      </c>
      <c r="H32">
        <v>19</v>
      </c>
      <c r="I32" s="11">
        <f t="shared" si="3"/>
        <v>75.600999999999999</v>
      </c>
      <c r="J32">
        <f t="shared" si="1"/>
        <v>1.0001354085658243</v>
      </c>
    </row>
    <row r="33" spans="1:10" x14ac:dyDescent="0.3">
      <c r="A33" t="str">
        <f>titanic!C33</f>
        <v>Mrs. William Augustus (Marie Eugenie) Spencer</v>
      </c>
      <c r="B33">
        <f>titanic!E33</f>
        <v>48</v>
      </c>
      <c r="E33">
        <f t="shared" si="2"/>
        <v>79.999999999999986</v>
      </c>
      <c r="F33" t="str">
        <f t="shared" si="0"/>
        <v>80</v>
      </c>
      <c r="G33">
        <v>0</v>
      </c>
      <c r="H33">
        <v>20</v>
      </c>
      <c r="I33" s="11">
        <f t="shared" si="3"/>
        <v>79.58</v>
      </c>
      <c r="J33">
        <f t="shared" si="1"/>
        <v>5.1787043730991726E-5</v>
      </c>
    </row>
    <row r="34" spans="1:10" x14ac:dyDescent="0.3">
      <c r="A34" t="str">
        <f>titanic!C34</f>
        <v>Miss. Mary Agatha Glynn</v>
      </c>
      <c r="B34">
        <f>titanic!E34</f>
        <v>18</v>
      </c>
    </row>
    <row r="35" spans="1:10" x14ac:dyDescent="0.3">
      <c r="A35" t="str">
        <f>titanic!C35</f>
        <v>Mr. Edward H Wheadon</v>
      </c>
      <c r="B35">
        <f>titanic!E35</f>
        <v>66</v>
      </c>
    </row>
    <row r="36" spans="1:10" x14ac:dyDescent="0.3">
      <c r="A36" t="str">
        <f>titanic!C36</f>
        <v>Mr. Edgar Joseph Meyer</v>
      </c>
      <c r="B36">
        <f>titanic!E36</f>
        <v>28</v>
      </c>
    </row>
    <row r="37" spans="1:10" x14ac:dyDescent="0.3">
      <c r="A37" t="str">
        <f>titanic!C37</f>
        <v>Mr. Alexander Oskar Holverson</v>
      </c>
      <c r="B37">
        <f>titanic!E37</f>
        <v>42</v>
      </c>
    </row>
    <row r="38" spans="1:10" x14ac:dyDescent="0.3">
      <c r="A38" t="str">
        <f>titanic!C38</f>
        <v>Mr. Hanna Mamee</v>
      </c>
      <c r="B38">
        <f>titanic!E38</f>
        <v>18</v>
      </c>
    </row>
    <row r="39" spans="1:10" x14ac:dyDescent="0.3">
      <c r="A39" t="str">
        <f>titanic!C39</f>
        <v>Mr. Ernest Charles Cann</v>
      </c>
      <c r="B39">
        <f>titanic!E39</f>
        <v>21</v>
      </c>
    </row>
    <row r="40" spans="1:10" x14ac:dyDescent="0.3">
      <c r="A40" t="str">
        <f>titanic!C40</f>
        <v>Miss. Augusta Maria Vander Planke</v>
      </c>
      <c r="B40">
        <f>titanic!E40</f>
        <v>18</v>
      </c>
    </row>
    <row r="41" spans="1:10" x14ac:dyDescent="0.3">
      <c r="A41" t="str">
        <f>titanic!C41</f>
        <v>Miss. Jamila Nicola-Yarred</v>
      </c>
      <c r="B41">
        <f>titanic!E41</f>
        <v>14</v>
      </c>
    </row>
    <row r="42" spans="1:10" x14ac:dyDescent="0.3">
      <c r="A42" t="str">
        <f>titanic!C42</f>
        <v>Mrs. Johan (Johanna Persdotter Larsson) Ahlin</v>
      </c>
      <c r="B42">
        <f>titanic!E42</f>
        <v>40</v>
      </c>
    </row>
    <row r="43" spans="1:10" x14ac:dyDescent="0.3">
      <c r="A43" t="str">
        <f>titanic!C43</f>
        <v>Mrs. William John Robert (Dorothy Ann Wonnacott) Turpin</v>
      </c>
      <c r="B43">
        <f>titanic!E43</f>
        <v>27</v>
      </c>
    </row>
    <row r="44" spans="1:10" x14ac:dyDescent="0.3">
      <c r="A44" t="str">
        <f>titanic!C44</f>
        <v>Miss. Simonne Marie Anne Andree Laroche</v>
      </c>
      <c r="B44">
        <f>titanic!E44</f>
        <v>3</v>
      </c>
    </row>
    <row r="45" spans="1:10" x14ac:dyDescent="0.3">
      <c r="A45" t="str">
        <f>titanic!C45</f>
        <v>Miss. Margaret Delia Devaney</v>
      </c>
      <c r="B45">
        <f>titanic!E45</f>
        <v>19</v>
      </c>
    </row>
    <row r="46" spans="1:10" x14ac:dyDescent="0.3">
      <c r="A46" t="str">
        <f>titanic!C46</f>
        <v>Mr. William John Rogers</v>
      </c>
      <c r="B46">
        <f>titanic!E46</f>
        <v>30</v>
      </c>
    </row>
    <row r="47" spans="1:10" x14ac:dyDescent="0.3">
      <c r="A47" t="str">
        <f>titanic!C47</f>
        <v>Mr. Denis Lennon</v>
      </c>
      <c r="B47">
        <f>titanic!E47</f>
        <v>20</v>
      </c>
    </row>
    <row r="48" spans="1:10" x14ac:dyDescent="0.3">
      <c r="A48" t="str">
        <f>titanic!C48</f>
        <v>Miss. Bridget O'Driscoll</v>
      </c>
      <c r="B48">
        <f>titanic!E48</f>
        <v>27</v>
      </c>
    </row>
    <row r="49" spans="1:2" x14ac:dyDescent="0.3">
      <c r="A49" t="str">
        <f>titanic!C49</f>
        <v>Mr. Youssef Samaan</v>
      </c>
      <c r="B49">
        <f>titanic!E49</f>
        <v>16</v>
      </c>
    </row>
    <row r="50" spans="1:2" x14ac:dyDescent="0.3">
      <c r="A50" t="str">
        <f>titanic!C50</f>
        <v>Mrs. Josef (Josefine Franchi) Arnold-Franchi</v>
      </c>
      <c r="B50">
        <f>titanic!E50</f>
        <v>18</v>
      </c>
    </row>
    <row r="51" spans="1:2" x14ac:dyDescent="0.3">
      <c r="A51" t="str">
        <f>titanic!C51</f>
        <v>Master. Juha Niilo Panula</v>
      </c>
      <c r="B51">
        <f>titanic!E51</f>
        <v>7</v>
      </c>
    </row>
    <row r="52" spans="1:2" x14ac:dyDescent="0.3">
      <c r="A52" t="str">
        <f>titanic!C52</f>
        <v>Mr. Richard Cater Nosworthy</v>
      </c>
      <c r="B52">
        <f>titanic!E52</f>
        <v>21</v>
      </c>
    </row>
    <row r="53" spans="1:2" x14ac:dyDescent="0.3">
      <c r="A53" t="str">
        <f>titanic!C53</f>
        <v>Mrs. Henry Sleeper (Myna Haxtun) Harper</v>
      </c>
      <c r="B53">
        <f>titanic!E53</f>
        <v>49</v>
      </c>
    </row>
    <row r="54" spans="1:2" x14ac:dyDescent="0.3">
      <c r="A54" t="str">
        <f>titanic!C54</f>
        <v>Mrs. Lizzie (Elizabeth Anne Wilkinson) Faunthorpe</v>
      </c>
      <c r="B54">
        <f>titanic!E54</f>
        <v>29</v>
      </c>
    </row>
    <row r="55" spans="1:2" x14ac:dyDescent="0.3">
      <c r="A55" t="str">
        <f>titanic!C55</f>
        <v>Mr. Engelhart Cornelius Ostby</v>
      </c>
      <c r="B55">
        <f>titanic!E55</f>
        <v>65</v>
      </c>
    </row>
    <row r="56" spans="1:2" x14ac:dyDescent="0.3">
      <c r="A56" t="str">
        <f>titanic!C56</f>
        <v>Mr. Hugh Woolner</v>
      </c>
      <c r="B56">
        <f>titanic!E56</f>
        <v>46</v>
      </c>
    </row>
    <row r="57" spans="1:2" x14ac:dyDescent="0.3">
      <c r="A57" t="str">
        <f>titanic!C57</f>
        <v>Miss. Emily Rugg</v>
      </c>
      <c r="B57">
        <f>titanic!E57</f>
        <v>21</v>
      </c>
    </row>
    <row r="58" spans="1:2" x14ac:dyDescent="0.3">
      <c r="A58" t="str">
        <f>titanic!C58</f>
        <v>Mr. Mansouer Novel</v>
      </c>
      <c r="B58">
        <f>titanic!E58</f>
        <v>28.5</v>
      </c>
    </row>
    <row r="59" spans="1:2" x14ac:dyDescent="0.3">
      <c r="A59" t="str">
        <f>titanic!C59</f>
        <v>Miss. Constance Mirium West</v>
      </c>
      <c r="B59">
        <f>titanic!E59</f>
        <v>5</v>
      </c>
    </row>
    <row r="60" spans="1:2" x14ac:dyDescent="0.3">
      <c r="A60" t="str">
        <f>titanic!C60</f>
        <v>Master. William Frederick Goodwin</v>
      </c>
      <c r="B60">
        <f>titanic!E60</f>
        <v>11</v>
      </c>
    </row>
    <row r="61" spans="1:2" x14ac:dyDescent="0.3">
      <c r="A61" t="str">
        <f>titanic!C61</f>
        <v>Mr. Orsen Sirayanian</v>
      </c>
      <c r="B61">
        <f>titanic!E61</f>
        <v>22</v>
      </c>
    </row>
    <row r="62" spans="1:2" x14ac:dyDescent="0.3">
      <c r="A62" t="str">
        <f>titanic!C62</f>
        <v>Miss. Amelie Icard</v>
      </c>
      <c r="B62">
        <f>titanic!E62</f>
        <v>38</v>
      </c>
    </row>
    <row r="63" spans="1:2" x14ac:dyDescent="0.3">
      <c r="A63" t="str">
        <f>titanic!C63</f>
        <v>Mr. Henry Birkhardt Harris</v>
      </c>
      <c r="B63">
        <f>titanic!E63</f>
        <v>45</v>
      </c>
    </row>
    <row r="64" spans="1:2" x14ac:dyDescent="0.3">
      <c r="A64" t="str">
        <f>titanic!C64</f>
        <v>Master. Harald Skoog</v>
      </c>
      <c r="B64">
        <f>titanic!E64</f>
        <v>4</v>
      </c>
    </row>
    <row r="65" spans="1:2" x14ac:dyDescent="0.3">
      <c r="A65" t="str">
        <f>titanic!C65</f>
        <v>Mr. Albert A Stewart</v>
      </c>
      <c r="B65">
        <f>titanic!E65</f>
        <v>64</v>
      </c>
    </row>
    <row r="66" spans="1:2" x14ac:dyDescent="0.3">
      <c r="A66" t="str">
        <f>titanic!C66</f>
        <v>Master. Gerios Moubarek</v>
      </c>
      <c r="B66">
        <f>titanic!E66</f>
        <v>7</v>
      </c>
    </row>
    <row r="67" spans="1:2" x14ac:dyDescent="0.3">
      <c r="A67" t="str">
        <f>titanic!C67</f>
        <v>Mrs. (Elizabeth Ramell) Nye</v>
      </c>
      <c r="B67">
        <f>titanic!E67</f>
        <v>29</v>
      </c>
    </row>
    <row r="68" spans="1:2" x14ac:dyDescent="0.3">
      <c r="A68" t="str">
        <f>titanic!C68</f>
        <v>Mr. Ernest James Crease</v>
      </c>
      <c r="B68">
        <f>titanic!E68</f>
        <v>19</v>
      </c>
    </row>
    <row r="69" spans="1:2" x14ac:dyDescent="0.3">
      <c r="A69" t="str">
        <f>titanic!C69</f>
        <v>Miss. Erna Alexandra Andersson</v>
      </c>
      <c r="B69">
        <f>titanic!E69</f>
        <v>17</v>
      </c>
    </row>
    <row r="70" spans="1:2" x14ac:dyDescent="0.3">
      <c r="A70" t="str">
        <f>titanic!C70</f>
        <v>Mr. Vincenz Kink</v>
      </c>
      <c r="B70">
        <f>titanic!E70</f>
        <v>26</v>
      </c>
    </row>
    <row r="71" spans="1:2" x14ac:dyDescent="0.3">
      <c r="A71" t="str">
        <f>titanic!C71</f>
        <v>Mr. Stephen Curnow Jenkin</v>
      </c>
      <c r="B71">
        <f>titanic!E71</f>
        <v>32</v>
      </c>
    </row>
    <row r="72" spans="1:2" x14ac:dyDescent="0.3">
      <c r="A72" t="str">
        <f>titanic!C72</f>
        <v>Miss. Lillian Amy Goodwin</v>
      </c>
      <c r="B72">
        <f>titanic!E72</f>
        <v>16</v>
      </c>
    </row>
    <row r="73" spans="1:2" x14ac:dyDescent="0.3">
      <c r="A73" t="str">
        <f>titanic!C73</f>
        <v>Mr. Ambrose Jr Hood</v>
      </c>
      <c r="B73">
        <f>titanic!E73</f>
        <v>21</v>
      </c>
    </row>
    <row r="74" spans="1:2" x14ac:dyDescent="0.3">
      <c r="A74" t="str">
        <f>titanic!C74</f>
        <v>Mr. Apostolos Chronopoulos</v>
      </c>
      <c r="B74">
        <f>titanic!E74</f>
        <v>26</v>
      </c>
    </row>
    <row r="75" spans="1:2" x14ac:dyDescent="0.3">
      <c r="A75" t="str">
        <f>titanic!C75</f>
        <v>Mr. Lee Bing</v>
      </c>
      <c r="B75">
        <f>titanic!E75</f>
        <v>32</v>
      </c>
    </row>
    <row r="76" spans="1:2" x14ac:dyDescent="0.3">
      <c r="A76" t="str">
        <f>titanic!C76</f>
        <v>Mr. Sigurd Hansen Moen</v>
      </c>
      <c r="B76">
        <f>titanic!E76</f>
        <v>25</v>
      </c>
    </row>
    <row r="77" spans="1:2" x14ac:dyDescent="0.3">
      <c r="A77" t="str">
        <f>titanic!C77</f>
        <v>Mr. Ivan Staneff</v>
      </c>
      <c r="B77">
        <f>titanic!E77</f>
        <v>23</v>
      </c>
    </row>
    <row r="78" spans="1:2" x14ac:dyDescent="0.3">
      <c r="A78" t="str">
        <f>titanic!C78</f>
        <v>Mr. Rahamin Haim Moutal</v>
      </c>
      <c r="B78">
        <f>titanic!E78</f>
        <v>28</v>
      </c>
    </row>
    <row r="79" spans="1:2" x14ac:dyDescent="0.3">
      <c r="A79" t="str">
        <f>titanic!C79</f>
        <v>Master. Alden Gates Caldwell</v>
      </c>
      <c r="B79">
        <f>titanic!E79</f>
        <v>0.83</v>
      </c>
    </row>
    <row r="80" spans="1:2" x14ac:dyDescent="0.3">
      <c r="A80" t="str">
        <f>titanic!C80</f>
        <v>Miss. Elizabeth Dowdell</v>
      </c>
      <c r="B80">
        <f>titanic!E80</f>
        <v>30</v>
      </c>
    </row>
    <row r="81" spans="1:2" x14ac:dyDescent="0.3">
      <c r="A81" t="str">
        <f>titanic!C81</f>
        <v>Mr. Achille Waelens</v>
      </c>
      <c r="B81">
        <f>titanic!E81</f>
        <v>22</v>
      </c>
    </row>
    <row r="82" spans="1:2" x14ac:dyDescent="0.3">
      <c r="A82" t="str">
        <f>titanic!C82</f>
        <v>Mr. Jan Baptist Sheerlinck</v>
      </c>
      <c r="B82">
        <f>titanic!E82</f>
        <v>29</v>
      </c>
    </row>
    <row r="83" spans="1:2" x14ac:dyDescent="0.3">
      <c r="A83" t="str">
        <f>titanic!C83</f>
        <v>Miss. Brigdet Delia McDermott</v>
      </c>
      <c r="B83">
        <f>titanic!E83</f>
        <v>31</v>
      </c>
    </row>
    <row r="84" spans="1:2" x14ac:dyDescent="0.3">
      <c r="A84" t="str">
        <f>titanic!C84</f>
        <v>Mr. Francisco M Carrau</v>
      </c>
      <c r="B84">
        <f>titanic!E84</f>
        <v>28</v>
      </c>
    </row>
    <row r="85" spans="1:2" x14ac:dyDescent="0.3">
      <c r="A85" t="str">
        <f>titanic!C85</f>
        <v>Miss. Bertha Ilett</v>
      </c>
      <c r="B85">
        <f>titanic!E85</f>
        <v>17</v>
      </c>
    </row>
    <row r="86" spans="1:2" x14ac:dyDescent="0.3">
      <c r="A86" t="str">
        <f>titanic!C86</f>
        <v>Mrs. Karl Alfred (Maria Mathilda Gustafsson) Backstrom</v>
      </c>
      <c r="B86">
        <f>titanic!E86</f>
        <v>33</v>
      </c>
    </row>
    <row r="87" spans="1:2" x14ac:dyDescent="0.3">
      <c r="A87" t="str">
        <f>titanic!C87</f>
        <v>Mr. William Neal Ford</v>
      </c>
      <c r="B87">
        <f>titanic!E87</f>
        <v>16</v>
      </c>
    </row>
    <row r="88" spans="1:2" x14ac:dyDescent="0.3">
      <c r="A88" t="str">
        <f>titanic!C88</f>
        <v>Mr. Selman Francis Slocovski</v>
      </c>
      <c r="B88">
        <f>titanic!E88</f>
        <v>20</v>
      </c>
    </row>
    <row r="89" spans="1:2" x14ac:dyDescent="0.3">
      <c r="A89" t="str">
        <f>titanic!C89</f>
        <v>Miss. Mabel Helen Fortune</v>
      </c>
      <c r="B89">
        <f>titanic!E89</f>
        <v>23</v>
      </c>
    </row>
    <row r="90" spans="1:2" x14ac:dyDescent="0.3">
      <c r="A90" t="str">
        <f>titanic!C90</f>
        <v>Mr. Francesco Celotti</v>
      </c>
      <c r="B90">
        <f>titanic!E90</f>
        <v>24</v>
      </c>
    </row>
    <row r="91" spans="1:2" x14ac:dyDescent="0.3">
      <c r="A91" t="str">
        <f>titanic!C91</f>
        <v>Mr. Emil Christmann</v>
      </c>
      <c r="B91">
        <f>titanic!E91</f>
        <v>29</v>
      </c>
    </row>
    <row r="92" spans="1:2" x14ac:dyDescent="0.3">
      <c r="A92" t="str">
        <f>titanic!C92</f>
        <v>Mr. Paul Edvin Andreasson</v>
      </c>
      <c r="B92">
        <f>titanic!E92</f>
        <v>20</v>
      </c>
    </row>
    <row r="93" spans="1:2" x14ac:dyDescent="0.3">
      <c r="A93" t="str">
        <f>titanic!C93</f>
        <v>Mr. Herbert Fuller Chaffee</v>
      </c>
      <c r="B93">
        <f>titanic!E93</f>
        <v>46</v>
      </c>
    </row>
    <row r="94" spans="1:2" x14ac:dyDescent="0.3">
      <c r="A94" t="str">
        <f>titanic!C94</f>
        <v>Mr. Bertram Frank Dean</v>
      </c>
      <c r="B94">
        <f>titanic!E94</f>
        <v>26</v>
      </c>
    </row>
    <row r="95" spans="1:2" x14ac:dyDescent="0.3">
      <c r="A95" t="str">
        <f>titanic!C95</f>
        <v>Mr. Daniel Coxon</v>
      </c>
      <c r="B95">
        <f>titanic!E95</f>
        <v>59</v>
      </c>
    </row>
    <row r="96" spans="1:2" x14ac:dyDescent="0.3">
      <c r="A96" t="str">
        <f>titanic!C96</f>
        <v>Mr. Charles Joseph Shorney</v>
      </c>
      <c r="B96">
        <f>titanic!E96</f>
        <v>22</v>
      </c>
    </row>
    <row r="97" spans="1:2" x14ac:dyDescent="0.3">
      <c r="A97" t="str">
        <f>titanic!C97</f>
        <v>Mr. George B Goldschmidt</v>
      </c>
      <c r="B97">
        <f>titanic!E97</f>
        <v>71</v>
      </c>
    </row>
    <row r="98" spans="1:2" x14ac:dyDescent="0.3">
      <c r="A98" t="str">
        <f>titanic!C98</f>
        <v>Mr. William Bertram Greenfield</v>
      </c>
      <c r="B98">
        <f>titanic!E98</f>
        <v>23</v>
      </c>
    </row>
    <row r="99" spans="1:2" x14ac:dyDescent="0.3">
      <c r="A99" t="str">
        <f>titanic!C99</f>
        <v>Mrs. John T (Ada Julia Bone) Doling</v>
      </c>
      <c r="B99">
        <f>titanic!E99</f>
        <v>34</v>
      </c>
    </row>
    <row r="100" spans="1:2" x14ac:dyDescent="0.3">
      <c r="A100" t="str">
        <f>titanic!C100</f>
        <v>Mr. Sinai Kantor</v>
      </c>
      <c r="B100">
        <f>titanic!E100</f>
        <v>34</v>
      </c>
    </row>
    <row r="101" spans="1:2" x14ac:dyDescent="0.3">
      <c r="A101" t="str">
        <f>titanic!C101</f>
        <v>Miss. Matilda Petranec</v>
      </c>
      <c r="B101">
        <f>titanic!E101</f>
        <v>28</v>
      </c>
    </row>
    <row r="102" spans="1:2" x14ac:dyDescent="0.3">
      <c r="A102" t="str">
        <f>titanic!C102</f>
        <v>Mr. Pastcho Petroff</v>
      </c>
      <c r="B102">
        <f>titanic!E102</f>
        <v>29</v>
      </c>
    </row>
    <row r="103" spans="1:2" x14ac:dyDescent="0.3">
      <c r="A103" t="str">
        <f>titanic!C103</f>
        <v>Mr. Richard Frasar White</v>
      </c>
      <c r="B103">
        <f>titanic!E103</f>
        <v>21</v>
      </c>
    </row>
    <row r="104" spans="1:2" x14ac:dyDescent="0.3">
      <c r="A104" t="str">
        <f>titanic!C104</f>
        <v>Mr. Gustaf Joel Johansson</v>
      </c>
      <c r="B104">
        <f>titanic!E104</f>
        <v>33</v>
      </c>
    </row>
    <row r="105" spans="1:2" x14ac:dyDescent="0.3">
      <c r="A105" t="str">
        <f>titanic!C105</f>
        <v>Mr. Anders Vilhelm Gustafsson</v>
      </c>
      <c r="B105">
        <f>titanic!E105</f>
        <v>37</v>
      </c>
    </row>
    <row r="106" spans="1:2" x14ac:dyDescent="0.3">
      <c r="A106" t="str">
        <f>titanic!C106</f>
        <v>Mr. Stoytcho Mionoff</v>
      </c>
      <c r="B106">
        <f>titanic!E106</f>
        <v>28</v>
      </c>
    </row>
    <row r="107" spans="1:2" x14ac:dyDescent="0.3">
      <c r="A107" t="str">
        <f>titanic!C107</f>
        <v>Miss. Anna Kristine Salkjelsvik</v>
      </c>
      <c r="B107">
        <f>titanic!E107</f>
        <v>21</v>
      </c>
    </row>
    <row r="108" spans="1:2" x14ac:dyDescent="0.3">
      <c r="A108" t="str">
        <f>titanic!C108</f>
        <v>Mr. Albert Johan Moss</v>
      </c>
      <c r="B108">
        <f>titanic!E108</f>
        <v>29</v>
      </c>
    </row>
    <row r="109" spans="1:2" x14ac:dyDescent="0.3">
      <c r="A109" t="str">
        <f>titanic!C109</f>
        <v>Mr. Tido Rekic</v>
      </c>
      <c r="B109">
        <f>titanic!E109</f>
        <v>38</v>
      </c>
    </row>
    <row r="110" spans="1:2" x14ac:dyDescent="0.3">
      <c r="A110" t="str">
        <f>titanic!C110</f>
        <v>Miss. Bertha Moran</v>
      </c>
      <c r="B110">
        <f>titanic!E110</f>
        <v>28</v>
      </c>
    </row>
    <row r="111" spans="1:2" x14ac:dyDescent="0.3">
      <c r="A111" t="str">
        <f>titanic!C111</f>
        <v>Mr. Walter Chamberlain Porter</v>
      </c>
      <c r="B111">
        <f>titanic!E111</f>
        <v>47</v>
      </c>
    </row>
    <row r="112" spans="1:2" x14ac:dyDescent="0.3">
      <c r="A112" t="str">
        <f>titanic!C112</f>
        <v>Miss. Hileni Zabour</v>
      </c>
      <c r="B112">
        <f>titanic!E112</f>
        <v>14.5</v>
      </c>
    </row>
    <row r="113" spans="1:2" x14ac:dyDescent="0.3">
      <c r="A113" t="str">
        <f>titanic!C113</f>
        <v>Mr. David John Barton</v>
      </c>
      <c r="B113">
        <f>titanic!E113</f>
        <v>22</v>
      </c>
    </row>
    <row r="114" spans="1:2" x14ac:dyDescent="0.3">
      <c r="A114" t="str">
        <f>titanic!C114</f>
        <v>Miss. Katriina Jussila</v>
      </c>
      <c r="B114">
        <f>titanic!E114</f>
        <v>20</v>
      </c>
    </row>
    <row r="115" spans="1:2" x14ac:dyDescent="0.3">
      <c r="A115" t="str">
        <f>titanic!C115</f>
        <v>Miss. Malake Attalah</v>
      </c>
      <c r="B115">
        <f>titanic!E115</f>
        <v>17</v>
      </c>
    </row>
    <row r="116" spans="1:2" x14ac:dyDescent="0.3">
      <c r="A116" t="str">
        <f>titanic!C116</f>
        <v>Mr. Edvard Pekoniemi</v>
      </c>
      <c r="B116">
        <f>titanic!E116</f>
        <v>21</v>
      </c>
    </row>
    <row r="117" spans="1:2" x14ac:dyDescent="0.3">
      <c r="A117" t="str">
        <f>titanic!C117</f>
        <v>Mr. Patrick Connors</v>
      </c>
      <c r="B117">
        <f>titanic!E117</f>
        <v>70.5</v>
      </c>
    </row>
    <row r="118" spans="1:2" x14ac:dyDescent="0.3">
      <c r="A118" t="str">
        <f>titanic!C118</f>
        <v>Mr. William John Robert Turpin</v>
      </c>
      <c r="B118">
        <f>titanic!E118</f>
        <v>29</v>
      </c>
    </row>
    <row r="119" spans="1:2" x14ac:dyDescent="0.3">
      <c r="A119" t="str">
        <f>titanic!C119</f>
        <v>Mr. Quigg Edmond Baxter</v>
      </c>
      <c r="B119">
        <f>titanic!E119</f>
        <v>24</v>
      </c>
    </row>
    <row r="120" spans="1:2" x14ac:dyDescent="0.3">
      <c r="A120" t="str">
        <f>titanic!C120</f>
        <v>Miss. Ellis Anna Maria Andersson</v>
      </c>
      <c r="B120">
        <f>titanic!E120</f>
        <v>2</v>
      </c>
    </row>
    <row r="121" spans="1:2" x14ac:dyDescent="0.3">
      <c r="A121" t="str">
        <f>titanic!C121</f>
        <v>Mr. Stanley George Hickman</v>
      </c>
      <c r="B121">
        <f>titanic!E121</f>
        <v>21</v>
      </c>
    </row>
    <row r="122" spans="1:2" x14ac:dyDescent="0.3">
      <c r="A122" t="str">
        <f>titanic!C122</f>
        <v>Mr. Leonard Charles Moore</v>
      </c>
      <c r="B122">
        <f>titanic!E122</f>
        <v>19</v>
      </c>
    </row>
    <row r="123" spans="1:2" x14ac:dyDescent="0.3">
      <c r="A123" t="str">
        <f>titanic!C123</f>
        <v>Mr. Nicholas Nasser</v>
      </c>
      <c r="B123">
        <f>titanic!E123</f>
        <v>32.5</v>
      </c>
    </row>
    <row r="124" spans="1:2" x14ac:dyDescent="0.3">
      <c r="A124" t="str">
        <f>titanic!C124</f>
        <v>Miss. Susan Webber</v>
      </c>
      <c r="B124">
        <f>titanic!E124</f>
        <v>32.5</v>
      </c>
    </row>
    <row r="125" spans="1:2" x14ac:dyDescent="0.3">
      <c r="A125" t="str">
        <f>titanic!C125</f>
        <v>Mr. Percival Wayland White</v>
      </c>
      <c r="B125">
        <f>titanic!E125</f>
        <v>54</v>
      </c>
    </row>
    <row r="126" spans="1:2" x14ac:dyDescent="0.3">
      <c r="A126" t="str">
        <f>titanic!C126</f>
        <v>Master. Elias Nicola-Yarred</v>
      </c>
      <c r="B126">
        <f>titanic!E126</f>
        <v>12</v>
      </c>
    </row>
    <row r="127" spans="1:2" x14ac:dyDescent="0.3">
      <c r="A127" t="str">
        <f>titanic!C127</f>
        <v>Mr. Martin McMahon</v>
      </c>
      <c r="B127">
        <f>titanic!E127</f>
        <v>19</v>
      </c>
    </row>
    <row r="128" spans="1:2" x14ac:dyDescent="0.3">
      <c r="A128" t="str">
        <f>titanic!C128</f>
        <v>Mr. Fridtjof Arne Madsen</v>
      </c>
      <c r="B128">
        <f>titanic!E128</f>
        <v>24</v>
      </c>
    </row>
    <row r="129" spans="1:2" x14ac:dyDescent="0.3">
      <c r="A129" t="str">
        <f>titanic!C129</f>
        <v>Miss. Anna Peter</v>
      </c>
      <c r="B129">
        <f>titanic!E129</f>
        <v>2</v>
      </c>
    </row>
    <row r="130" spans="1:2" x14ac:dyDescent="0.3">
      <c r="A130" t="str">
        <f>titanic!C130</f>
        <v>Mr. Johan Ekstrom</v>
      </c>
      <c r="B130">
        <f>titanic!E130</f>
        <v>45</v>
      </c>
    </row>
    <row r="131" spans="1:2" x14ac:dyDescent="0.3">
      <c r="A131" t="str">
        <f>titanic!C131</f>
        <v>Mr. Jozef Drazenoic</v>
      </c>
      <c r="B131">
        <f>titanic!E131</f>
        <v>33</v>
      </c>
    </row>
    <row r="132" spans="1:2" x14ac:dyDescent="0.3">
      <c r="A132" t="str">
        <f>titanic!C132</f>
        <v>Mr. Domingos Fernandeo Coelho</v>
      </c>
      <c r="B132">
        <f>titanic!E132</f>
        <v>20</v>
      </c>
    </row>
    <row r="133" spans="1:2" x14ac:dyDescent="0.3">
      <c r="A133" t="str">
        <f>titanic!C133</f>
        <v>Mrs. Alexander A (Grace Charity Laury) Robins</v>
      </c>
      <c r="B133">
        <f>titanic!E133</f>
        <v>47</v>
      </c>
    </row>
    <row r="134" spans="1:2" x14ac:dyDescent="0.3">
      <c r="A134" t="str">
        <f>titanic!C134</f>
        <v>Mrs. Leopold (Mathilde Francoise Pede) Weisz</v>
      </c>
      <c r="B134">
        <f>titanic!E134</f>
        <v>29</v>
      </c>
    </row>
    <row r="135" spans="1:2" x14ac:dyDescent="0.3">
      <c r="A135" t="str">
        <f>titanic!C135</f>
        <v>Mr. Samuel James Hayden Sobey</v>
      </c>
      <c r="B135">
        <f>titanic!E135</f>
        <v>25</v>
      </c>
    </row>
    <row r="136" spans="1:2" x14ac:dyDescent="0.3">
      <c r="A136" t="str">
        <f>titanic!C136</f>
        <v>Mr. Emile Richard</v>
      </c>
      <c r="B136">
        <f>titanic!E136</f>
        <v>23</v>
      </c>
    </row>
    <row r="137" spans="1:2" x14ac:dyDescent="0.3">
      <c r="A137" t="str">
        <f>titanic!C137</f>
        <v>Miss. Helen Monypeny Newsom</v>
      </c>
      <c r="B137">
        <f>titanic!E137</f>
        <v>19</v>
      </c>
    </row>
    <row r="138" spans="1:2" x14ac:dyDescent="0.3">
      <c r="A138" t="str">
        <f>titanic!C138</f>
        <v>Mr. Jacques Heath Futrelle</v>
      </c>
      <c r="B138">
        <f>titanic!E138</f>
        <v>37</v>
      </c>
    </row>
    <row r="139" spans="1:2" x14ac:dyDescent="0.3">
      <c r="A139" t="str">
        <f>titanic!C139</f>
        <v>Mr. Olaf Elon Osen</v>
      </c>
      <c r="B139">
        <f>titanic!E139</f>
        <v>16</v>
      </c>
    </row>
    <row r="140" spans="1:2" x14ac:dyDescent="0.3">
      <c r="A140" t="str">
        <f>titanic!C140</f>
        <v>Mr. Victor Giglio</v>
      </c>
      <c r="B140">
        <f>titanic!E140</f>
        <v>24</v>
      </c>
    </row>
    <row r="141" spans="1:2" x14ac:dyDescent="0.3">
      <c r="A141" t="str">
        <f>titanic!C141</f>
        <v>Mrs. Joseph (Sultana) Boulos</v>
      </c>
      <c r="B141">
        <f>titanic!E141</f>
        <v>40</v>
      </c>
    </row>
    <row r="142" spans="1:2" x14ac:dyDescent="0.3">
      <c r="A142" t="str">
        <f>titanic!C142</f>
        <v>Miss. Anna Sofia Nysten</v>
      </c>
      <c r="B142">
        <f>titanic!E142</f>
        <v>22</v>
      </c>
    </row>
    <row r="143" spans="1:2" x14ac:dyDescent="0.3">
      <c r="A143" t="str">
        <f>titanic!C143</f>
        <v>Mrs. Pekka Pietari (Elin Matilda Dolck) Hakkarainen</v>
      </c>
      <c r="B143">
        <f>titanic!E143</f>
        <v>24</v>
      </c>
    </row>
    <row r="144" spans="1:2" x14ac:dyDescent="0.3">
      <c r="A144" t="str">
        <f>titanic!C144</f>
        <v>Mr. Jeremiah Burke</v>
      </c>
      <c r="B144">
        <f>titanic!E144</f>
        <v>19</v>
      </c>
    </row>
    <row r="145" spans="1:2" x14ac:dyDescent="0.3">
      <c r="A145" t="str">
        <f>titanic!C145</f>
        <v>Mr. Edgardo Samuel Andrew</v>
      </c>
      <c r="B145">
        <f>titanic!E145</f>
        <v>18</v>
      </c>
    </row>
    <row r="146" spans="1:2" x14ac:dyDescent="0.3">
      <c r="A146" t="str">
        <f>titanic!C146</f>
        <v>Mr. Joseph Charles Nicholls</v>
      </c>
      <c r="B146">
        <f>titanic!E146</f>
        <v>19</v>
      </c>
    </row>
    <row r="147" spans="1:2" x14ac:dyDescent="0.3">
      <c r="A147" t="str">
        <f>titanic!C147</f>
        <v>Mr. August Edvard Andersson</v>
      </c>
      <c r="B147">
        <f>titanic!E147</f>
        <v>27</v>
      </c>
    </row>
    <row r="148" spans="1:2" x14ac:dyDescent="0.3">
      <c r="A148" t="str">
        <f>titanic!C148</f>
        <v>Miss. Robina Maggie Ford</v>
      </c>
      <c r="B148">
        <f>titanic!E148</f>
        <v>9</v>
      </c>
    </row>
    <row r="149" spans="1:2" x14ac:dyDescent="0.3">
      <c r="A149" t="str">
        <f>titanic!C149</f>
        <v>Mr. Michel Navratil</v>
      </c>
      <c r="B149">
        <f>titanic!E149</f>
        <v>36.5</v>
      </c>
    </row>
    <row r="150" spans="1:2" x14ac:dyDescent="0.3">
      <c r="A150" t="str">
        <f>titanic!C150</f>
        <v>Rev. Thomas Roussel Davids Byles</v>
      </c>
      <c r="B150">
        <f>titanic!E150</f>
        <v>42</v>
      </c>
    </row>
    <row r="151" spans="1:2" x14ac:dyDescent="0.3">
      <c r="A151" t="str">
        <f>titanic!C151</f>
        <v>Rev. Robert James Bateman</v>
      </c>
      <c r="B151">
        <f>titanic!E151</f>
        <v>51</v>
      </c>
    </row>
    <row r="152" spans="1:2" x14ac:dyDescent="0.3">
      <c r="A152" t="str">
        <f>titanic!C152</f>
        <v>Mrs. Thomas (Edith Wearne) Pears</v>
      </c>
      <c r="B152">
        <f>titanic!E152</f>
        <v>22</v>
      </c>
    </row>
    <row r="153" spans="1:2" x14ac:dyDescent="0.3">
      <c r="A153" t="str">
        <f>titanic!C153</f>
        <v>Mr. Alfonzo Meo</v>
      </c>
      <c r="B153">
        <f>titanic!E153</f>
        <v>55.5</v>
      </c>
    </row>
    <row r="154" spans="1:2" x14ac:dyDescent="0.3">
      <c r="A154" t="str">
        <f>titanic!C154</f>
        <v>Mr. Austin Blyler van Billiard</v>
      </c>
      <c r="B154">
        <f>titanic!E154</f>
        <v>40.5</v>
      </c>
    </row>
    <row r="155" spans="1:2" x14ac:dyDescent="0.3">
      <c r="A155" t="str">
        <f>titanic!C155</f>
        <v>Mr. Ole Martin Olsen</v>
      </c>
      <c r="B155">
        <f>titanic!E155</f>
        <v>27</v>
      </c>
    </row>
    <row r="156" spans="1:2" x14ac:dyDescent="0.3">
      <c r="A156" t="str">
        <f>titanic!C156</f>
        <v>Mr. Charles Duane Williams</v>
      </c>
      <c r="B156">
        <f>titanic!E156</f>
        <v>51</v>
      </c>
    </row>
    <row r="157" spans="1:2" x14ac:dyDescent="0.3">
      <c r="A157" t="str">
        <f>titanic!C157</f>
        <v>Miss. Katherine Gilnagh</v>
      </c>
      <c r="B157">
        <f>titanic!E157</f>
        <v>16</v>
      </c>
    </row>
    <row r="158" spans="1:2" x14ac:dyDescent="0.3">
      <c r="A158" t="str">
        <f>titanic!C158</f>
        <v>Mr. Harry Corn</v>
      </c>
      <c r="B158">
        <f>titanic!E158</f>
        <v>30</v>
      </c>
    </row>
    <row r="159" spans="1:2" x14ac:dyDescent="0.3">
      <c r="A159" t="str">
        <f>titanic!C159</f>
        <v>Mr. Mile Smiljanic</v>
      </c>
      <c r="B159">
        <f>titanic!E159</f>
        <v>37</v>
      </c>
    </row>
    <row r="160" spans="1:2" x14ac:dyDescent="0.3">
      <c r="A160" t="str">
        <f>titanic!C160</f>
        <v>Master. Thomas Henry Sage</v>
      </c>
      <c r="B160">
        <f>titanic!E160</f>
        <v>5</v>
      </c>
    </row>
    <row r="161" spans="1:2" x14ac:dyDescent="0.3">
      <c r="A161" t="str">
        <f>titanic!C161</f>
        <v>Mr. John Hatfield Cribb</v>
      </c>
      <c r="B161">
        <f>titanic!E161</f>
        <v>44</v>
      </c>
    </row>
    <row r="162" spans="1:2" x14ac:dyDescent="0.3">
      <c r="A162" t="str">
        <f>titanic!C162</f>
        <v>Mrs. James (Elizabeth Inglis Milne) Watt</v>
      </c>
      <c r="B162">
        <f>titanic!E162</f>
        <v>40</v>
      </c>
    </row>
    <row r="163" spans="1:2" x14ac:dyDescent="0.3">
      <c r="A163" t="str">
        <f>titanic!C163</f>
        <v>Mr. John Viktor Bengtsson</v>
      </c>
      <c r="B163">
        <f>titanic!E163</f>
        <v>26</v>
      </c>
    </row>
    <row r="164" spans="1:2" x14ac:dyDescent="0.3">
      <c r="A164" t="str">
        <f>titanic!C164</f>
        <v>Mr. Jovo Calic</v>
      </c>
      <c r="B164">
        <f>titanic!E164</f>
        <v>17</v>
      </c>
    </row>
    <row r="165" spans="1:2" x14ac:dyDescent="0.3">
      <c r="A165" t="str">
        <f>titanic!C165</f>
        <v>Master. Eino Viljami Panula</v>
      </c>
      <c r="B165">
        <f>titanic!E165</f>
        <v>1</v>
      </c>
    </row>
    <row r="166" spans="1:2" x14ac:dyDescent="0.3">
      <c r="A166" t="str">
        <f>titanic!C166</f>
        <v>Master. Frank John William Goldsmith</v>
      </c>
      <c r="B166">
        <f>titanic!E166</f>
        <v>9</v>
      </c>
    </row>
    <row r="167" spans="1:2" x14ac:dyDescent="0.3">
      <c r="A167" t="str">
        <f>titanic!C167</f>
        <v>Mrs. (Edith Martha Bowerman) Chibnall</v>
      </c>
      <c r="B167">
        <f>titanic!E167</f>
        <v>48</v>
      </c>
    </row>
    <row r="168" spans="1:2" x14ac:dyDescent="0.3">
      <c r="A168" t="str">
        <f>titanic!C168</f>
        <v>Mrs. William (Anna Bernhardina Karlsson) Skoog</v>
      </c>
      <c r="B168">
        <f>titanic!E168</f>
        <v>45</v>
      </c>
    </row>
    <row r="169" spans="1:2" x14ac:dyDescent="0.3">
      <c r="A169" t="str">
        <f>titanic!C169</f>
        <v>Mr. John D Baumann</v>
      </c>
      <c r="B169">
        <f>titanic!E169</f>
        <v>60</v>
      </c>
    </row>
    <row r="170" spans="1:2" x14ac:dyDescent="0.3">
      <c r="A170" t="str">
        <f>titanic!C170</f>
        <v>Mr. Lee Ling</v>
      </c>
      <c r="B170">
        <f>titanic!E170</f>
        <v>28</v>
      </c>
    </row>
    <row r="171" spans="1:2" x14ac:dyDescent="0.3">
      <c r="A171" t="str">
        <f>titanic!C171</f>
        <v>Mr. Wyckoff Van der hoef</v>
      </c>
      <c r="B171">
        <f>titanic!E171</f>
        <v>61</v>
      </c>
    </row>
    <row r="172" spans="1:2" x14ac:dyDescent="0.3">
      <c r="A172" t="str">
        <f>titanic!C172</f>
        <v>Master. Arthur Rice</v>
      </c>
      <c r="B172">
        <f>titanic!E172</f>
        <v>4</v>
      </c>
    </row>
    <row r="173" spans="1:2" x14ac:dyDescent="0.3">
      <c r="A173" t="str">
        <f>titanic!C173</f>
        <v>Miss. Eleanor Ileen Johnson</v>
      </c>
      <c r="B173">
        <f>titanic!E173</f>
        <v>1</v>
      </c>
    </row>
    <row r="174" spans="1:2" x14ac:dyDescent="0.3">
      <c r="A174" t="str">
        <f>titanic!C174</f>
        <v>Mr. Antti Wilhelm Sivola</v>
      </c>
      <c r="B174">
        <f>titanic!E174</f>
        <v>21</v>
      </c>
    </row>
    <row r="175" spans="1:2" x14ac:dyDescent="0.3">
      <c r="A175" t="str">
        <f>titanic!C175</f>
        <v>Mr. James Clinch Smith</v>
      </c>
      <c r="B175">
        <f>titanic!E175</f>
        <v>56</v>
      </c>
    </row>
    <row r="176" spans="1:2" x14ac:dyDescent="0.3">
      <c r="A176" t="str">
        <f>titanic!C176</f>
        <v>Mr. Klas Albin Klasen</v>
      </c>
      <c r="B176">
        <f>titanic!E176</f>
        <v>18</v>
      </c>
    </row>
    <row r="177" spans="1:2" x14ac:dyDescent="0.3">
      <c r="A177" t="str">
        <f>titanic!C177</f>
        <v>Master. Henry Forbes Lefebre</v>
      </c>
      <c r="B177">
        <f>titanic!E177</f>
        <v>5</v>
      </c>
    </row>
    <row r="178" spans="1:2" x14ac:dyDescent="0.3">
      <c r="A178" t="str">
        <f>titanic!C178</f>
        <v>Miss. Ann Elizabeth Isham</v>
      </c>
      <c r="B178">
        <f>titanic!E178</f>
        <v>50</v>
      </c>
    </row>
    <row r="179" spans="1:2" x14ac:dyDescent="0.3">
      <c r="A179" t="str">
        <f>titanic!C179</f>
        <v>Mr. Reginald Hale</v>
      </c>
      <c r="B179">
        <f>titanic!E179</f>
        <v>30</v>
      </c>
    </row>
    <row r="180" spans="1:2" x14ac:dyDescent="0.3">
      <c r="A180" t="str">
        <f>titanic!C180</f>
        <v>Mr. Lionel Leonard</v>
      </c>
      <c r="B180">
        <f>titanic!E180</f>
        <v>36</v>
      </c>
    </row>
    <row r="181" spans="1:2" x14ac:dyDescent="0.3">
      <c r="A181" t="str">
        <f>titanic!C181</f>
        <v>Miss. Constance Gladys Sage</v>
      </c>
      <c r="B181">
        <f>titanic!E181</f>
        <v>8</v>
      </c>
    </row>
    <row r="182" spans="1:2" x14ac:dyDescent="0.3">
      <c r="A182" t="str">
        <f>titanic!C182</f>
        <v>Mr. Rene Pernot</v>
      </c>
      <c r="B182">
        <f>titanic!E182</f>
        <v>39</v>
      </c>
    </row>
    <row r="183" spans="1:2" x14ac:dyDescent="0.3">
      <c r="A183" t="str">
        <f>titanic!C183</f>
        <v>Master. Clarence Gustaf Hugo Asplund</v>
      </c>
      <c r="B183">
        <f>titanic!E183</f>
        <v>9</v>
      </c>
    </row>
    <row r="184" spans="1:2" x14ac:dyDescent="0.3">
      <c r="A184" t="str">
        <f>titanic!C184</f>
        <v>Master. Richard F Becker</v>
      </c>
      <c r="B184">
        <f>titanic!E184</f>
        <v>1</v>
      </c>
    </row>
    <row r="185" spans="1:2" x14ac:dyDescent="0.3">
      <c r="A185" t="str">
        <f>titanic!C185</f>
        <v>Miss. Luise Gretchen Kink-Heilmann</v>
      </c>
      <c r="B185">
        <f>titanic!E185</f>
        <v>4</v>
      </c>
    </row>
    <row r="186" spans="1:2" x14ac:dyDescent="0.3">
      <c r="A186" t="str">
        <f>titanic!C186</f>
        <v>Mr. Hugh Roscoe Rood</v>
      </c>
      <c r="B186">
        <f>titanic!E186</f>
        <v>39</v>
      </c>
    </row>
    <row r="187" spans="1:2" x14ac:dyDescent="0.3">
      <c r="A187" t="str">
        <f>titanic!C187</f>
        <v>Mrs. Thomas (Johanna Godfrey) O'Brien</v>
      </c>
      <c r="B187">
        <f>titanic!E187</f>
        <v>26</v>
      </c>
    </row>
    <row r="188" spans="1:2" x14ac:dyDescent="0.3">
      <c r="A188" t="str">
        <f>titanic!C188</f>
        <v>Mr. Charles Hallace Romaine</v>
      </c>
      <c r="B188">
        <f>titanic!E188</f>
        <v>45</v>
      </c>
    </row>
    <row r="189" spans="1:2" x14ac:dyDescent="0.3">
      <c r="A189" t="str">
        <f>titanic!C189</f>
        <v>Mr. John Bourke</v>
      </c>
      <c r="B189">
        <f>titanic!E189</f>
        <v>40</v>
      </c>
    </row>
    <row r="190" spans="1:2" x14ac:dyDescent="0.3">
      <c r="A190" t="str">
        <f>titanic!C190</f>
        <v>Mr. Stjepan Turcin</v>
      </c>
      <c r="B190">
        <f>titanic!E190</f>
        <v>36</v>
      </c>
    </row>
    <row r="191" spans="1:2" x14ac:dyDescent="0.3">
      <c r="A191" t="str">
        <f>titanic!C191</f>
        <v>Mrs. (Rosa) Pinsky</v>
      </c>
      <c r="B191">
        <f>titanic!E191</f>
        <v>32</v>
      </c>
    </row>
    <row r="192" spans="1:2" x14ac:dyDescent="0.3">
      <c r="A192" t="str">
        <f>titanic!C192</f>
        <v>Mr. William Carbines</v>
      </c>
      <c r="B192">
        <f>titanic!E192</f>
        <v>19</v>
      </c>
    </row>
    <row r="193" spans="1:2" x14ac:dyDescent="0.3">
      <c r="A193" t="str">
        <f>titanic!C193</f>
        <v>Miss. Carla Christine Nielsine Andersen-Jensen</v>
      </c>
      <c r="B193">
        <f>titanic!E193</f>
        <v>19</v>
      </c>
    </row>
    <row r="194" spans="1:2" x14ac:dyDescent="0.3">
      <c r="A194" t="str">
        <f>titanic!C194</f>
        <v>Master. Michel M Navratil</v>
      </c>
      <c r="B194">
        <f>titanic!E194</f>
        <v>3</v>
      </c>
    </row>
    <row r="195" spans="1:2" x14ac:dyDescent="0.3">
      <c r="A195" t="str">
        <f>titanic!C195</f>
        <v>Mrs. James Joseph (Margaret Tobin) Brown</v>
      </c>
      <c r="B195">
        <f>titanic!E195</f>
        <v>44</v>
      </c>
    </row>
    <row r="196" spans="1:2" x14ac:dyDescent="0.3">
      <c r="A196" t="str">
        <f>titanic!C196</f>
        <v>Miss. Elise Lurette</v>
      </c>
      <c r="B196">
        <f>titanic!E196</f>
        <v>58</v>
      </c>
    </row>
    <row r="197" spans="1:2" x14ac:dyDescent="0.3">
      <c r="A197" t="str">
        <f>titanic!C197</f>
        <v>Mr. Robert Mernagh</v>
      </c>
      <c r="B197">
        <f>titanic!E197</f>
        <v>28</v>
      </c>
    </row>
    <row r="198" spans="1:2" x14ac:dyDescent="0.3">
      <c r="A198" t="str">
        <f>titanic!C198</f>
        <v>Mr. Karl Siegwart Andreas Olsen</v>
      </c>
      <c r="B198">
        <f>titanic!E198</f>
        <v>42</v>
      </c>
    </row>
    <row r="199" spans="1:2" x14ac:dyDescent="0.3">
      <c r="A199" t="str">
        <f>titanic!C199</f>
        <v>Miss. Margaret Madigan</v>
      </c>
      <c r="B199">
        <f>titanic!E199</f>
        <v>21</v>
      </c>
    </row>
    <row r="200" spans="1:2" x14ac:dyDescent="0.3">
      <c r="A200" t="str">
        <f>titanic!C200</f>
        <v>Miss. Henriette Yrois</v>
      </c>
      <c r="B200">
        <f>titanic!E200</f>
        <v>24</v>
      </c>
    </row>
    <row r="201" spans="1:2" x14ac:dyDescent="0.3">
      <c r="A201" t="str">
        <f>titanic!C201</f>
        <v>Mr. Nestor Cyriel Vande Walle</v>
      </c>
      <c r="B201">
        <f>titanic!E201</f>
        <v>28</v>
      </c>
    </row>
    <row r="202" spans="1:2" x14ac:dyDescent="0.3">
      <c r="A202" t="str">
        <f>titanic!C202</f>
        <v>Mr. Frederick Sage</v>
      </c>
      <c r="B202">
        <f>titanic!E202</f>
        <v>17</v>
      </c>
    </row>
    <row r="203" spans="1:2" x14ac:dyDescent="0.3">
      <c r="A203" t="str">
        <f>titanic!C203</f>
        <v>Mr. Jakob Alfred Johanson</v>
      </c>
      <c r="B203">
        <f>titanic!E203</f>
        <v>34</v>
      </c>
    </row>
    <row r="204" spans="1:2" x14ac:dyDescent="0.3">
      <c r="A204" t="str">
        <f>titanic!C204</f>
        <v>Mr. Gerious Youseff</v>
      </c>
      <c r="B204">
        <f>titanic!E204</f>
        <v>45.5</v>
      </c>
    </row>
    <row r="205" spans="1:2" x14ac:dyDescent="0.3">
      <c r="A205" t="str">
        <f>titanic!C205</f>
        <v>Mr. Gurshon Cohen</v>
      </c>
      <c r="B205">
        <f>titanic!E205</f>
        <v>18</v>
      </c>
    </row>
    <row r="206" spans="1:2" x14ac:dyDescent="0.3">
      <c r="A206" t="str">
        <f>titanic!C206</f>
        <v>Miss. Telma Matilda Strom</v>
      </c>
      <c r="B206">
        <f>titanic!E206</f>
        <v>2</v>
      </c>
    </row>
    <row r="207" spans="1:2" x14ac:dyDescent="0.3">
      <c r="A207" t="str">
        <f>titanic!C207</f>
        <v>Mr. Karl Alfred Backstrom</v>
      </c>
      <c r="B207">
        <f>titanic!E207</f>
        <v>32</v>
      </c>
    </row>
    <row r="208" spans="1:2" x14ac:dyDescent="0.3">
      <c r="A208" t="str">
        <f>titanic!C208</f>
        <v>Mr. Nassef Cassem Albimona</v>
      </c>
      <c r="B208">
        <f>titanic!E208</f>
        <v>26</v>
      </c>
    </row>
    <row r="209" spans="1:2" x14ac:dyDescent="0.3">
      <c r="A209" t="str">
        <f>titanic!C209</f>
        <v>Miss. Helen Carr</v>
      </c>
      <c r="B209">
        <f>titanic!E209</f>
        <v>16</v>
      </c>
    </row>
    <row r="210" spans="1:2" x14ac:dyDescent="0.3">
      <c r="A210" t="str">
        <f>titanic!C210</f>
        <v>Mr. Henry Blank</v>
      </c>
      <c r="B210">
        <f>titanic!E210</f>
        <v>40</v>
      </c>
    </row>
    <row r="211" spans="1:2" x14ac:dyDescent="0.3">
      <c r="A211" t="str">
        <f>titanic!C211</f>
        <v>Mr. Ahmed Ali</v>
      </c>
      <c r="B211">
        <f>titanic!E211</f>
        <v>24</v>
      </c>
    </row>
    <row r="212" spans="1:2" x14ac:dyDescent="0.3">
      <c r="A212" t="str">
        <f>titanic!C212</f>
        <v>Miss. Clear Annie Cameron</v>
      </c>
      <c r="B212">
        <f>titanic!E212</f>
        <v>35</v>
      </c>
    </row>
    <row r="213" spans="1:2" x14ac:dyDescent="0.3">
      <c r="A213" t="str">
        <f>titanic!C213</f>
        <v>Mr. John Henry Perkin</v>
      </c>
      <c r="B213">
        <f>titanic!E213</f>
        <v>22</v>
      </c>
    </row>
    <row r="214" spans="1:2" x14ac:dyDescent="0.3">
      <c r="A214" t="str">
        <f>titanic!C214</f>
        <v>Mr. Hans Kristensen Givard</v>
      </c>
      <c r="B214">
        <f>titanic!E214</f>
        <v>30</v>
      </c>
    </row>
    <row r="215" spans="1:2" x14ac:dyDescent="0.3">
      <c r="A215" t="str">
        <f>titanic!C215</f>
        <v>Mr. Philip Kiernan</v>
      </c>
      <c r="B215">
        <f>titanic!E215</f>
        <v>22</v>
      </c>
    </row>
    <row r="216" spans="1:2" x14ac:dyDescent="0.3">
      <c r="A216" t="str">
        <f>titanic!C216</f>
        <v>Miss. Madeleine Newell</v>
      </c>
      <c r="B216">
        <f>titanic!E216</f>
        <v>31</v>
      </c>
    </row>
    <row r="217" spans="1:2" x14ac:dyDescent="0.3">
      <c r="A217" t="str">
        <f>titanic!C217</f>
        <v>Miss. Eliina Honkanen</v>
      </c>
      <c r="B217">
        <f>titanic!E217</f>
        <v>27</v>
      </c>
    </row>
    <row r="218" spans="1:2" x14ac:dyDescent="0.3">
      <c r="A218" t="str">
        <f>titanic!C218</f>
        <v>Mr. Sidney Samuel Jacobsohn</v>
      </c>
      <c r="B218">
        <f>titanic!E218</f>
        <v>42</v>
      </c>
    </row>
    <row r="219" spans="1:2" x14ac:dyDescent="0.3">
      <c r="A219" t="str">
        <f>titanic!C219</f>
        <v>Miss. Albina Bazzani</v>
      </c>
      <c r="B219">
        <f>titanic!E219</f>
        <v>32</v>
      </c>
    </row>
    <row r="220" spans="1:2" x14ac:dyDescent="0.3">
      <c r="A220" t="str">
        <f>titanic!C220</f>
        <v>Mr. Walter Harris</v>
      </c>
      <c r="B220">
        <f>titanic!E220</f>
        <v>30</v>
      </c>
    </row>
    <row r="221" spans="1:2" x14ac:dyDescent="0.3">
      <c r="A221" t="str">
        <f>titanic!C221</f>
        <v>Mr. Victor Francis Sunderland</v>
      </c>
      <c r="B221">
        <f>titanic!E221</f>
        <v>16</v>
      </c>
    </row>
    <row r="222" spans="1:2" x14ac:dyDescent="0.3">
      <c r="A222" t="str">
        <f>titanic!C222</f>
        <v>Mr. James H Bracken</v>
      </c>
      <c r="B222">
        <f>titanic!E222</f>
        <v>27</v>
      </c>
    </row>
    <row r="223" spans="1:2" x14ac:dyDescent="0.3">
      <c r="A223" t="str">
        <f>titanic!C223</f>
        <v>Mr. George Henry Green</v>
      </c>
      <c r="B223">
        <f>titanic!E223</f>
        <v>51</v>
      </c>
    </row>
    <row r="224" spans="1:2" x14ac:dyDescent="0.3">
      <c r="A224" t="str">
        <f>titanic!C224</f>
        <v>Mr. Christo Nenkoff</v>
      </c>
      <c r="B224">
        <f>titanic!E224</f>
        <v>22</v>
      </c>
    </row>
    <row r="225" spans="1:2" x14ac:dyDescent="0.3">
      <c r="A225" t="str">
        <f>titanic!C225</f>
        <v>Mr. Frederick Maxfield Hoyt</v>
      </c>
      <c r="B225">
        <f>titanic!E225</f>
        <v>38</v>
      </c>
    </row>
    <row r="226" spans="1:2" x14ac:dyDescent="0.3">
      <c r="A226" t="str">
        <f>titanic!C226</f>
        <v>Mr. Karl Ivar Sven Berglund</v>
      </c>
      <c r="B226">
        <f>titanic!E226</f>
        <v>22</v>
      </c>
    </row>
    <row r="227" spans="1:2" x14ac:dyDescent="0.3">
      <c r="A227" t="str">
        <f>titanic!C227</f>
        <v>Mr. William John Mellors</v>
      </c>
      <c r="B227">
        <f>titanic!E227</f>
        <v>19</v>
      </c>
    </row>
    <row r="228" spans="1:2" x14ac:dyDescent="0.3">
      <c r="A228" t="str">
        <f>titanic!C228</f>
        <v>Mr. John Hall Lovell</v>
      </c>
      <c r="B228">
        <f>titanic!E228</f>
        <v>20.5</v>
      </c>
    </row>
    <row r="229" spans="1:2" x14ac:dyDescent="0.3">
      <c r="A229" t="str">
        <f>titanic!C229</f>
        <v>Mr. Arne Jonas Fahlstrom</v>
      </c>
      <c r="B229">
        <f>titanic!E229</f>
        <v>18</v>
      </c>
    </row>
    <row r="230" spans="1:2" x14ac:dyDescent="0.3">
      <c r="A230" t="str">
        <f>titanic!C230</f>
        <v>Miss. Mathilde Lefebre</v>
      </c>
      <c r="B230">
        <f>titanic!E230</f>
        <v>12</v>
      </c>
    </row>
    <row r="231" spans="1:2" x14ac:dyDescent="0.3">
      <c r="A231" t="str">
        <f>titanic!C231</f>
        <v>Mrs. Henry Birkhardt (Irene Wallach) Harris</v>
      </c>
      <c r="B231">
        <f>titanic!E231</f>
        <v>35</v>
      </c>
    </row>
    <row r="232" spans="1:2" x14ac:dyDescent="0.3">
      <c r="A232" t="str">
        <f>titanic!C232</f>
        <v>Mr. Bengt Edvin Larsson</v>
      </c>
      <c r="B232">
        <f>titanic!E232</f>
        <v>29</v>
      </c>
    </row>
    <row r="233" spans="1:2" x14ac:dyDescent="0.3">
      <c r="A233" t="str">
        <f>titanic!C233</f>
        <v>Mr. Ernst Adolf Sjostedt</v>
      </c>
      <c r="B233">
        <f>titanic!E233</f>
        <v>59</v>
      </c>
    </row>
    <row r="234" spans="1:2" x14ac:dyDescent="0.3">
      <c r="A234" t="str">
        <f>titanic!C234</f>
        <v>Miss. Lillian Gertrud Asplund</v>
      </c>
      <c r="B234">
        <f>titanic!E234</f>
        <v>5</v>
      </c>
    </row>
    <row r="235" spans="1:2" x14ac:dyDescent="0.3">
      <c r="A235" t="str">
        <f>titanic!C235</f>
        <v>Mr. Robert William Norman Leyson</v>
      </c>
      <c r="B235">
        <f>titanic!E235</f>
        <v>24</v>
      </c>
    </row>
    <row r="236" spans="1:2" x14ac:dyDescent="0.3">
      <c r="A236" t="str">
        <f>titanic!C236</f>
        <v>Miss. Alice Phoebe Harknett</v>
      </c>
      <c r="B236">
        <f>titanic!E236</f>
        <v>21</v>
      </c>
    </row>
    <row r="237" spans="1:2" x14ac:dyDescent="0.3">
      <c r="A237" t="str">
        <f>titanic!C237</f>
        <v>Mr. Stephen Hold</v>
      </c>
      <c r="B237">
        <f>titanic!E237</f>
        <v>44</v>
      </c>
    </row>
    <row r="238" spans="1:2" x14ac:dyDescent="0.3">
      <c r="A238" t="str">
        <f>titanic!C238</f>
        <v>Miss. Marjorie Collyer</v>
      </c>
      <c r="B238">
        <f>titanic!E238</f>
        <v>8</v>
      </c>
    </row>
    <row r="239" spans="1:2" x14ac:dyDescent="0.3">
      <c r="A239" t="str">
        <f>titanic!C239</f>
        <v>Mr. Frederick William Pengelly</v>
      </c>
      <c r="B239">
        <f>titanic!E239</f>
        <v>19</v>
      </c>
    </row>
    <row r="240" spans="1:2" x14ac:dyDescent="0.3">
      <c r="A240" t="str">
        <f>titanic!C240</f>
        <v>Mr. George Henry Hunt</v>
      </c>
      <c r="B240">
        <f>titanic!E240</f>
        <v>33</v>
      </c>
    </row>
    <row r="241" spans="1:2" x14ac:dyDescent="0.3">
      <c r="A241" t="str">
        <f>titanic!C241</f>
        <v>Miss. Thamine Zabour</v>
      </c>
      <c r="B241">
        <f>titanic!E241</f>
        <v>19</v>
      </c>
    </row>
    <row r="242" spans="1:2" x14ac:dyDescent="0.3">
      <c r="A242" t="str">
        <f>titanic!C242</f>
        <v>Miss. Katherine Murphy</v>
      </c>
      <c r="B242">
        <f>titanic!E242</f>
        <v>18</v>
      </c>
    </row>
    <row r="243" spans="1:2" x14ac:dyDescent="0.3">
      <c r="A243" t="str">
        <f>titanic!C243</f>
        <v>Mr. Reginald Charles Coleridge</v>
      </c>
      <c r="B243">
        <f>titanic!E243</f>
        <v>29</v>
      </c>
    </row>
    <row r="244" spans="1:2" x14ac:dyDescent="0.3">
      <c r="A244" t="str">
        <f>titanic!C244</f>
        <v>Mr. Matti Alexanteri Maenpaa</v>
      </c>
      <c r="B244">
        <f>titanic!E244</f>
        <v>22</v>
      </c>
    </row>
    <row r="245" spans="1:2" x14ac:dyDescent="0.3">
      <c r="A245" t="str">
        <f>titanic!C245</f>
        <v>Mr. Sleiman Attalah</v>
      </c>
      <c r="B245">
        <f>titanic!E245</f>
        <v>30</v>
      </c>
    </row>
    <row r="246" spans="1:2" x14ac:dyDescent="0.3">
      <c r="A246" t="str">
        <f>titanic!C246</f>
        <v>Dr. William Edward Minahan</v>
      </c>
      <c r="B246">
        <f>titanic!E246</f>
        <v>44</v>
      </c>
    </row>
    <row r="247" spans="1:2" x14ac:dyDescent="0.3">
      <c r="A247" t="str">
        <f>titanic!C247</f>
        <v>Miss. Agda Thorilda Viktoria Lindahl</v>
      </c>
      <c r="B247">
        <f>titanic!E247</f>
        <v>25</v>
      </c>
    </row>
    <row r="248" spans="1:2" x14ac:dyDescent="0.3">
      <c r="A248" t="str">
        <f>titanic!C248</f>
        <v>Mrs. William (Anna) Hamalainen</v>
      </c>
      <c r="B248">
        <f>titanic!E248</f>
        <v>24</v>
      </c>
    </row>
    <row r="249" spans="1:2" x14ac:dyDescent="0.3">
      <c r="A249" t="str">
        <f>titanic!C249</f>
        <v>Mr. Richard Leonard Beckwith</v>
      </c>
      <c r="B249">
        <f>titanic!E249</f>
        <v>37</v>
      </c>
    </row>
    <row r="250" spans="1:2" x14ac:dyDescent="0.3">
      <c r="A250" t="str">
        <f>titanic!C250</f>
        <v>Rev. Ernest Courtenay Carter</v>
      </c>
      <c r="B250">
        <f>titanic!E250</f>
        <v>54</v>
      </c>
    </row>
    <row r="251" spans="1:2" x14ac:dyDescent="0.3">
      <c r="A251" t="str">
        <f>titanic!C251</f>
        <v>Mr. James George Reed</v>
      </c>
      <c r="B251">
        <f>titanic!E251</f>
        <v>18</v>
      </c>
    </row>
    <row r="252" spans="1:2" x14ac:dyDescent="0.3">
      <c r="A252" t="str">
        <f>titanic!C252</f>
        <v>Mrs. Wilhelm (Elna Matilda Persson) Strom</v>
      </c>
      <c r="B252">
        <f>titanic!E252</f>
        <v>29</v>
      </c>
    </row>
    <row r="253" spans="1:2" x14ac:dyDescent="0.3">
      <c r="A253" t="str">
        <f>titanic!C253</f>
        <v>Mr. William Thomas Stead</v>
      </c>
      <c r="B253">
        <f>titanic!E253</f>
        <v>62</v>
      </c>
    </row>
    <row r="254" spans="1:2" x14ac:dyDescent="0.3">
      <c r="A254" t="str">
        <f>titanic!C254</f>
        <v>Mr. William Arthur Lobb</v>
      </c>
      <c r="B254">
        <f>titanic!E254</f>
        <v>30</v>
      </c>
    </row>
    <row r="255" spans="1:2" x14ac:dyDescent="0.3">
      <c r="A255" t="str">
        <f>titanic!C255</f>
        <v>Mrs. Viktor (Helena Wilhelmina) Rosblom</v>
      </c>
      <c r="B255">
        <f>titanic!E255</f>
        <v>41</v>
      </c>
    </row>
    <row r="256" spans="1:2" x14ac:dyDescent="0.3">
      <c r="A256" t="str">
        <f>titanic!C256</f>
        <v>Mrs. Darwis (Hanne Youssef Razi) Touma</v>
      </c>
      <c r="B256">
        <f>titanic!E256</f>
        <v>29</v>
      </c>
    </row>
    <row r="257" spans="1:2" x14ac:dyDescent="0.3">
      <c r="A257" t="str">
        <f>titanic!C257</f>
        <v>Mrs. Gertrude Maybelle Thorne</v>
      </c>
      <c r="B257">
        <f>titanic!E257</f>
        <v>38</v>
      </c>
    </row>
    <row r="258" spans="1:2" x14ac:dyDescent="0.3">
      <c r="A258" t="str">
        <f>titanic!C258</f>
        <v>Miss. Gladys Cherry</v>
      </c>
      <c r="B258">
        <f>titanic!E258</f>
        <v>30</v>
      </c>
    </row>
    <row r="259" spans="1:2" x14ac:dyDescent="0.3">
      <c r="A259" t="str">
        <f>titanic!C259</f>
        <v>Miss. Anna Ward</v>
      </c>
      <c r="B259">
        <f>titanic!E259</f>
        <v>35</v>
      </c>
    </row>
    <row r="260" spans="1:2" x14ac:dyDescent="0.3">
      <c r="A260" t="str">
        <f>titanic!C260</f>
        <v>Mrs. (Lutie Davis) Parrish</v>
      </c>
      <c r="B260">
        <f>titanic!E260</f>
        <v>50</v>
      </c>
    </row>
    <row r="261" spans="1:2" x14ac:dyDescent="0.3">
      <c r="A261" t="str">
        <f>titanic!C261</f>
        <v>Master. Edvin Rojj Felix Asplund</v>
      </c>
      <c r="B261">
        <f>titanic!E261</f>
        <v>3</v>
      </c>
    </row>
    <row r="262" spans="1:2" x14ac:dyDescent="0.3">
      <c r="A262" t="str">
        <f>titanic!C262</f>
        <v>Mr. Emil Taussig</v>
      </c>
      <c r="B262">
        <f>titanic!E262</f>
        <v>52</v>
      </c>
    </row>
    <row r="263" spans="1:2" x14ac:dyDescent="0.3">
      <c r="A263" t="str">
        <f>titanic!C263</f>
        <v>Mr. William Harrison</v>
      </c>
      <c r="B263">
        <f>titanic!E263</f>
        <v>40</v>
      </c>
    </row>
    <row r="264" spans="1:2" x14ac:dyDescent="0.3">
      <c r="A264" t="str">
        <f>titanic!C264</f>
        <v>Miss. Delia Henry</v>
      </c>
      <c r="B264">
        <f>titanic!E264</f>
        <v>21</v>
      </c>
    </row>
    <row r="265" spans="1:2" x14ac:dyDescent="0.3">
      <c r="A265" t="str">
        <f>titanic!C265</f>
        <v>Mr. David Reeves</v>
      </c>
      <c r="B265">
        <f>titanic!E265</f>
        <v>36</v>
      </c>
    </row>
    <row r="266" spans="1:2" x14ac:dyDescent="0.3">
      <c r="A266" t="str">
        <f>titanic!C266</f>
        <v>Mr. Ernesti Arvid Panula</v>
      </c>
      <c r="B266">
        <f>titanic!E266</f>
        <v>16</v>
      </c>
    </row>
    <row r="267" spans="1:2" x14ac:dyDescent="0.3">
      <c r="A267" t="str">
        <f>titanic!C267</f>
        <v>Mr. Ernst Ulrik Persson</v>
      </c>
      <c r="B267">
        <f>titanic!E267</f>
        <v>25</v>
      </c>
    </row>
    <row r="268" spans="1:2" x14ac:dyDescent="0.3">
      <c r="A268" t="str">
        <f>titanic!C268</f>
        <v>Mrs. William Thompson (Edith Junkins) Graham</v>
      </c>
      <c r="B268">
        <f>titanic!E268</f>
        <v>58</v>
      </c>
    </row>
    <row r="269" spans="1:2" x14ac:dyDescent="0.3">
      <c r="A269" t="str">
        <f>titanic!C269</f>
        <v>Miss. Amelia Bissette</v>
      </c>
      <c r="B269">
        <f>titanic!E269</f>
        <v>35</v>
      </c>
    </row>
    <row r="270" spans="1:2" x14ac:dyDescent="0.3">
      <c r="A270" t="str">
        <f>titanic!C270</f>
        <v>Mr. Alexander Cairns</v>
      </c>
      <c r="B270">
        <f>titanic!E270</f>
        <v>28</v>
      </c>
    </row>
    <row r="271" spans="1:2" x14ac:dyDescent="0.3">
      <c r="A271" t="str">
        <f>titanic!C271</f>
        <v>Mr. William Henry Tornquist</v>
      </c>
      <c r="B271">
        <f>titanic!E271</f>
        <v>25</v>
      </c>
    </row>
    <row r="272" spans="1:2" x14ac:dyDescent="0.3">
      <c r="A272" t="str">
        <f>titanic!C272</f>
        <v>Mrs. (Elizabeth Anne Maidment) Mellinger</v>
      </c>
      <c r="B272">
        <f>titanic!E272</f>
        <v>41</v>
      </c>
    </row>
    <row r="273" spans="1:2" x14ac:dyDescent="0.3">
      <c r="A273" t="str">
        <f>titanic!C273</f>
        <v>Mr. Charles H Natsch</v>
      </c>
      <c r="B273">
        <f>titanic!E273</f>
        <v>37</v>
      </c>
    </row>
    <row r="274" spans="1:2" x14ac:dyDescent="0.3">
      <c r="A274" t="str">
        <f>titanic!C274</f>
        <v>Miss. Hanora Healy</v>
      </c>
      <c r="B274">
        <f>titanic!E274</f>
        <v>33</v>
      </c>
    </row>
    <row r="275" spans="1:2" x14ac:dyDescent="0.3">
      <c r="A275" t="str">
        <f>titanic!C275</f>
        <v>Miss. Kornelia Theodosia Andrews</v>
      </c>
      <c r="B275">
        <f>titanic!E275</f>
        <v>63</v>
      </c>
    </row>
    <row r="276" spans="1:2" x14ac:dyDescent="0.3">
      <c r="A276" t="str">
        <f>titanic!C276</f>
        <v>Miss. Augusta Charlotta Lindblom</v>
      </c>
      <c r="B276">
        <f>titanic!E276</f>
        <v>45</v>
      </c>
    </row>
    <row r="277" spans="1:2" x14ac:dyDescent="0.3">
      <c r="A277" t="str">
        <f>titanic!C277</f>
        <v>Mr. Francis Parkes</v>
      </c>
      <c r="B277">
        <f>titanic!E277</f>
        <v>21</v>
      </c>
    </row>
    <row r="278" spans="1:2" x14ac:dyDescent="0.3">
      <c r="A278" t="str">
        <f>titanic!C278</f>
        <v>Master. Eric Rice</v>
      </c>
      <c r="B278">
        <f>titanic!E278</f>
        <v>7</v>
      </c>
    </row>
    <row r="279" spans="1:2" x14ac:dyDescent="0.3">
      <c r="A279" t="str">
        <f>titanic!C279</f>
        <v>Mrs. Stanton (Rosa Hunt) Abbott</v>
      </c>
      <c r="B279">
        <f>titanic!E279</f>
        <v>35</v>
      </c>
    </row>
    <row r="280" spans="1:2" x14ac:dyDescent="0.3">
      <c r="A280" t="str">
        <f>titanic!C280</f>
        <v>Mr. Frank Duane</v>
      </c>
      <c r="B280">
        <f>titanic!E280</f>
        <v>65</v>
      </c>
    </row>
    <row r="281" spans="1:2" x14ac:dyDescent="0.3">
      <c r="A281" t="str">
        <f>titanic!C281</f>
        <v>Mr. Nils Johan Goransson Olsson</v>
      </c>
      <c r="B281">
        <f>titanic!E281</f>
        <v>28</v>
      </c>
    </row>
    <row r="282" spans="1:2" x14ac:dyDescent="0.3">
      <c r="A282" t="str">
        <f>titanic!C282</f>
        <v>Mr. Alfons de Pelsmaeker</v>
      </c>
      <c r="B282">
        <f>titanic!E282</f>
        <v>16</v>
      </c>
    </row>
    <row r="283" spans="1:2" x14ac:dyDescent="0.3">
      <c r="A283" t="str">
        <f>titanic!C283</f>
        <v>Mr. Edward Arthur Dorking</v>
      </c>
      <c r="B283">
        <f>titanic!E283</f>
        <v>19</v>
      </c>
    </row>
    <row r="284" spans="1:2" x14ac:dyDescent="0.3">
      <c r="A284" t="str">
        <f>titanic!C284</f>
        <v>Mr. Richard William Smith</v>
      </c>
      <c r="B284">
        <f>titanic!E284</f>
        <v>57</v>
      </c>
    </row>
    <row r="285" spans="1:2" x14ac:dyDescent="0.3">
      <c r="A285" t="str">
        <f>titanic!C285</f>
        <v>Mr. Ivan Stankovic</v>
      </c>
      <c r="B285">
        <f>titanic!E285</f>
        <v>33</v>
      </c>
    </row>
    <row r="286" spans="1:2" x14ac:dyDescent="0.3">
      <c r="A286" t="str">
        <f>titanic!C286</f>
        <v>Mr. Theodore de Mulder</v>
      </c>
      <c r="B286">
        <f>titanic!E286</f>
        <v>30</v>
      </c>
    </row>
    <row r="287" spans="1:2" x14ac:dyDescent="0.3">
      <c r="A287" t="str">
        <f>titanic!C287</f>
        <v>Mr. Penko Naidenoff</v>
      </c>
      <c r="B287">
        <f>titanic!E287</f>
        <v>22</v>
      </c>
    </row>
    <row r="288" spans="1:2" x14ac:dyDescent="0.3">
      <c r="A288" t="str">
        <f>titanic!C288</f>
        <v>Mr. Masabumi Hosono</v>
      </c>
      <c r="B288">
        <f>titanic!E288</f>
        <v>42</v>
      </c>
    </row>
    <row r="289" spans="1:2" x14ac:dyDescent="0.3">
      <c r="A289" t="str">
        <f>titanic!C289</f>
        <v>Miss. Kate Connolly</v>
      </c>
      <c r="B289">
        <f>titanic!E289</f>
        <v>22</v>
      </c>
    </row>
    <row r="290" spans="1:2" x14ac:dyDescent="0.3">
      <c r="A290" t="str">
        <f>titanic!C290</f>
        <v>Miss. Ellen Barber</v>
      </c>
      <c r="B290">
        <f>titanic!E290</f>
        <v>26</v>
      </c>
    </row>
    <row r="291" spans="1:2" x14ac:dyDescent="0.3">
      <c r="A291" t="str">
        <f>titanic!C291</f>
        <v>Mrs. Dickinson H (Helen Walton) Bishop</v>
      </c>
      <c r="B291">
        <f>titanic!E291</f>
        <v>19</v>
      </c>
    </row>
    <row r="292" spans="1:2" x14ac:dyDescent="0.3">
      <c r="A292" t="str">
        <f>titanic!C292</f>
        <v>Mr. Rene Jacques Levy</v>
      </c>
      <c r="B292">
        <f>titanic!E292</f>
        <v>36</v>
      </c>
    </row>
    <row r="293" spans="1:2" x14ac:dyDescent="0.3">
      <c r="A293" t="str">
        <f>titanic!C293</f>
        <v>Miss. Aloisia Haas</v>
      </c>
      <c r="B293">
        <f>titanic!E293</f>
        <v>24</v>
      </c>
    </row>
    <row r="294" spans="1:2" x14ac:dyDescent="0.3">
      <c r="A294" t="str">
        <f>titanic!C294</f>
        <v>Mr. Ivan Mineff</v>
      </c>
      <c r="B294">
        <f>titanic!E294</f>
        <v>24</v>
      </c>
    </row>
    <row r="295" spans="1:2" x14ac:dyDescent="0.3">
      <c r="A295" t="str">
        <f>titanic!C295</f>
        <v>Mr. Ervin G Lewy</v>
      </c>
      <c r="B295">
        <f>titanic!E295</f>
        <v>30</v>
      </c>
    </row>
    <row r="296" spans="1:2" x14ac:dyDescent="0.3">
      <c r="A296" t="str">
        <f>titanic!C296</f>
        <v>Mr. Mansour Hanna</v>
      </c>
      <c r="B296">
        <f>titanic!E296</f>
        <v>23.5</v>
      </c>
    </row>
    <row r="297" spans="1:2" x14ac:dyDescent="0.3">
      <c r="A297" t="str">
        <f>titanic!C297</f>
        <v>Miss. Helen Loraine Allison</v>
      </c>
      <c r="B297">
        <f>titanic!E297</f>
        <v>2</v>
      </c>
    </row>
    <row r="298" spans="1:2" x14ac:dyDescent="0.3">
      <c r="A298" t="str">
        <f>titanic!C298</f>
        <v>Mr. Adolphe Saalfeld</v>
      </c>
      <c r="B298">
        <f>titanic!E298</f>
        <v>47</v>
      </c>
    </row>
    <row r="299" spans="1:2" x14ac:dyDescent="0.3">
      <c r="A299" t="str">
        <f>titanic!C299</f>
        <v>Mrs. James (Helene DeLaudeniere Chaput) Baxter</v>
      </c>
      <c r="B299">
        <f>titanic!E299</f>
        <v>50</v>
      </c>
    </row>
    <row r="300" spans="1:2" x14ac:dyDescent="0.3">
      <c r="A300" t="str">
        <f>titanic!C300</f>
        <v>Miss. Anna Katherine Kelly</v>
      </c>
      <c r="B300">
        <f>titanic!E300</f>
        <v>20</v>
      </c>
    </row>
    <row r="301" spans="1:2" x14ac:dyDescent="0.3">
      <c r="A301" t="str">
        <f>titanic!C301</f>
        <v>Mr. Bernard McCoy</v>
      </c>
      <c r="B301">
        <f>titanic!E301</f>
        <v>24</v>
      </c>
    </row>
    <row r="302" spans="1:2" x14ac:dyDescent="0.3">
      <c r="A302" t="str">
        <f>titanic!C302</f>
        <v>Mr. William Cahoone Jr Johnson</v>
      </c>
      <c r="B302">
        <f>titanic!E302</f>
        <v>19</v>
      </c>
    </row>
    <row r="303" spans="1:2" x14ac:dyDescent="0.3">
      <c r="A303" t="str">
        <f>titanic!C303</f>
        <v>Miss. Nora A Keane</v>
      </c>
      <c r="B303">
        <f>titanic!E303</f>
        <v>46</v>
      </c>
    </row>
    <row r="304" spans="1:2" x14ac:dyDescent="0.3">
      <c r="A304" t="str">
        <f>titanic!C304</f>
        <v>Mr. Howard Hugh Williams</v>
      </c>
      <c r="B304">
        <f>titanic!E304</f>
        <v>28</v>
      </c>
    </row>
    <row r="305" spans="1:2" x14ac:dyDescent="0.3">
      <c r="A305" t="str">
        <f>titanic!C305</f>
        <v>Master. Hudson Trevor Allison</v>
      </c>
      <c r="B305">
        <f>titanic!E305</f>
        <v>0.92</v>
      </c>
    </row>
    <row r="306" spans="1:2" x14ac:dyDescent="0.3">
      <c r="A306" t="str">
        <f>titanic!C306</f>
        <v>Miss. Margaret Fleming</v>
      </c>
      <c r="B306">
        <f>titanic!E306</f>
        <v>42</v>
      </c>
    </row>
    <row r="307" spans="1:2" x14ac:dyDescent="0.3">
      <c r="A307" t="str">
        <f>titanic!C307</f>
        <v>Mrs. Victor de Satode (Maria Josefa Perez de Soto y Vallejo) Penasco y Castellana</v>
      </c>
      <c r="B307">
        <f>titanic!E307</f>
        <v>17</v>
      </c>
    </row>
    <row r="308" spans="1:2" x14ac:dyDescent="0.3">
      <c r="A308" t="str">
        <f>titanic!C308</f>
        <v>Mr. Samuel Abelson</v>
      </c>
      <c r="B308">
        <f>titanic!E308</f>
        <v>30</v>
      </c>
    </row>
    <row r="309" spans="1:2" x14ac:dyDescent="0.3">
      <c r="A309" t="str">
        <f>titanic!C309</f>
        <v>Miss. Laura Mabel Francatelli</v>
      </c>
      <c r="B309">
        <f>titanic!E309</f>
        <v>30</v>
      </c>
    </row>
    <row r="310" spans="1:2" x14ac:dyDescent="0.3">
      <c r="A310" t="str">
        <f>titanic!C310</f>
        <v>Miss. Margaret Bechstein Hays</v>
      </c>
      <c r="B310">
        <f>titanic!E310</f>
        <v>24</v>
      </c>
    </row>
    <row r="311" spans="1:2" x14ac:dyDescent="0.3">
      <c r="A311" t="str">
        <f>titanic!C311</f>
        <v>Miss. Emily Borie Ryerson</v>
      </c>
      <c r="B311">
        <f>titanic!E311</f>
        <v>18</v>
      </c>
    </row>
    <row r="312" spans="1:2" x14ac:dyDescent="0.3">
      <c r="A312" t="str">
        <f>titanic!C312</f>
        <v>Mrs. William (Anna Sylfven) Lahtinen</v>
      </c>
      <c r="B312">
        <f>titanic!E312</f>
        <v>26</v>
      </c>
    </row>
    <row r="313" spans="1:2" x14ac:dyDescent="0.3">
      <c r="A313" t="str">
        <f>titanic!C313</f>
        <v>Mr. Ignjac Hendekovic</v>
      </c>
      <c r="B313">
        <f>titanic!E313</f>
        <v>28</v>
      </c>
    </row>
    <row r="314" spans="1:2" x14ac:dyDescent="0.3">
      <c r="A314" t="str">
        <f>titanic!C314</f>
        <v>Mr. Benjamin Hart</v>
      </c>
      <c r="B314">
        <f>titanic!E314</f>
        <v>43</v>
      </c>
    </row>
    <row r="315" spans="1:2" x14ac:dyDescent="0.3">
      <c r="A315" t="str">
        <f>titanic!C315</f>
        <v>Miss. Helmina Josefina Nilsson</v>
      </c>
      <c r="B315">
        <f>titanic!E315</f>
        <v>26</v>
      </c>
    </row>
    <row r="316" spans="1:2" x14ac:dyDescent="0.3">
      <c r="A316" t="str">
        <f>titanic!C316</f>
        <v>Mrs. Sinai (Miriam Sternin) Kantor</v>
      </c>
      <c r="B316">
        <f>titanic!E316</f>
        <v>24</v>
      </c>
    </row>
    <row r="317" spans="1:2" x14ac:dyDescent="0.3">
      <c r="A317" t="str">
        <f>titanic!C317</f>
        <v>Dr. Ernest Moraweck</v>
      </c>
      <c r="B317">
        <f>titanic!E317</f>
        <v>54</v>
      </c>
    </row>
    <row r="318" spans="1:2" x14ac:dyDescent="0.3">
      <c r="A318" t="str">
        <f>titanic!C318</f>
        <v>Miss. Mary Natalie Wick</v>
      </c>
      <c r="B318">
        <f>titanic!E318</f>
        <v>31</v>
      </c>
    </row>
    <row r="319" spans="1:2" x14ac:dyDescent="0.3">
      <c r="A319" t="str">
        <f>titanic!C319</f>
        <v>Mrs. Frederic Oakley (Margaretta Corning Stone) Spedden</v>
      </c>
      <c r="B319">
        <f>titanic!E319</f>
        <v>40</v>
      </c>
    </row>
    <row r="320" spans="1:2" x14ac:dyDescent="0.3">
      <c r="A320" t="str">
        <f>titanic!C320</f>
        <v>Mr. Samuel Dennis</v>
      </c>
      <c r="B320">
        <f>titanic!E320</f>
        <v>22</v>
      </c>
    </row>
    <row r="321" spans="1:2" x14ac:dyDescent="0.3">
      <c r="A321" t="str">
        <f>titanic!C321</f>
        <v>Mr. Yoto Danoff</v>
      </c>
      <c r="B321">
        <f>titanic!E321</f>
        <v>27</v>
      </c>
    </row>
    <row r="322" spans="1:2" x14ac:dyDescent="0.3">
      <c r="A322" t="str">
        <f>titanic!C322</f>
        <v>Miss. Hilda Mary Slayter</v>
      </c>
      <c r="B322">
        <f>titanic!E322</f>
        <v>30</v>
      </c>
    </row>
    <row r="323" spans="1:2" x14ac:dyDescent="0.3">
      <c r="A323" t="str">
        <f>titanic!C323</f>
        <v>Mrs. Albert Francis (Sylvia Mae Harbaugh) Caldwell</v>
      </c>
      <c r="B323">
        <f>titanic!E323</f>
        <v>22</v>
      </c>
    </row>
    <row r="324" spans="1:2" x14ac:dyDescent="0.3">
      <c r="A324" t="str">
        <f>titanic!C324</f>
        <v>Mr. George John Jr Sage</v>
      </c>
      <c r="B324">
        <f>titanic!E324</f>
        <v>20</v>
      </c>
    </row>
    <row r="325" spans="1:2" x14ac:dyDescent="0.3">
      <c r="A325" t="str">
        <f>titanic!C325</f>
        <v>Miss. Marie Grice Young</v>
      </c>
      <c r="B325">
        <f>titanic!E325</f>
        <v>36</v>
      </c>
    </row>
    <row r="326" spans="1:2" x14ac:dyDescent="0.3">
      <c r="A326" t="str">
        <f>titanic!C326</f>
        <v>Mr. Johan Hansen Nysveen</v>
      </c>
      <c r="B326">
        <f>titanic!E326</f>
        <v>61</v>
      </c>
    </row>
    <row r="327" spans="1:2" x14ac:dyDescent="0.3">
      <c r="A327" t="str">
        <f>titanic!C327</f>
        <v>Mrs. (Ada E Hall) Ball</v>
      </c>
      <c r="B327">
        <f>titanic!E327</f>
        <v>36</v>
      </c>
    </row>
    <row r="328" spans="1:2" x14ac:dyDescent="0.3">
      <c r="A328" t="str">
        <f>titanic!C328</f>
        <v>Mrs. Frank John (Emily Alice Brown) Goldsmith</v>
      </c>
      <c r="B328">
        <f>titanic!E328</f>
        <v>31</v>
      </c>
    </row>
    <row r="329" spans="1:2" x14ac:dyDescent="0.3">
      <c r="A329" t="str">
        <f>titanic!C329</f>
        <v>Miss. Jean Gertrude Hippach</v>
      </c>
      <c r="B329">
        <f>titanic!E329</f>
        <v>16</v>
      </c>
    </row>
    <row r="330" spans="1:2" x14ac:dyDescent="0.3">
      <c r="A330" t="str">
        <f>titanic!C330</f>
        <v>Miss. Agnes McCoy</v>
      </c>
      <c r="B330">
        <f>titanic!E330</f>
        <v>28</v>
      </c>
    </row>
    <row r="331" spans="1:2" x14ac:dyDescent="0.3">
      <c r="A331" t="str">
        <f>titanic!C331</f>
        <v>Mr. Austen Partner</v>
      </c>
      <c r="B331">
        <f>titanic!E331</f>
        <v>45.5</v>
      </c>
    </row>
    <row r="332" spans="1:2" x14ac:dyDescent="0.3">
      <c r="A332" t="str">
        <f>titanic!C332</f>
        <v>Mr. George Edward Graham</v>
      </c>
      <c r="B332">
        <f>titanic!E332</f>
        <v>38</v>
      </c>
    </row>
    <row r="333" spans="1:2" x14ac:dyDescent="0.3">
      <c r="A333" t="str">
        <f>titanic!C333</f>
        <v>Mr. Leo Edmondus Vander Planke</v>
      </c>
      <c r="B333">
        <f>titanic!E333</f>
        <v>16</v>
      </c>
    </row>
    <row r="334" spans="1:2" x14ac:dyDescent="0.3">
      <c r="A334" t="str">
        <f>titanic!C334</f>
        <v>Mrs. Henry William (Clara Heinsheimer) Frauenthal</v>
      </c>
      <c r="B334">
        <f>titanic!E334</f>
        <v>42</v>
      </c>
    </row>
    <row r="335" spans="1:2" x14ac:dyDescent="0.3">
      <c r="A335" t="str">
        <f>titanic!C335</f>
        <v>Mr. Mitto Denkoff</v>
      </c>
      <c r="B335">
        <f>titanic!E335</f>
        <v>30</v>
      </c>
    </row>
    <row r="336" spans="1:2" x14ac:dyDescent="0.3">
      <c r="A336" t="str">
        <f>titanic!C336</f>
        <v>Mr. Thomas Clinton Pears</v>
      </c>
      <c r="B336">
        <f>titanic!E336</f>
        <v>29</v>
      </c>
    </row>
    <row r="337" spans="1:2" x14ac:dyDescent="0.3">
      <c r="A337" t="str">
        <f>titanic!C337</f>
        <v>Miss. Elizabeth Margaret Burns</v>
      </c>
      <c r="B337">
        <f>titanic!E337</f>
        <v>41</v>
      </c>
    </row>
    <row r="338" spans="1:2" x14ac:dyDescent="0.3">
      <c r="A338" t="str">
        <f>titanic!C338</f>
        <v>Mr. Karl Edwart Dahl</v>
      </c>
      <c r="B338">
        <f>titanic!E338</f>
        <v>45</v>
      </c>
    </row>
    <row r="339" spans="1:2" x14ac:dyDescent="0.3">
      <c r="A339" t="str">
        <f>titanic!C339</f>
        <v>Mr. Stephen Weart Blackwell</v>
      </c>
      <c r="B339">
        <f>titanic!E339</f>
        <v>45</v>
      </c>
    </row>
    <row r="340" spans="1:2" x14ac:dyDescent="0.3">
      <c r="A340" t="str">
        <f>titanic!C340</f>
        <v>Master. Edmond Roger Navratil</v>
      </c>
      <c r="B340">
        <f>titanic!E340</f>
        <v>2</v>
      </c>
    </row>
    <row r="341" spans="1:2" x14ac:dyDescent="0.3">
      <c r="A341" t="str">
        <f>titanic!C341</f>
        <v>Miss. Alice Elizabeth Fortune</v>
      </c>
      <c r="B341">
        <f>titanic!E341</f>
        <v>24</v>
      </c>
    </row>
    <row r="342" spans="1:2" x14ac:dyDescent="0.3">
      <c r="A342" t="str">
        <f>titanic!C342</f>
        <v>Mr. Erik Gustaf Collander</v>
      </c>
      <c r="B342">
        <f>titanic!E342</f>
        <v>28</v>
      </c>
    </row>
    <row r="343" spans="1:2" x14ac:dyDescent="0.3">
      <c r="A343" t="str">
        <f>titanic!C343</f>
        <v>Mr. Charles Frederick Waddington Sedgwick</v>
      </c>
      <c r="B343">
        <f>titanic!E343</f>
        <v>25</v>
      </c>
    </row>
    <row r="344" spans="1:2" x14ac:dyDescent="0.3">
      <c r="A344" t="str">
        <f>titanic!C344</f>
        <v>Mr. Stanley Hubert Fox</v>
      </c>
      <c r="B344">
        <f>titanic!E344</f>
        <v>36</v>
      </c>
    </row>
    <row r="345" spans="1:2" x14ac:dyDescent="0.3">
      <c r="A345" t="str">
        <f>titanic!C345</f>
        <v>Miss. Amelia Brown</v>
      </c>
      <c r="B345">
        <f>titanic!E345</f>
        <v>24</v>
      </c>
    </row>
    <row r="346" spans="1:2" x14ac:dyDescent="0.3">
      <c r="A346" t="str">
        <f>titanic!C346</f>
        <v>Miss. Marion Elsie Smith</v>
      </c>
      <c r="B346">
        <f>titanic!E346</f>
        <v>40</v>
      </c>
    </row>
    <row r="347" spans="1:2" x14ac:dyDescent="0.3">
      <c r="A347" t="str">
        <f>titanic!C347</f>
        <v>Mrs. Thomas Henry (Mary E Finck) Davison</v>
      </c>
      <c r="B347">
        <f>titanic!E347</f>
        <v>34</v>
      </c>
    </row>
    <row r="348" spans="1:2" x14ac:dyDescent="0.3">
      <c r="A348" t="str">
        <f>titanic!C348</f>
        <v>Master. William Loch Coutts</v>
      </c>
      <c r="B348">
        <f>titanic!E348</f>
        <v>3</v>
      </c>
    </row>
    <row r="349" spans="1:2" x14ac:dyDescent="0.3">
      <c r="A349" t="str">
        <f>titanic!C349</f>
        <v>Mr. Jovan Dimic</v>
      </c>
      <c r="B349">
        <f>titanic!E349</f>
        <v>42</v>
      </c>
    </row>
    <row r="350" spans="1:2" x14ac:dyDescent="0.3">
      <c r="A350" t="str">
        <f>titanic!C350</f>
        <v>Mr. Nils Martin Odahl</v>
      </c>
      <c r="B350">
        <f>titanic!E350</f>
        <v>23</v>
      </c>
    </row>
    <row r="351" spans="1:2" x14ac:dyDescent="0.3">
      <c r="A351" t="str">
        <f>titanic!C351</f>
        <v>Mr. Fletcher Fellows Williams-Lambert</v>
      </c>
      <c r="B351">
        <f>titanic!E351</f>
        <v>43</v>
      </c>
    </row>
    <row r="352" spans="1:2" x14ac:dyDescent="0.3">
      <c r="A352" t="str">
        <f>titanic!C352</f>
        <v>Mr. Tannous Elias</v>
      </c>
      <c r="B352">
        <f>titanic!E352</f>
        <v>15</v>
      </c>
    </row>
    <row r="353" spans="1:2" x14ac:dyDescent="0.3">
      <c r="A353" t="str">
        <f>titanic!C353</f>
        <v>Mr. Josef Arnold-Franchi</v>
      </c>
      <c r="B353">
        <f>titanic!E353</f>
        <v>25</v>
      </c>
    </row>
    <row r="354" spans="1:2" x14ac:dyDescent="0.3">
      <c r="A354" t="str">
        <f>titanic!C354</f>
        <v>Mr. Wazli Yousif</v>
      </c>
      <c r="B354">
        <f>titanic!E354</f>
        <v>23</v>
      </c>
    </row>
    <row r="355" spans="1:2" x14ac:dyDescent="0.3">
      <c r="A355" t="str">
        <f>titanic!C355</f>
        <v>Mr. Leo Peter Vanden Steen</v>
      </c>
      <c r="B355">
        <f>titanic!E355</f>
        <v>28</v>
      </c>
    </row>
    <row r="356" spans="1:2" x14ac:dyDescent="0.3">
      <c r="A356" t="str">
        <f>titanic!C356</f>
        <v>Miss. Elsie Edith Bowerman</v>
      </c>
      <c r="B356">
        <f>titanic!E356</f>
        <v>22</v>
      </c>
    </row>
    <row r="357" spans="1:2" x14ac:dyDescent="0.3">
      <c r="A357" t="str">
        <f>titanic!C357</f>
        <v>Miss. Annie Clemmer Funk</v>
      </c>
      <c r="B357">
        <f>titanic!E357</f>
        <v>38</v>
      </c>
    </row>
    <row r="358" spans="1:2" x14ac:dyDescent="0.3">
      <c r="A358" t="str">
        <f>titanic!C358</f>
        <v>Miss. Mary McGovern</v>
      </c>
      <c r="B358">
        <f>titanic!E358</f>
        <v>22</v>
      </c>
    </row>
    <row r="359" spans="1:2" x14ac:dyDescent="0.3">
      <c r="A359" t="str">
        <f>titanic!C359</f>
        <v>Miss. Helen Mary Mockler</v>
      </c>
      <c r="B359">
        <f>titanic!E359</f>
        <v>23</v>
      </c>
    </row>
    <row r="360" spans="1:2" x14ac:dyDescent="0.3">
      <c r="A360" t="str">
        <f>titanic!C360</f>
        <v>Mr. Wilhelm Skoog</v>
      </c>
      <c r="B360">
        <f>titanic!E360</f>
        <v>40</v>
      </c>
    </row>
    <row r="361" spans="1:2" x14ac:dyDescent="0.3">
      <c r="A361" t="str">
        <f>titanic!C361</f>
        <v>Mr. Sebastiano del Carlo</v>
      </c>
      <c r="B361">
        <f>titanic!E361</f>
        <v>29</v>
      </c>
    </row>
    <row r="362" spans="1:2" x14ac:dyDescent="0.3">
      <c r="A362" t="str">
        <f>titanic!C362</f>
        <v>Mrs. (Catherine David) Barbara</v>
      </c>
      <c r="B362">
        <f>titanic!E362</f>
        <v>45</v>
      </c>
    </row>
    <row r="363" spans="1:2" x14ac:dyDescent="0.3">
      <c r="A363" t="str">
        <f>titanic!C363</f>
        <v>Mr. Adola Asim</v>
      </c>
      <c r="B363">
        <f>titanic!E363</f>
        <v>35</v>
      </c>
    </row>
    <row r="364" spans="1:2" x14ac:dyDescent="0.3">
      <c r="A364" t="str">
        <f>titanic!C364</f>
        <v>Mr. Thomas O'Brien</v>
      </c>
      <c r="B364">
        <f>titanic!E364</f>
        <v>27</v>
      </c>
    </row>
    <row r="365" spans="1:2" x14ac:dyDescent="0.3">
      <c r="A365" t="str">
        <f>titanic!C365</f>
        <v>Mr. Mauritz Nils Martin Adahl</v>
      </c>
      <c r="B365">
        <f>titanic!E365</f>
        <v>30</v>
      </c>
    </row>
    <row r="366" spans="1:2" x14ac:dyDescent="0.3">
      <c r="A366" t="str">
        <f>titanic!C366</f>
        <v>Mrs. Frank Manley (Anna Sophia Atkinson) Warren</v>
      </c>
      <c r="B366">
        <f>titanic!E366</f>
        <v>60</v>
      </c>
    </row>
    <row r="367" spans="1:2" x14ac:dyDescent="0.3">
      <c r="A367" t="str">
        <f>titanic!C367</f>
        <v>Mrs. (Mantoura Boulos) Moussa</v>
      </c>
      <c r="B367">
        <f>titanic!E367</f>
        <v>35</v>
      </c>
    </row>
    <row r="368" spans="1:2" x14ac:dyDescent="0.3">
      <c r="A368" t="str">
        <f>titanic!C368</f>
        <v>Miss. Annie Jermyn</v>
      </c>
      <c r="B368">
        <f>titanic!E368</f>
        <v>22</v>
      </c>
    </row>
    <row r="369" spans="1:2" x14ac:dyDescent="0.3">
      <c r="A369" t="str">
        <f>titanic!C369</f>
        <v>Mme. Leontine Pauline Aubart</v>
      </c>
      <c r="B369">
        <f>titanic!E369</f>
        <v>24</v>
      </c>
    </row>
    <row r="370" spans="1:2" x14ac:dyDescent="0.3">
      <c r="A370" t="str">
        <f>titanic!C370</f>
        <v>Mr. George Achilles Harder</v>
      </c>
      <c r="B370">
        <f>titanic!E370</f>
        <v>25</v>
      </c>
    </row>
    <row r="371" spans="1:2" x14ac:dyDescent="0.3">
      <c r="A371" t="str">
        <f>titanic!C371</f>
        <v>Mr. Jakob Alfred Wiklund</v>
      </c>
      <c r="B371">
        <f>titanic!E371</f>
        <v>18</v>
      </c>
    </row>
    <row r="372" spans="1:2" x14ac:dyDescent="0.3">
      <c r="A372" t="str">
        <f>titanic!C372</f>
        <v>Mr. William Thomas Beavan</v>
      </c>
      <c r="B372">
        <f>titanic!E372</f>
        <v>19</v>
      </c>
    </row>
    <row r="373" spans="1:2" x14ac:dyDescent="0.3">
      <c r="A373" t="str">
        <f>titanic!C373</f>
        <v>Mr. Sante Ringhini</v>
      </c>
      <c r="B373">
        <f>titanic!E373</f>
        <v>22</v>
      </c>
    </row>
    <row r="374" spans="1:2" x14ac:dyDescent="0.3">
      <c r="A374" t="str">
        <f>titanic!C374</f>
        <v>Miss. Stina Viola Palsson</v>
      </c>
      <c r="B374">
        <f>titanic!E374</f>
        <v>3</v>
      </c>
    </row>
    <row r="375" spans="1:2" x14ac:dyDescent="0.3">
      <c r="A375" t="str">
        <f>titanic!C375</f>
        <v>Mrs. Edgar Joseph (Leila Saks) Meyer</v>
      </c>
      <c r="B375">
        <f>titanic!E375</f>
        <v>25</v>
      </c>
    </row>
    <row r="376" spans="1:2" x14ac:dyDescent="0.3">
      <c r="A376" t="str">
        <f>titanic!C376</f>
        <v>Miss. Aurora Adelia Landergren</v>
      </c>
      <c r="B376">
        <f>titanic!E376</f>
        <v>22</v>
      </c>
    </row>
    <row r="377" spans="1:2" x14ac:dyDescent="0.3">
      <c r="A377" t="str">
        <f>titanic!C377</f>
        <v>Mr. Harry Elkins Widener</v>
      </c>
      <c r="B377">
        <f>titanic!E377</f>
        <v>27</v>
      </c>
    </row>
    <row r="378" spans="1:2" x14ac:dyDescent="0.3">
      <c r="A378" t="str">
        <f>titanic!C378</f>
        <v>Mr. Tannous Betros</v>
      </c>
      <c r="B378">
        <f>titanic!E378</f>
        <v>20</v>
      </c>
    </row>
    <row r="379" spans="1:2" x14ac:dyDescent="0.3">
      <c r="A379" t="str">
        <f>titanic!C379</f>
        <v>Mr. Karl Gideon Gustafsson</v>
      </c>
      <c r="B379">
        <f>titanic!E379</f>
        <v>19</v>
      </c>
    </row>
    <row r="380" spans="1:2" x14ac:dyDescent="0.3">
      <c r="A380" t="str">
        <f>titanic!C380</f>
        <v>Miss. Rosalie Bidois</v>
      </c>
      <c r="B380">
        <f>titanic!E380</f>
        <v>42</v>
      </c>
    </row>
    <row r="381" spans="1:2" x14ac:dyDescent="0.3">
      <c r="A381" t="str">
        <f>titanic!C381</f>
        <v>Miss. Maria Nakid</v>
      </c>
      <c r="B381">
        <f>titanic!E381</f>
        <v>1</v>
      </c>
    </row>
    <row r="382" spans="1:2" x14ac:dyDescent="0.3">
      <c r="A382" t="str">
        <f>titanic!C382</f>
        <v>Mr. Juho Tikkanen</v>
      </c>
      <c r="B382">
        <f>titanic!E382</f>
        <v>32</v>
      </c>
    </row>
    <row r="383" spans="1:2" x14ac:dyDescent="0.3">
      <c r="A383" t="str">
        <f>titanic!C383</f>
        <v>Mrs. Alexander Oskar (Mary Aline Towner) Holverson</v>
      </c>
      <c r="B383">
        <f>titanic!E383</f>
        <v>35</v>
      </c>
    </row>
    <row r="384" spans="1:2" x14ac:dyDescent="0.3">
      <c r="A384" t="str">
        <f>titanic!C384</f>
        <v>Mr. Vasil Plotcharsky</v>
      </c>
      <c r="B384">
        <f>titanic!E384</f>
        <v>27</v>
      </c>
    </row>
    <row r="385" spans="1:2" x14ac:dyDescent="0.3">
      <c r="A385" t="str">
        <f>titanic!C385</f>
        <v>Mr. Charles Henry Davies</v>
      </c>
      <c r="B385">
        <f>titanic!E385</f>
        <v>18</v>
      </c>
    </row>
    <row r="386" spans="1:2" x14ac:dyDescent="0.3">
      <c r="A386" t="str">
        <f>titanic!C386</f>
        <v>Master. Sidney Leonard Goodwin</v>
      </c>
      <c r="B386">
        <f>titanic!E386</f>
        <v>1</v>
      </c>
    </row>
    <row r="387" spans="1:2" x14ac:dyDescent="0.3">
      <c r="A387" t="str">
        <f>titanic!C387</f>
        <v>Miss. Kate Buss</v>
      </c>
      <c r="B387">
        <f>titanic!E387</f>
        <v>36</v>
      </c>
    </row>
    <row r="388" spans="1:2" x14ac:dyDescent="0.3">
      <c r="A388" t="str">
        <f>titanic!C388</f>
        <v>Mr. Matthew Sadlier</v>
      </c>
      <c r="B388">
        <f>titanic!E388</f>
        <v>19</v>
      </c>
    </row>
    <row r="389" spans="1:2" x14ac:dyDescent="0.3">
      <c r="A389" t="str">
        <f>titanic!C389</f>
        <v>Miss. Bertha Lehmann</v>
      </c>
      <c r="B389">
        <f>titanic!E389</f>
        <v>17</v>
      </c>
    </row>
    <row r="390" spans="1:2" x14ac:dyDescent="0.3">
      <c r="A390" t="str">
        <f>titanic!C390</f>
        <v>Mr. William Ernest Carter</v>
      </c>
      <c r="B390">
        <f>titanic!E390</f>
        <v>36</v>
      </c>
    </row>
    <row r="391" spans="1:2" x14ac:dyDescent="0.3">
      <c r="A391" t="str">
        <f>titanic!C391</f>
        <v>Mr. Carl Olof Jansson</v>
      </c>
      <c r="B391">
        <f>titanic!E391</f>
        <v>21</v>
      </c>
    </row>
    <row r="392" spans="1:2" x14ac:dyDescent="0.3">
      <c r="A392" t="str">
        <f>titanic!C392</f>
        <v>Mr. Johan Birger Gustafsson</v>
      </c>
      <c r="B392">
        <f>titanic!E392</f>
        <v>28</v>
      </c>
    </row>
    <row r="393" spans="1:2" x14ac:dyDescent="0.3">
      <c r="A393" t="str">
        <f>titanic!C393</f>
        <v>Miss. Marjorie Newell</v>
      </c>
      <c r="B393">
        <f>titanic!E393</f>
        <v>23</v>
      </c>
    </row>
    <row r="394" spans="1:2" x14ac:dyDescent="0.3">
      <c r="A394" t="str">
        <f>titanic!C394</f>
        <v>Mrs. Hjalmar (Agnes Charlotta Bengtsson) Sandstrom</v>
      </c>
      <c r="B394">
        <f>titanic!E394</f>
        <v>24</v>
      </c>
    </row>
    <row r="395" spans="1:2" x14ac:dyDescent="0.3">
      <c r="A395" t="str">
        <f>titanic!C395</f>
        <v>Mr. Erik Johansson</v>
      </c>
      <c r="B395">
        <f>titanic!E395</f>
        <v>22</v>
      </c>
    </row>
    <row r="396" spans="1:2" x14ac:dyDescent="0.3">
      <c r="A396" t="str">
        <f>titanic!C396</f>
        <v>Miss. Elina Olsson</v>
      </c>
      <c r="B396">
        <f>titanic!E396</f>
        <v>31</v>
      </c>
    </row>
    <row r="397" spans="1:2" x14ac:dyDescent="0.3">
      <c r="A397" t="str">
        <f>titanic!C397</f>
        <v>Mr. Peter David McKane</v>
      </c>
      <c r="B397">
        <f>titanic!E397</f>
        <v>46</v>
      </c>
    </row>
    <row r="398" spans="1:2" x14ac:dyDescent="0.3">
      <c r="A398" t="str">
        <f>titanic!C398</f>
        <v>Dr. Alfred Pain</v>
      </c>
      <c r="B398">
        <f>titanic!E398</f>
        <v>23</v>
      </c>
    </row>
    <row r="399" spans="1:2" x14ac:dyDescent="0.3">
      <c r="A399" t="str">
        <f>titanic!C399</f>
        <v>Mrs. William H (Jessie L) Trout</v>
      </c>
      <c r="B399">
        <f>titanic!E399</f>
        <v>28</v>
      </c>
    </row>
    <row r="400" spans="1:2" x14ac:dyDescent="0.3">
      <c r="A400" t="str">
        <f>titanic!C400</f>
        <v>Mr. Juha Niskanen</v>
      </c>
      <c r="B400">
        <f>titanic!E400</f>
        <v>39</v>
      </c>
    </row>
    <row r="401" spans="1:2" x14ac:dyDescent="0.3">
      <c r="A401" t="str">
        <f>titanic!C401</f>
        <v>Mr. John Adams</v>
      </c>
      <c r="B401">
        <f>titanic!E401</f>
        <v>26</v>
      </c>
    </row>
    <row r="402" spans="1:2" x14ac:dyDescent="0.3">
      <c r="A402" t="str">
        <f>titanic!C402</f>
        <v>Miss. Mari Aina Jussila</v>
      </c>
      <c r="B402">
        <f>titanic!E402</f>
        <v>21</v>
      </c>
    </row>
    <row r="403" spans="1:2" x14ac:dyDescent="0.3">
      <c r="A403" t="str">
        <f>titanic!C403</f>
        <v>Mr. Pekka Pietari Hakkarainen</v>
      </c>
      <c r="B403">
        <f>titanic!E403</f>
        <v>28</v>
      </c>
    </row>
    <row r="404" spans="1:2" x14ac:dyDescent="0.3">
      <c r="A404" t="str">
        <f>titanic!C404</f>
        <v>Miss. Marija Oreskovic</v>
      </c>
      <c r="B404">
        <f>titanic!E404</f>
        <v>20</v>
      </c>
    </row>
    <row r="405" spans="1:2" x14ac:dyDescent="0.3">
      <c r="A405" t="str">
        <f>titanic!C405</f>
        <v>Mr. Shadrach Gale</v>
      </c>
      <c r="B405">
        <f>titanic!E405</f>
        <v>34</v>
      </c>
    </row>
    <row r="406" spans="1:2" x14ac:dyDescent="0.3">
      <c r="A406" t="str">
        <f>titanic!C406</f>
        <v>Mr. Carl/Charles Peter Widegren</v>
      </c>
      <c r="B406">
        <f>titanic!E406</f>
        <v>51</v>
      </c>
    </row>
    <row r="407" spans="1:2" x14ac:dyDescent="0.3">
      <c r="A407" t="str">
        <f>titanic!C407</f>
        <v>Master. William Rowe Richards</v>
      </c>
      <c r="B407">
        <f>titanic!E407</f>
        <v>3</v>
      </c>
    </row>
    <row r="408" spans="1:2" x14ac:dyDescent="0.3">
      <c r="A408" t="str">
        <f>titanic!C408</f>
        <v>Mr. Hans Martin Monsen Birkeland</v>
      </c>
      <c r="B408">
        <f>titanic!E408</f>
        <v>21</v>
      </c>
    </row>
    <row r="409" spans="1:2" x14ac:dyDescent="0.3">
      <c r="A409" t="str">
        <f>titanic!C409</f>
        <v>Miss. Ida Lefebre</v>
      </c>
      <c r="B409">
        <f>titanic!E409</f>
        <v>3</v>
      </c>
    </row>
    <row r="410" spans="1:2" x14ac:dyDescent="0.3">
      <c r="A410" t="str">
        <f>titanic!C410</f>
        <v>Mr. Todor Sdycoff</v>
      </c>
      <c r="B410">
        <f>titanic!E410</f>
        <v>42</v>
      </c>
    </row>
    <row r="411" spans="1:2" x14ac:dyDescent="0.3">
      <c r="A411" t="str">
        <f>titanic!C411</f>
        <v>Mr. Henry Hart</v>
      </c>
      <c r="B411">
        <f>titanic!E411</f>
        <v>27</v>
      </c>
    </row>
    <row r="412" spans="1:2" x14ac:dyDescent="0.3">
      <c r="A412" t="str">
        <f>titanic!C412</f>
        <v>Miss. Daisy E Minahan</v>
      </c>
      <c r="B412">
        <f>titanic!E412</f>
        <v>33</v>
      </c>
    </row>
    <row r="413" spans="1:2" x14ac:dyDescent="0.3">
      <c r="A413" t="str">
        <f>titanic!C413</f>
        <v>Mr. Alfred Fleming Cunningham</v>
      </c>
      <c r="B413">
        <f>titanic!E413</f>
        <v>22</v>
      </c>
    </row>
    <row r="414" spans="1:2" x14ac:dyDescent="0.3">
      <c r="A414" t="str">
        <f>titanic!C414</f>
        <v>Mr. Johan Julian Sundman</v>
      </c>
      <c r="B414">
        <f>titanic!E414</f>
        <v>44</v>
      </c>
    </row>
    <row r="415" spans="1:2" x14ac:dyDescent="0.3">
      <c r="A415" t="str">
        <f>titanic!C415</f>
        <v>Mrs. Thomas (Annie Louise Rowley) Meek</v>
      </c>
      <c r="B415">
        <f>titanic!E415</f>
        <v>32</v>
      </c>
    </row>
    <row r="416" spans="1:2" x14ac:dyDescent="0.3">
      <c r="A416" t="str">
        <f>titanic!C416</f>
        <v>Mrs. James Vivian (Lulu Thorne Christian) Drew</v>
      </c>
      <c r="B416">
        <f>titanic!E416</f>
        <v>34</v>
      </c>
    </row>
    <row r="417" spans="1:2" x14ac:dyDescent="0.3">
      <c r="A417" t="str">
        <f>titanic!C417</f>
        <v>Miss. Lyyli Karoliina Silven</v>
      </c>
      <c r="B417">
        <f>titanic!E417</f>
        <v>18</v>
      </c>
    </row>
    <row r="418" spans="1:2" x14ac:dyDescent="0.3">
      <c r="A418" t="str">
        <f>titanic!C418</f>
        <v>Mr. William John Matthews</v>
      </c>
      <c r="B418">
        <f>titanic!E418</f>
        <v>30</v>
      </c>
    </row>
    <row r="419" spans="1:2" x14ac:dyDescent="0.3">
      <c r="A419" t="str">
        <f>titanic!C419</f>
        <v>Miss. Catharina Van Impe</v>
      </c>
      <c r="B419">
        <f>titanic!E419</f>
        <v>10</v>
      </c>
    </row>
    <row r="420" spans="1:2" x14ac:dyDescent="0.3">
      <c r="A420" t="str">
        <f>titanic!C420</f>
        <v>Mr. David Charters</v>
      </c>
      <c r="B420">
        <f>titanic!E420</f>
        <v>21</v>
      </c>
    </row>
    <row r="421" spans="1:2" x14ac:dyDescent="0.3">
      <c r="A421" t="str">
        <f>titanic!C421</f>
        <v>Mr. Leo Zimmerman</v>
      </c>
      <c r="B421">
        <f>titanic!E421</f>
        <v>29</v>
      </c>
    </row>
    <row r="422" spans="1:2" x14ac:dyDescent="0.3">
      <c r="A422" t="str">
        <f>titanic!C422</f>
        <v>Mrs. Ernst Gilbert (Anna Sigrid Maria Brogren) Danbom</v>
      </c>
      <c r="B422">
        <f>titanic!E422</f>
        <v>28</v>
      </c>
    </row>
    <row r="423" spans="1:2" x14ac:dyDescent="0.3">
      <c r="A423" t="str">
        <f>titanic!C423</f>
        <v>Mr. Viktor Richard Rosblom</v>
      </c>
      <c r="B423">
        <f>titanic!E423</f>
        <v>18</v>
      </c>
    </row>
    <row r="424" spans="1:2" x14ac:dyDescent="0.3">
      <c r="A424" t="str">
        <f>titanic!C424</f>
        <v>Mr. Phillippe Wiseman</v>
      </c>
      <c r="B424">
        <f>titanic!E424</f>
        <v>54</v>
      </c>
    </row>
    <row r="425" spans="1:2" x14ac:dyDescent="0.3">
      <c r="A425" t="str">
        <f>titanic!C425</f>
        <v>Mrs. Charles V (Ada Maria Winfield) Clarke</v>
      </c>
      <c r="B425">
        <f>titanic!E425</f>
        <v>28</v>
      </c>
    </row>
    <row r="426" spans="1:2" x14ac:dyDescent="0.3">
      <c r="A426" t="str">
        <f>titanic!C426</f>
        <v>Miss. Kate Florence Phillips</v>
      </c>
      <c r="B426">
        <f>titanic!E426</f>
        <v>19</v>
      </c>
    </row>
    <row r="427" spans="1:2" x14ac:dyDescent="0.3">
      <c r="A427" t="str">
        <f>titanic!C427</f>
        <v>Mr. James Flynn</v>
      </c>
      <c r="B427">
        <f>titanic!E427</f>
        <v>28</v>
      </c>
    </row>
    <row r="428" spans="1:2" x14ac:dyDescent="0.3">
      <c r="A428" t="str">
        <f>titanic!C428</f>
        <v>Mr. Berk (Berk Trembisky) Pickard</v>
      </c>
      <c r="B428">
        <f>titanic!E428</f>
        <v>32</v>
      </c>
    </row>
    <row r="429" spans="1:2" x14ac:dyDescent="0.3">
      <c r="A429" t="str">
        <f>titanic!C429</f>
        <v>Mr. Mauritz Hakan Bjornstrom-Steffansson</v>
      </c>
      <c r="B429">
        <f>titanic!E429</f>
        <v>28</v>
      </c>
    </row>
    <row r="430" spans="1:2" x14ac:dyDescent="0.3">
      <c r="A430" t="str">
        <f>titanic!C430</f>
        <v>Mrs. Percival (Florence Kate White) Thorneycroft</v>
      </c>
      <c r="B430">
        <f>titanic!E430</f>
        <v>33</v>
      </c>
    </row>
    <row r="431" spans="1:2" x14ac:dyDescent="0.3">
      <c r="A431" t="str">
        <f>titanic!C431</f>
        <v>Mrs. Charles Alexander (Alice Adelaide Slow) Louch</v>
      </c>
      <c r="B431">
        <f>titanic!E431</f>
        <v>42</v>
      </c>
    </row>
    <row r="432" spans="1:2" x14ac:dyDescent="0.3">
      <c r="A432" t="str">
        <f>titanic!C432</f>
        <v>Mr. Nikolai Erland Kallio</v>
      </c>
      <c r="B432">
        <f>titanic!E432</f>
        <v>17</v>
      </c>
    </row>
    <row r="433" spans="1:2" x14ac:dyDescent="0.3">
      <c r="A433" t="str">
        <f>titanic!C433</f>
        <v>Mr. William Baird Silvey</v>
      </c>
      <c r="B433">
        <f>titanic!E433</f>
        <v>50</v>
      </c>
    </row>
    <row r="434" spans="1:2" x14ac:dyDescent="0.3">
      <c r="A434" t="str">
        <f>titanic!C434</f>
        <v>Miss. Lucile Polk Carter</v>
      </c>
      <c r="B434">
        <f>titanic!E434</f>
        <v>14</v>
      </c>
    </row>
    <row r="435" spans="1:2" x14ac:dyDescent="0.3">
      <c r="A435" t="str">
        <f>titanic!C435</f>
        <v>Miss. Doolina Margaret Ford</v>
      </c>
      <c r="B435">
        <f>titanic!E435</f>
        <v>21</v>
      </c>
    </row>
    <row r="436" spans="1:2" x14ac:dyDescent="0.3">
      <c r="A436" t="str">
        <f>titanic!C436</f>
        <v>Mrs. Sidney (Emily Hocking) Richards</v>
      </c>
      <c r="B436">
        <f>titanic!E436</f>
        <v>24</v>
      </c>
    </row>
    <row r="437" spans="1:2" x14ac:dyDescent="0.3">
      <c r="A437" t="str">
        <f>titanic!C437</f>
        <v>Mr. Mark Fortune</v>
      </c>
      <c r="B437">
        <f>titanic!E437</f>
        <v>64</v>
      </c>
    </row>
    <row r="438" spans="1:2" x14ac:dyDescent="0.3">
      <c r="A438" t="str">
        <f>titanic!C438</f>
        <v>Mr. Johan Henrik Johannesson Kvillner</v>
      </c>
      <c r="B438">
        <f>titanic!E438</f>
        <v>31</v>
      </c>
    </row>
    <row r="439" spans="1:2" x14ac:dyDescent="0.3">
      <c r="A439" t="str">
        <f>titanic!C439</f>
        <v>Mrs. Benjamin (Esther Ada Bloomfield) Hart</v>
      </c>
      <c r="B439">
        <f>titanic!E439</f>
        <v>45</v>
      </c>
    </row>
    <row r="440" spans="1:2" x14ac:dyDescent="0.3">
      <c r="A440" t="str">
        <f>titanic!C440</f>
        <v>Mr. Leon Hampe</v>
      </c>
      <c r="B440">
        <f>titanic!E440</f>
        <v>20</v>
      </c>
    </row>
    <row r="441" spans="1:2" x14ac:dyDescent="0.3">
      <c r="A441" t="str">
        <f>titanic!C441</f>
        <v>Mr. Johan Emil Petterson</v>
      </c>
      <c r="B441">
        <f>titanic!E441</f>
        <v>25</v>
      </c>
    </row>
    <row r="442" spans="1:2" x14ac:dyDescent="0.3">
      <c r="A442" t="str">
        <f>titanic!C442</f>
        <v>Ms. Encarnacion Reynaldo</v>
      </c>
      <c r="B442">
        <f>titanic!E442</f>
        <v>28</v>
      </c>
    </row>
    <row r="443" spans="1:2" x14ac:dyDescent="0.3">
      <c r="A443" t="str">
        <f>titanic!C443</f>
        <v>Mr. Bernt Johannesen-Bratthammer</v>
      </c>
      <c r="B443">
        <f>titanic!E443</f>
        <v>29</v>
      </c>
    </row>
    <row r="444" spans="1:2" x14ac:dyDescent="0.3">
      <c r="A444" t="str">
        <f>titanic!C444</f>
        <v>Master. Washington Dodge</v>
      </c>
      <c r="B444">
        <f>titanic!E444</f>
        <v>4</v>
      </c>
    </row>
    <row r="445" spans="1:2" x14ac:dyDescent="0.3">
      <c r="A445" t="str">
        <f>titanic!C445</f>
        <v>Miss. Madeleine Violet Mellinger</v>
      </c>
      <c r="B445">
        <f>titanic!E445</f>
        <v>13</v>
      </c>
    </row>
    <row r="446" spans="1:2" x14ac:dyDescent="0.3">
      <c r="A446" t="str">
        <f>titanic!C446</f>
        <v>Mr. Frederic Kimber Seward</v>
      </c>
      <c r="B446">
        <f>titanic!E446</f>
        <v>34</v>
      </c>
    </row>
    <row r="447" spans="1:2" x14ac:dyDescent="0.3">
      <c r="A447" t="str">
        <f>titanic!C447</f>
        <v>Miss. Marie Catherine Baclini</v>
      </c>
      <c r="B447">
        <f>titanic!E447</f>
        <v>5</v>
      </c>
    </row>
    <row r="448" spans="1:2" x14ac:dyDescent="0.3">
      <c r="A448" t="str">
        <f>titanic!C448</f>
        <v>Major. Arthur Godfrey Peuchen</v>
      </c>
      <c r="B448">
        <f>titanic!E448</f>
        <v>52</v>
      </c>
    </row>
    <row r="449" spans="1:2" x14ac:dyDescent="0.3">
      <c r="A449" t="str">
        <f>titanic!C449</f>
        <v>Mr. Edwy Arthur West</v>
      </c>
      <c r="B449">
        <f>titanic!E449</f>
        <v>36</v>
      </c>
    </row>
    <row r="450" spans="1:2" x14ac:dyDescent="0.3">
      <c r="A450" t="str">
        <f>titanic!C450</f>
        <v>Mr. Ingvald Olai Olsen Hagland</v>
      </c>
      <c r="B450">
        <f>titanic!E450</f>
        <v>28</v>
      </c>
    </row>
    <row r="451" spans="1:2" x14ac:dyDescent="0.3">
      <c r="A451" t="str">
        <f>titanic!C451</f>
        <v>Mr. Benjamin Laventall Foreman</v>
      </c>
      <c r="B451">
        <f>titanic!E451</f>
        <v>30</v>
      </c>
    </row>
    <row r="452" spans="1:2" x14ac:dyDescent="0.3">
      <c r="A452" t="str">
        <f>titanic!C452</f>
        <v>Mr. Samuel L Goldenberg</v>
      </c>
      <c r="B452">
        <f>titanic!E452</f>
        <v>49</v>
      </c>
    </row>
    <row r="453" spans="1:2" x14ac:dyDescent="0.3">
      <c r="A453" t="str">
        <f>titanic!C453</f>
        <v>Mr. Joseph Peduzzi</v>
      </c>
      <c r="B453">
        <f>titanic!E453</f>
        <v>24</v>
      </c>
    </row>
    <row r="454" spans="1:2" x14ac:dyDescent="0.3">
      <c r="A454" t="str">
        <f>titanic!C454</f>
        <v>Mr. Ivan Jalsevac</v>
      </c>
      <c r="B454">
        <f>titanic!E454</f>
        <v>29</v>
      </c>
    </row>
    <row r="455" spans="1:2" x14ac:dyDescent="0.3">
      <c r="A455" t="str">
        <f>titanic!C455</f>
        <v>Mr. Francis Davis Millet</v>
      </c>
      <c r="B455">
        <f>titanic!E455</f>
        <v>65</v>
      </c>
    </row>
    <row r="456" spans="1:2" x14ac:dyDescent="0.3">
      <c r="A456" t="str">
        <f>titanic!C456</f>
        <v>Mrs. Frederick R (Marion) Kenyon</v>
      </c>
      <c r="B456">
        <f>titanic!E456</f>
        <v>41</v>
      </c>
    </row>
    <row r="457" spans="1:2" x14ac:dyDescent="0.3">
      <c r="A457" t="str">
        <f>titanic!C457</f>
        <v>Miss. Ellen Toomey</v>
      </c>
      <c r="B457">
        <f>titanic!E457</f>
        <v>50</v>
      </c>
    </row>
    <row r="458" spans="1:2" x14ac:dyDescent="0.3">
      <c r="A458" t="str">
        <f>titanic!C458</f>
        <v>Mr. Maurice O'Connor</v>
      </c>
      <c r="B458">
        <f>titanic!E458</f>
        <v>17</v>
      </c>
    </row>
    <row r="459" spans="1:2" x14ac:dyDescent="0.3">
      <c r="A459" t="str">
        <f>titanic!C459</f>
        <v>Mr. Harry Anderson</v>
      </c>
      <c r="B459">
        <f>titanic!E459</f>
        <v>48</v>
      </c>
    </row>
    <row r="460" spans="1:2" x14ac:dyDescent="0.3">
      <c r="A460" t="str">
        <f>titanic!C460</f>
        <v>Mr. William Morley</v>
      </c>
      <c r="B460">
        <f>titanic!E460</f>
        <v>34</v>
      </c>
    </row>
    <row r="461" spans="1:2" x14ac:dyDescent="0.3">
      <c r="A461" t="str">
        <f>titanic!C461</f>
        <v>Mr. Arthur H Gee</v>
      </c>
      <c r="B461">
        <f>titanic!E461</f>
        <v>47</v>
      </c>
    </row>
    <row r="462" spans="1:2" x14ac:dyDescent="0.3">
      <c r="A462" t="str">
        <f>titanic!C462</f>
        <v>Mr. Jacob Christian Milling</v>
      </c>
      <c r="B462">
        <f>titanic!E462</f>
        <v>48</v>
      </c>
    </row>
    <row r="463" spans="1:2" x14ac:dyDescent="0.3">
      <c r="A463" t="str">
        <f>titanic!C463</f>
        <v>Mr. Simon Maisner</v>
      </c>
      <c r="B463">
        <f>titanic!E463</f>
        <v>34</v>
      </c>
    </row>
    <row r="464" spans="1:2" x14ac:dyDescent="0.3">
      <c r="A464" t="str">
        <f>titanic!C464</f>
        <v>Mr. Manuel Estanslas Goncalves</v>
      </c>
      <c r="B464">
        <f>titanic!E464</f>
        <v>38</v>
      </c>
    </row>
    <row r="465" spans="1:2" x14ac:dyDescent="0.3">
      <c r="A465" t="str">
        <f>titanic!C465</f>
        <v>Mr. William Campbell</v>
      </c>
      <c r="B465">
        <f>titanic!E465</f>
        <v>21</v>
      </c>
    </row>
    <row r="466" spans="1:2" x14ac:dyDescent="0.3">
      <c r="A466" t="str">
        <f>titanic!C466</f>
        <v>Mr. John Montgomery Smart</v>
      </c>
      <c r="B466">
        <f>titanic!E466</f>
        <v>56</v>
      </c>
    </row>
    <row r="467" spans="1:2" x14ac:dyDescent="0.3">
      <c r="A467" t="str">
        <f>titanic!C467</f>
        <v>Mr. James Scanlan</v>
      </c>
      <c r="B467">
        <f>titanic!E467</f>
        <v>22</v>
      </c>
    </row>
    <row r="468" spans="1:2" x14ac:dyDescent="0.3">
      <c r="A468" t="str">
        <f>titanic!C468</f>
        <v>Miss. Helene Barbara Baclini</v>
      </c>
      <c r="B468">
        <f>titanic!E468</f>
        <v>0.75</v>
      </c>
    </row>
    <row r="469" spans="1:2" x14ac:dyDescent="0.3">
      <c r="A469" t="str">
        <f>titanic!C469</f>
        <v>Mr. Arthur Keefe</v>
      </c>
      <c r="B469">
        <f>titanic!E469</f>
        <v>39</v>
      </c>
    </row>
    <row r="470" spans="1:2" x14ac:dyDescent="0.3">
      <c r="A470" t="str">
        <f>titanic!C470</f>
        <v>Mr. Luka Cacic</v>
      </c>
      <c r="B470">
        <f>titanic!E470</f>
        <v>38</v>
      </c>
    </row>
    <row r="471" spans="1:2" x14ac:dyDescent="0.3">
      <c r="A471" t="str">
        <f>titanic!C471</f>
        <v>Mrs. Edwy Arthur (Ada Mary Worth) West</v>
      </c>
      <c r="B471">
        <f>titanic!E471</f>
        <v>33</v>
      </c>
    </row>
    <row r="472" spans="1:2" x14ac:dyDescent="0.3">
      <c r="A472" t="str">
        <f>titanic!C472</f>
        <v>Mrs. Amin S (Marie Marthe Thuillard) Jerwan</v>
      </c>
      <c r="B472">
        <f>titanic!E472</f>
        <v>23</v>
      </c>
    </row>
    <row r="473" spans="1:2" x14ac:dyDescent="0.3">
      <c r="A473" t="str">
        <f>titanic!C473</f>
        <v>Miss. Ida Sofia Strandberg</v>
      </c>
      <c r="B473">
        <f>titanic!E473</f>
        <v>22</v>
      </c>
    </row>
    <row r="474" spans="1:2" x14ac:dyDescent="0.3">
      <c r="A474" t="str">
        <f>titanic!C474</f>
        <v>Mr. George Quincy Clifford</v>
      </c>
      <c r="B474">
        <f>titanic!E474</f>
        <v>40</v>
      </c>
    </row>
    <row r="475" spans="1:2" x14ac:dyDescent="0.3">
      <c r="A475" t="str">
        <f>titanic!C475</f>
        <v>Mr. Peter Henry Renouf</v>
      </c>
      <c r="B475">
        <f>titanic!E475</f>
        <v>34</v>
      </c>
    </row>
    <row r="476" spans="1:2" x14ac:dyDescent="0.3">
      <c r="A476" t="str">
        <f>titanic!C476</f>
        <v>Mr. Lewis Richard Braund</v>
      </c>
      <c r="B476">
        <f>titanic!E476</f>
        <v>29</v>
      </c>
    </row>
    <row r="477" spans="1:2" x14ac:dyDescent="0.3">
      <c r="A477" t="str">
        <f>titanic!C477</f>
        <v>Mr. Nils August Karlsson</v>
      </c>
      <c r="B477">
        <f>titanic!E477</f>
        <v>22</v>
      </c>
    </row>
    <row r="478" spans="1:2" x14ac:dyDescent="0.3">
      <c r="A478" t="str">
        <f>titanic!C478</f>
        <v>Miss. Hildur E Hirvonen</v>
      </c>
      <c r="B478">
        <f>titanic!E478</f>
        <v>2</v>
      </c>
    </row>
    <row r="479" spans="1:2" x14ac:dyDescent="0.3">
      <c r="A479" t="str">
        <f>titanic!C479</f>
        <v>Master. Harold Victor Goodwin</v>
      </c>
      <c r="B479">
        <f>titanic!E479</f>
        <v>9</v>
      </c>
    </row>
    <row r="480" spans="1:2" x14ac:dyDescent="0.3">
      <c r="A480" t="str">
        <f>titanic!C480</f>
        <v>Mr. Anthony Wood Frost</v>
      </c>
      <c r="B480">
        <f>titanic!E480</f>
        <v>37</v>
      </c>
    </row>
    <row r="481" spans="1:2" x14ac:dyDescent="0.3">
      <c r="A481" t="str">
        <f>titanic!C481</f>
        <v>Mr. Richard Henry Rouse</v>
      </c>
      <c r="B481">
        <f>titanic!E481</f>
        <v>50</v>
      </c>
    </row>
    <row r="482" spans="1:2" x14ac:dyDescent="0.3">
      <c r="A482" t="str">
        <f>titanic!C482</f>
        <v>Mrs. (Hedwig) Turkula</v>
      </c>
      <c r="B482">
        <f>titanic!E482</f>
        <v>63</v>
      </c>
    </row>
    <row r="483" spans="1:2" x14ac:dyDescent="0.3">
      <c r="A483" t="str">
        <f>titanic!C483</f>
        <v>Mr. Dickinson H Bishop</v>
      </c>
      <c r="B483">
        <f>titanic!E483</f>
        <v>25</v>
      </c>
    </row>
    <row r="484" spans="1:2" x14ac:dyDescent="0.3">
      <c r="A484" t="str">
        <f>titanic!C484</f>
        <v>Miss. Jeannie Lefebre</v>
      </c>
      <c r="B484">
        <f>titanic!E484</f>
        <v>8</v>
      </c>
    </row>
    <row r="485" spans="1:2" x14ac:dyDescent="0.3">
      <c r="A485" t="str">
        <f>titanic!C485</f>
        <v>Mrs. Frederick Maxfield (Jane Anne Forby) Hoyt</v>
      </c>
      <c r="B485">
        <f>titanic!E485</f>
        <v>35</v>
      </c>
    </row>
    <row r="486" spans="1:2" x14ac:dyDescent="0.3">
      <c r="A486" t="str">
        <f>titanic!C486</f>
        <v>Mr. Edward Austin Kent</v>
      </c>
      <c r="B486">
        <f>titanic!E486</f>
        <v>58</v>
      </c>
    </row>
    <row r="487" spans="1:2" x14ac:dyDescent="0.3">
      <c r="A487" t="str">
        <f>titanic!C487</f>
        <v>Mr. Francis William Somerton</v>
      </c>
      <c r="B487">
        <f>titanic!E487</f>
        <v>30</v>
      </c>
    </row>
    <row r="488" spans="1:2" x14ac:dyDescent="0.3">
      <c r="A488" t="str">
        <f>titanic!C488</f>
        <v>Master. Eden Leslie Coutts</v>
      </c>
      <c r="B488">
        <f>titanic!E488</f>
        <v>9</v>
      </c>
    </row>
    <row r="489" spans="1:2" x14ac:dyDescent="0.3">
      <c r="A489" t="str">
        <f>titanic!C489</f>
        <v>Mr. Konrad Mathias Reiersen Hagland</v>
      </c>
      <c r="B489">
        <f>titanic!E489</f>
        <v>19</v>
      </c>
    </row>
    <row r="490" spans="1:2" x14ac:dyDescent="0.3">
      <c r="A490" t="str">
        <f>titanic!C490</f>
        <v>Mr. Einar Windelov</v>
      </c>
      <c r="B490">
        <f>titanic!E490</f>
        <v>21</v>
      </c>
    </row>
    <row r="491" spans="1:2" x14ac:dyDescent="0.3">
      <c r="A491" t="str">
        <f>titanic!C491</f>
        <v>Mr. Harry Markland Molson</v>
      </c>
      <c r="B491">
        <f>titanic!E491</f>
        <v>55</v>
      </c>
    </row>
    <row r="492" spans="1:2" x14ac:dyDescent="0.3">
      <c r="A492" t="str">
        <f>titanic!C492</f>
        <v>Mr. Ramon Artagaveytia</v>
      </c>
      <c r="B492">
        <f>titanic!E492</f>
        <v>71</v>
      </c>
    </row>
    <row r="493" spans="1:2" x14ac:dyDescent="0.3">
      <c r="A493" t="str">
        <f>titanic!C493</f>
        <v>Mr. Edward Roland Stanley</v>
      </c>
      <c r="B493">
        <f>titanic!E493</f>
        <v>21</v>
      </c>
    </row>
    <row r="494" spans="1:2" x14ac:dyDescent="0.3">
      <c r="A494" t="str">
        <f>titanic!C494</f>
        <v>Mr. Gerious Yousseff</v>
      </c>
      <c r="B494">
        <f>titanic!E494</f>
        <v>26</v>
      </c>
    </row>
    <row r="495" spans="1:2" x14ac:dyDescent="0.3">
      <c r="A495" t="str">
        <f>titanic!C495</f>
        <v>Miss. Elizabeth Mussey Eustis</v>
      </c>
      <c r="B495">
        <f>titanic!E495</f>
        <v>54</v>
      </c>
    </row>
    <row r="496" spans="1:2" x14ac:dyDescent="0.3">
      <c r="A496" t="str">
        <f>titanic!C496</f>
        <v>Mr. Frederick William Shellard</v>
      </c>
      <c r="B496">
        <f>titanic!E496</f>
        <v>55</v>
      </c>
    </row>
    <row r="497" spans="1:2" x14ac:dyDescent="0.3">
      <c r="A497" t="str">
        <f>titanic!C497</f>
        <v>Mrs. Hudson J C (Bessie Waldo Daniels) Allison</v>
      </c>
      <c r="B497">
        <f>titanic!E497</f>
        <v>25</v>
      </c>
    </row>
    <row r="498" spans="1:2" x14ac:dyDescent="0.3">
      <c r="A498" t="str">
        <f>titanic!C498</f>
        <v>Mr. Olof Svensson</v>
      </c>
      <c r="B498">
        <f>titanic!E498</f>
        <v>24</v>
      </c>
    </row>
    <row r="499" spans="1:2" x14ac:dyDescent="0.3">
      <c r="A499" t="str">
        <f>titanic!C499</f>
        <v>Mr. Petar Calic</v>
      </c>
      <c r="B499">
        <f>titanic!E499</f>
        <v>17</v>
      </c>
    </row>
    <row r="500" spans="1:2" x14ac:dyDescent="0.3">
      <c r="A500" t="str">
        <f>titanic!C500</f>
        <v>Miss. Mary Canavan</v>
      </c>
      <c r="B500">
        <f>titanic!E500</f>
        <v>21</v>
      </c>
    </row>
    <row r="501" spans="1:2" x14ac:dyDescent="0.3">
      <c r="A501" t="str">
        <f>titanic!C501</f>
        <v>Miss. Bridget Mary O'Sullivan</v>
      </c>
      <c r="B501">
        <f>titanic!E501</f>
        <v>21</v>
      </c>
    </row>
    <row r="502" spans="1:2" x14ac:dyDescent="0.3">
      <c r="A502" t="str">
        <f>titanic!C502</f>
        <v>Miss. Kristina Sofia Laitinen</v>
      </c>
      <c r="B502">
        <f>titanic!E502</f>
        <v>37</v>
      </c>
    </row>
    <row r="503" spans="1:2" x14ac:dyDescent="0.3">
      <c r="A503" t="str">
        <f>titanic!C503</f>
        <v>Miss. Roberta Maioni</v>
      </c>
      <c r="B503">
        <f>titanic!E503</f>
        <v>16</v>
      </c>
    </row>
    <row r="504" spans="1:2" x14ac:dyDescent="0.3">
      <c r="A504" t="str">
        <f>titanic!C504</f>
        <v>Mr. Victor de Satode Penasco y Castellana</v>
      </c>
      <c r="B504">
        <f>titanic!E504</f>
        <v>18</v>
      </c>
    </row>
    <row r="505" spans="1:2" x14ac:dyDescent="0.3">
      <c r="A505" t="str">
        <f>titanic!C505</f>
        <v>Mrs. Frederick Charles (Jane Richards) Quick</v>
      </c>
      <c r="B505">
        <f>titanic!E505</f>
        <v>33</v>
      </c>
    </row>
    <row r="506" spans="1:2" x14ac:dyDescent="0.3">
      <c r="A506" t="str">
        <f>titanic!C506</f>
        <v>Mr. George Bradley</v>
      </c>
      <c r="B506">
        <f>titanic!E506</f>
        <v>37</v>
      </c>
    </row>
    <row r="507" spans="1:2" x14ac:dyDescent="0.3">
      <c r="A507" t="str">
        <f>titanic!C507</f>
        <v>Mr. Henry Margido Olsen</v>
      </c>
      <c r="B507">
        <f>titanic!E507</f>
        <v>28</v>
      </c>
    </row>
    <row r="508" spans="1:2" x14ac:dyDescent="0.3">
      <c r="A508" t="str">
        <f>titanic!C508</f>
        <v>Mr. Fang Lang</v>
      </c>
      <c r="B508">
        <f>titanic!E508</f>
        <v>26</v>
      </c>
    </row>
    <row r="509" spans="1:2" x14ac:dyDescent="0.3">
      <c r="A509" t="str">
        <f>titanic!C509</f>
        <v>Mr. Eugene Patrick Daly</v>
      </c>
      <c r="B509">
        <f>titanic!E509</f>
        <v>29</v>
      </c>
    </row>
    <row r="510" spans="1:2" x14ac:dyDescent="0.3">
      <c r="A510" t="str">
        <f>titanic!C510</f>
        <v>Mr. James Webber</v>
      </c>
      <c r="B510">
        <f>titanic!E510</f>
        <v>66</v>
      </c>
    </row>
    <row r="511" spans="1:2" x14ac:dyDescent="0.3">
      <c r="A511" t="str">
        <f>titanic!C511</f>
        <v>Mr. James Robert McGough</v>
      </c>
      <c r="B511">
        <f>titanic!E511</f>
        <v>36</v>
      </c>
    </row>
    <row r="512" spans="1:2" x14ac:dyDescent="0.3">
      <c r="A512" t="str">
        <f>titanic!C512</f>
        <v>Mrs. Martin (Elizabeth L. Barrett) Rothschild</v>
      </c>
      <c r="B512">
        <f>titanic!E512</f>
        <v>54</v>
      </c>
    </row>
    <row r="513" spans="1:2" x14ac:dyDescent="0.3">
      <c r="A513" t="str">
        <f>titanic!C513</f>
        <v>Mr. Satio Coleff</v>
      </c>
      <c r="B513">
        <f>titanic!E513</f>
        <v>24</v>
      </c>
    </row>
    <row r="514" spans="1:2" x14ac:dyDescent="0.3">
      <c r="A514" t="str">
        <f>titanic!C514</f>
        <v>Mr. William Anderson Walker</v>
      </c>
      <c r="B514">
        <f>titanic!E514</f>
        <v>47</v>
      </c>
    </row>
    <row r="515" spans="1:2" x14ac:dyDescent="0.3">
      <c r="A515" t="str">
        <f>titanic!C515</f>
        <v>Mrs. (Amelia Milley) Lemore</v>
      </c>
      <c r="B515">
        <f>titanic!E515</f>
        <v>34</v>
      </c>
    </row>
    <row r="516" spans="1:2" x14ac:dyDescent="0.3">
      <c r="A516" t="str">
        <f>titanic!C516</f>
        <v>Mr. Patrick Ryan</v>
      </c>
      <c r="B516">
        <f>titanic!E516</f>
        <v>30</v>
      </c>
    </row>
    <row r="517" spans="1:2" x14ac:dyDescent="0.3">
      <c r="A517" t="str">
        <f>titanic!C517</f>
        <v>Mrs. William A (Florence Agnes Hughes) Angle</v>
      </c>
      <c r="B517">
        <f>titanic!E517</f>
        <v>36</v>
      </c>
    </row>
    <row r="518" spans="1:2" x14ac:dyDescent="0.3">
      <c r="A518" t="str">
        <f>titanic!C518</f>
        <v>Mr. Stefo Pavlovic</v>
      </c>
      <c r="B518">
        <f>titanic!E518</f>
        <v>32</v>
      </c>
    </row>
    <row r="519" spans="1:2" x14ac:dyDescent="0.3">
      <c r="A519" t="str">
        <f>titanic!C519</f>
        <v>Miss. Anne Perreault</v>
      </c>
      <c r="B519">
        <f>titanic!E519</f>
        <v>30</v>
      </c>
    </row>
    <row r="520" spans="1:2" x14ac:dyDescent="0.3">
      <c r="A520" t="str">
        <f>titanic!C520</f>
        <v>Mr. Janko Vovk</v>
      </c>
      <c r="B520">
        <f>titanic!E520</f>
        <v>22</v>
      </c>
    </row>
    <row r="521" spans="1:2" x14ac:dyDescent="0.3">
      <c r="A521" t="str">
        <f>titanic!C521</f>
        <v>Mr. Sarkis Lahoud</v>
      </c>
      <c r="B521">
        <f>titanic!E521</f>
        <v>35</v>
      </c>
    </row>
    <row r="522" spans="1:2" x14ac:dyDescent="0.3">
      <c r="A522" t="str">
        <f>titanic!C522</f>
        <v>Mrs. Louis Albert (Ida Sophia Fischer) Hippach</v>
      </c>
      <c r="B522">
        <f>titanic!E522</f>
        <v>44</v>
      </c>
    </row>
    <row r="523" spans="1:2" x14ac:dyDescent="0.3">
      <c r="A523" t="str">
        <f>titanic!C523</f>
        <v>Mr. Fared Kassem</v>
      </c>
      <c r="B523">
        <f>titanic!E523</f>
        <v>18</v>
      </c>
    </row>
    <row r="524" spans="1:2" x14ac:dyDescent="0.3">
      <c r="A524" t="str">
        <f>titanic!C524</f>
        <v>Mr. James Farrell</v>
      </c>
      <c r="B524">
        <f>titanic!E524</f>
        <v>40.5</v>
      </c>
    </row>
    <row r="525" spans="1:2" x14ac:dyDescent="0.3">
      <c r="A525" t="str">
        <f>titanic!C525</f>
        <v>Miss. Lucy Ridsdale</v>
      </c>
      <c r="B525">
        <f>titanic!E525</f>
        <v>50</v>
      </c>
    </row>
    <row r="526" spans="1:2" x14ac:dyDescent="0.3">
      <c r="A526" t="str">
        <f>titanic!C526</f>
        <v>Mr. John Farthing</v>
      </c>
      <c r="B526">
        <f>titanic!E526</f>
        <v>49</v>
      </c>
    </row>
    <row r="527" spans="1:2" x14ac:dyDescent="0.3">
      <c r="A527" t="str">
        <f>titanic!C527</f>
        <v>Mr. Johan Werner Salonen</v>
      </c>
      <c r="B527">
        <f>titanic!E527</f>
        <v>39</v>
      </c>
    </row>
    <row r="528" spans="1:2" x14ac:dyDescent="0.3">
      <c r="A528" t="str">
        <f>titanic!C528</f>
        <v>Mr. Richard George Hocking</v>
      </c>
      <c r="B528">
        <f>titanic!E528</f>
        <v>23</v>
      </c>
    </row>
    <row r="529" spans="1:2" x14ac:dyDescent="0.3">
      <c r="A529" t="str">
        <f>titanic!C529</f>
        <v>Miss. Phyllis May Quick</v>
      </c>
      <c r="B529">
        <f>titanic!E529</f>
        <v>2</v>
      </c>
    </row>
    <row r="530" spans="1:2" x14ac:dyDescent="0.3">
      <c r="A530" t="str">
        <f>titanic!C530</f>
        <v>Mr. Nakli Toufik</v>
      </c>
      <c r="B530">
        <f>titanic!E530</f>
        <v>17</v>
      </c>
    </row>
    <row r="531" spans="1:2" x14ac:dyDescent="0.3">
      <c r="A531" t="str">
        <f>titanic!C531</f>
        <v>Mr. Joseph Jr Elias</v>
      </c>
      <c r="B531">
        <f>titanic!E531</f>
        <v>17</v>
      </c>
    </row>
    <row r="532" spans="1:2" x14ac:dyDescent="0.3">
      <c r="A532" t="str">
        <f>titanic!C532</f>
        <v>Mrs. Catherine (Catherine Rizk) Peter</v>
      </c>
      <c r="B532">
        <f>titanic!E532</f>
        <v>24</v>
      </c>
    </row>
    <row r="533" spans="1:2" x14ac:dyDescent="0.3">
      <c r="A533" t="str">
        <f>titanic!C533</f>
        <v>Miss. Marija Cacic</v>
      </c>
      <c r="B533">
        <f>titanic!E533</f>
        <v>30</v>
      </c>
    </row>
    <row r="534" spans="1:2" x14ac:dyDescent="0.3">
      <c r="A534" t="str">
        <f>titanic!C534</f>
        <v>Miss. Eva Miriam Hart</v>
      </c>
      <c r="B534">
        <f>titanic!E534</f>
        <v>7</v>
      </c>
    </row>
    <row r="535" spans="1:2" x14ac:dyDescent="0.3">
      <c r="A535" t="str">
        <f>titanic!C535</f>
        <v>Major. Archibald Willingham Butt</v>
      </c>
      <c r="B535">
        <f>titanic!E535</f>
        <v>45</v>
      </c>
    </row>
    <row r="536" spans="1:2" x14ac:dyDescent="0.3">
      <c r="A536" t="str">
        <f>titanic!C536</f>
        <v>Miss. Bertha LeRoy</v>
      </c>
      <c r="B536">
        <f>titanic!E536</f>
        <v>30</v>
      </c>
    </row>
    <row r="537" spans="1:2" x14ac:dyDescent="0.3">
      <c r="A537" t="str">
        <f>titanic!C537</f>
        <v>Mr. Samuel Beard Risien</v>
      </c>
      <c r="B537">
        <f>titanic!E537</f>
        <v>69</v>
      </c>
    </row>
    <row r="538" spans="1:2" x14ac:dyDescent="0.3">
      <c r="A538" t="str">
        <f>titanic!C538</f>
        <v>Miss. Hedwig Margaritha Frolicher</v>
      </c>
      <c r="B538">
        <f>titanic!E538</f>
        <v>22</v>
      </c>
    </row>
    <row r="539" spans="1:2" x14ac:dyDescent="0.3">
      <c r="A539" t="str">
        <f>titanic!C539</f>
        <v>Miss. Harriet R Crosby</v>
      </c>
      <c r="B539">
        <f>titanic!E539</f>
        <v>36</v>
      </c>
    </row>
    <row r="540" spans="1:2" x14ac:dyDescent="0.3">
      <c r="A540" t="str">
        <f>titanic!C540</f>
        <v>Miss. Ingeborg Constanzia Andersson</v>
      </c>
      <c r="B540">
        <f>titanic!E540</f>
        <v>9</v>
      </c>
    </row>
    <row r="541" spans="1:2" x14ac:dyDescent="0.3">
      <c r="A541" t="str">
        <f>titanic!C541</f>
        <v>Miss. Sigrid Elisabeth Andersson</v>
      </c>
      <c r="B541">
        <f>titanic!E541</f>
        <v>11</v>
      </c>
    </row>
    <row r="542" spans="1:2" x14ac:dyDescent="0.3">
      <c r="A542" t="str">
        <f>titanic!C542</f>
        <v>Mr. Edward Beane</v>
      </c>
      <c r="B542">
        <f>titanic!E542</f>
        <v>32</v>
      </c>
    </row>
    <row r="543" spans="1:2" x14ac:dyDescent="0.3">
      <c r="A543" t="str">
        <f>titanic!C543</f>
        <v>Mr. Walter Donald Douglas</v>
      </c>
      <c r="B543">
        <f>titanic!E543</f>
        <v>50</v>
      </c>
    </row>
    <row r="544" spans="1:2" x14ac:dyDescent="0.3">
      <c r="A544" t="str">
        <f>titanic!C544</f>
        <v>Mr. Arthur Ernest Nicholson</v>
      </c>
      <c r="B544">
        <f>titanic!E544</f>
        <v>64</v>
      </c>
    </row>
    <row r="545" spans="1:2" x14ac:dyDescent="0.3">
      <c r="A545" t="str">
        <f>titanic!C545</f>
        <v>Mrs. Edward (Ethel Clarke) Beane</v>
      </c>
      <c r="B545">
        <f>titanic!E545</f>
        <v>19</v>
      </c>
    </row>
    <row r="546" spans="1:2" x14ac:dyDescent="0.3">
      <c r="A546" t="str">
        <f>titanic!C546</f>
        <v>Mr. Julian Padro y Manent</v>
      </c>
      <c r="B546">
        <f>titanic!E546</f>
        <v>27</v>
      </c>
    </row>
    <row r="547" spans="1:2" x14ac:dyDescent="0.3">
      <c r="A547" t="str">
        <f>titanic!C547</f>
        <v>Mr. Frank John Goldsmith</v>
      </c>
      <c r="B547">
        <f>titanic!E547</f>
        <v>33</v>
      </c>
    </row>
    <row r="548" spans="1:2" x14ac:dyDescent="0.3">
      <c r="A548" t="str">
        <f>titanic!C548</f>
        <v>Master. John Morgan Jr Davies</v>
      </c>
      <c r="B548">
        <f>titanic!E548</f>
        <v>8</v>
      </c>
    </row>
    <row r="549" spans="1:2" x14ac:dyDescent="0.3">
      <c r="A549" t="str">
        <f>titanic!C549</f>
        <v>Mr. John Borland Jr Thayer</v>
      </c>
      <c r="B549">
        <f>titanic!E549</f>
        <v>17</v>
      </c>
    </row>
    <row r="550" spans="1:2" x14ac:dyDescent="0.3">
      <c r="A550" t="str">
        <f>titanic!C550</f>
        <v>Mr. Percival James R Sharp</v>
      </c>
      <c r="B550">
        <f>titanic!E550</f>
        <v>27</v>
      </c>
    </row>
    <row r="551" spans="1:2" x14ac:dyDescent="0.3">
      <c r="A551" t="str">
        <f>titanic!C551</f>
        <v>Mr. Timothy O'Brien</v>
      </c>
      <c r="B551">
        <f>titanic!E551</f>
        <v>21</v>
      </c>
    </row>
    <row r="552" spans="1:2" x14ac:dyDescent="0.3">
      <c r="A552" t="str">
        <f>titanic!C552</f>
        <v>Mr. Fahim Leeni</v>
      </c>
      <c r="B552">
        <f>titanic!E552</f>
        <v>22</v>
      </c>
    </row>
    <row r="553" spans="1:2" x14ac:dyDescent="0.3">
      <c r="A553" t="str">
        <f>titanic!C553</f>
        <v>Miss. Velin Ohman</v>
      </c>
      <c r="B553">
        <f>titanic!E553</f>
        <v>22</v>
      </c>
    </row>
    <row r="554" spans="1:2" x14ac:dyDescent="0.3">
      <c r="A554" t="str">
        <f>titanic!C554</f>
        <v>Mr. George Wright</v>
      </c>
      <c r="B554">
        <f>titanic!E554</f>
        <v>62</v>
      </c>
    </row>
    <row r="555" spans="1:2" x14ac:dyDescent="0.3">
      <c r="A555" t="str">
        <f>titanic!C555</f>
        <v>Lady. (Lucille Christiana Sutherland)Duff Gordon</v>
      </c>
      <c r="B555">
        <f>titanic!E555</f>
        <v>48</v>
      </c>
    </row>
    <row r="556" spans="1:2" x14ac:dyDescent="0.3">
      <c r="A556" t="str">
        <f>titanic!C556</f>
        <v>Mr. Victor Robbins</v>
      </c>
      <c r="B556">
        <f>titanic!E556</f>
        <v>45</v>
      </c>
    </row>
    <row r="557" spans="1:2" x14ac:dyDescent="0.3">
      <c r="A557" t="str">
        <f>titanic!C557</f>
        <v>Mrs. Emil (Tillie Mandelbaum) Taussig</v>
      </c>
      <c r="B557">
        <f>titanic!E557</f>
        <v>39</v>
      </c>
    </row>
    <row r="558" spans="1:2" x14ac:dyDescent="0.3">
      <c r="A558" t="str">
        <f>titanic!C558</f>
        <v>Mrs. Guillaume Joseph (Emma) de Messemaeker</v>
      </c>
      <c r="B558">
        <f>titanic!E558</f>
        <v>36</v>
      </c>
    </row>
    <row r="559" spans="1:2" x14ac:dyDescent="0.3">
      <c r="A559" t="str">
        <f>titanic!C559</f>
        <v>Mr. Thomas Rowan Morrow</v>
      </c>
      <c r="B559">
        <f>titanic!E559</f>
        <v>30</v>
      </c>
    </row>
    <row r="560" spans="1:2" x14ac:dyDescent="0.3">
      <c r="A560" t="str">
        <f>titanic!C560</f>
        <v>Mr. Husein Sivic</v>
      </c>
      <c r="B560">
        <f>titanic!E560</f>
        <v>40</v>
      </c>
    </row>
    <row r="561" spans="1:2" x14ac:dyDescent="0.3">
      <c r="A561" t="str">
        <f>titanic!C561</f>
        <v>Mr. Robert Douglas Norman</v>
      </c>
      <c r="B561">
        <f>titanic!E561</f>
        <v>28</v>
      </c>
    </row>
    <row r="562" spans="1:2" x14ac:dyDescent="0.3">
      <c r="A562" t="str">
        <f>titanic!C562</f>
        <v>Mr. John Simmons</v>
      </c>
      <c r="B562">
        <f>titanic!E562</f>
        <v>40</v>
      </c>
    </row>
    <row r="563" spans="1:2" x14ac:dyDescent="0.3">
      <c r="A563" t="str">
        <f>titanic!C563</f>
        <v>Miss. (Marion Ogden) Meanwell</v>
      </c>
      <c r="B563">
        <f>titanic!E563</f>
        <v>62</v>
      </c>
    </row>
    <row r="564" spans="1:2" x14ac:dyDescent="0.3">
      <c r="A564" t="str">
        <f>titanic!C564</f>
        <v>Mr. Alfred J Davies</v>
      </c>
      <c r="B564">
        <f>titanic!E564</f>
        <v>24</v>
      </c>
    </row>
    <row r="565" spans="1:2" x14ac:dyDescent="0.3">
      <c r="A565" t="str">
        <f>titanic!C565</f>
        <v>Mr. Ilia Stoytcheff</v>
      </c>
      <c r="B565">
        <f>titanic!E565</f>
        <v>19</v>
      </c>
    </row>
    <row r="566" spans="1:2" x14ac:dyDescent="0.3">
      <c r="A566" t="str">
        <f>titanic!C566</f>
        <v>Mrs. Nils (Alma Cornelia Berglund) Palsson</v>
      </c>
      <c r="B566">
        <f>titanic!E566</f>
        <v>29</v>
      </c>
    </row>
    <row r="567" spans="1:2" x14ac:dyDescent="0.3">
      <c r="A567" t="str">
        <f>titanic!C567</f>
        <v>Mr. Tannous Doharr</v>
      </c>
      <c r="B567">
        <f>titanic!E567</f>
        <v>28</v>
      </c>
    </row>
    <row r="568" spans="1:2" x14ac:dyDescent="0.3">
      <c r="A568" t="str">
        <f>titanic!C568</f>
        <v>Mr. Carl Jonsson</v>
      </c>
      <c r="B568">
        <f>titanic!E568</f>
        <v>32</v>
      </c>
    </row>
    <row r="569" spans="1:2" x14ac:dyDescent="0.3">
      <c r="A569" t="str">
        <f>titanic!C569</f>
        <v>Mr. George Harris</v>
      </c>
      <c r="B569">
        <f>titanic!E569</f>
        <v>62</v>
      </c>
    </row>
    <row r="570" spans="1:2" x14ac:dyDescent="0.3">
      <c r="A570" t="str">
        <f>titanic!C570</f>
        <v>Mrs. Edward Dale (Charlotte Lamson) Appleton</v>
      </c>
      <c r="B570">
        <f>titanic!E570</f>
        <v>53</v>
      </c>
    </row>
    <row r="571" spans="1:2" x14ac:dyDescent="0.3">
      <c r="A571" t="str">
        <f>titanic!C571</f>
        <v>Mr. John Irwin Flynn</v>
      </c>
      <c r="B571">
        <f>titanic!E571</f>
        <v>36</v>
      </c>
    </row>
    <row r="572" spans="1:2" x14ac:dyDescent="0.3">
      <c r="A572" t="str">
        <f>titanic!C572</f>
        <v>Miss. Mary Kelly</v>
      </c>
      <c r="B572">
        <f>titanic!E572</f>
        <v>22</v>
      </c>
    </row>
    <row r="573" spans="1:2" x14ac:dyDescent="0.3">
      <c r="A573" t="str">
        <f>titanic!C573</f>
        <v>Mr. Alfred George John Rush</v>
      </c>
      <c r="B573">
        <f>titanic!E573</f>
        <v>16</v>
      </c>
    </row>
    <row r="574" spans="1:2" x14ac:dyDescent="0.3">
      <c r="A574" t="str">
        <f>titanic!C574</f>
        <v>Mr. George Patchett</v>
      </c>
      <c r="B574">
        <f>titanic!E574</f>
        <v>19</v>
      </c>
    </row>
    <row r="575" spans="1:2" x14ac:dyDescent="0.3">
      <c r="A575" t="str">
        <f>titanic!C575</f>
        <v>Miss. Ethel Garside</v>
      </c>
      <c r="B575">
        <f>titanic!E575</f>
        <v>34</v>
      </c>
    </row>
    <row r="576" spans="1:2" x14ac:dyDescent="0.3">
      <c r="A576" t="str">
        <f>titanic!C576</f>
        <v>Mrs. William Baird (Alice Munger) Silvey</v>
      </c>
      <c r="B576">
        <f>titanic!E576</f>
        <v>39</v>
      </c>
    </row>
    <row r="577" spans="1:2" x14ac:dyDescent="0.3">
      <c r="A577" t="str">
        <f>titanic!C577</f>
        <v>Mrs. Joseph (Maria Elias) Caram</v>
      </c>
      <c r="B577">
        <f>titanic!E577</f>
        <v>18</v>
      </c>
    </row>
    <row r="578" spans="1:2" x14ac:dyDescent="0.3">
      <c r="A578" t="str">
        <f>titanic!C578</f>
        <v>Mr. Eiriik Jussila</v>
      </c>
      <c r="B578">
        <f>titanic!E578</f>
        <v>32</v>
      </c>
    </row>
    <row r="579" spans="1:2" x14ac:dyDescent="0.3">
      <c r="A579" t="str">
        <f>titanic!C579</f>
        <v>Miss. Julie Rachel Christy</v>
      </c>
      <c r="B579">
        <f>titanic!E579</f>
        <v>25</v>
      </c>
    </row>
    <row r="580" spans="1:2" x14ac:dyDescent="0.3">
      <c r="A580" t="str">
        <f>titanic!C580</f>
        <v>Mrs. John Borland (Marian Longstreth Morris) Thayer</v>
      </c>
      <c r="B580">
        <f>titanic!E580</f>
        <v>39</v>
      </c>
    </row>
    <row r="581" spans="1:2" x14ac:dyDescent="0.3">
      <c r="A581" t="str">
        <f>titanic!C581</f>
        <v>Mr. William James Downton</v>
      </c>
      <c r="B581">
        <f>titanic!E581</f>
        <v>54</v>
      </c>
    </row>
    <row r="582" spans="1:2" x14ac:dyDescent="0.3">
      <c r="A582" t="str">
        <f>titanic!C582</f>
        <v>Mr. John Hugo Ross</v>
      </c>
      <c r="B582">
        <f>titanic!E582</f>
        <v>36</v>
      </c>
    </row>
    <row r="583" spans="1:2" x14ac:dyDescent="0.3">
      <c r="A583" t="str">
        <f>titanic!C583</f>
        <v>Mr. Uscher Paulner</v>
      </c>
      <c r="B583">
        <f>titanic!E583</f>
        <v>16</v>
      </c>
    </row>
    <row r="584" spans="1:2" x14ac:dyDescent="0.3">
      <c r="A584" t="str">
        <f>titanic!C584</f>
        <v>Miss. Ruth Taussig</v>
      </c>
      <c r="B584">
        <f>titanic!E584</f>
        <v>18</v>
      </c>
    </row>
    <row r="585" spans="1:2" x14ac:dyDescent="0.3">
      <c r="A585" t="str">
        <f>titanic!C585</f>
        <v>Mr. John Denzil Jarvis</v>
      </c>
      <c r="B585">
        <f>titanic!E585</f>
        <v>47</v>
      </c>
    </row>
    <row r="586" spans="1:2" x14ac:dyDescent="0.3">
      <c r="A586" t="str">
        <f>titanic!C586</f>
        <v>Mr. Maxmillian Frolicher-Stehli</v>
      </c>
      <c r="B586">
        <f>titanic!E586</f>
        <v>60</v>
      </c>
    </row>
    <row r="587" spans="1:2" x14ac:dyDescent="0.3">
      <c r="A587" t="str">
        <f>titanic!C587</f>
        <v>Mr. Eliezer Gilinski</v>
      </c>
      <c r="B587">
        <f>titanic!E587</f>
        <v>22</v>
      </c>
    </row>
    <row r="588" spans="1:2" x14ac:dyDescent="0.3">
      <c r="A588" t="str">
        <f>titanic!C588</f>
        <v>Mr. Joseph Murdlin</v>
      </c>
      <c r="B588">
        <f>titanic!E588</f>
        <v>22</v>
      </c>
    </row>
    <row r="589" spans="1:2" x14ac:dyDescent="0.3">
      <c r="A589" t="str">
        <f>titanic!C589</f>
        <v>Mr. Matti Rintamaki</v>
      </c>
      <c r="B589">
        <f>titanic!E589</f>
        <v>35</v>
      </c>
    </row>
    <row r="590" spans="1:2" x14ac:dyDescent="0.3">
      <c r="A590" t="str">
        <f>titanic!C590</f>
        <v>Mrs. Walter Bertram (Martha Eustis) Stephenson</v>
      </c>
      <c r="B590">
        <f>titanic!E590</f>
        <v>52</v>
      </c>
    </row>
    <row r="591" spans="1:2" x14ac:dyDescent="0.3">
      <c r="A591" t="str">
        <f>titanic!C591</f>
        <v>Mr. William James Elsbury</v>
      </c>
      <c r="B591">
        <f>titanic!E591</f>
        <v>47</v>
      </c>
    </row>
    <row r="592" spans="1:2" x14ac:dyDescent="0.3">
      <c r="A592" t="str">
        <f>titanic!C592</f>
        <v>Miss. Mary Bourke</v>
      </c>
      <c r="B592">
        <f>titanic!E592</f>
        <v>40</v>
      </c>
    </row>
    <row r="593" spans="1:2" x14ac:dyDescent="0.3">
      <c r="A593" t="str">
        <f>titanic!C593</f>
        <v>Mr. John Henry Chapman</v>
      </c>
      <c r="B593">
        <f>titanic!E593</f>
        <v>37</v>
      </c>
    </row>
    <row r="594" spans="1:2" x14ac:dyDescent="0.3">
      <c r="A594" t="str">
        <f>titanic!C594</f>
        <v>Mr. Jean Baptiste Van Impe</v>
      </c>
      <c r="B594">
        <f>titanic!E594</f>
        <v>36</v>
      </c>
    </row>
    <row r="595" spans="1:2" x14ac:dyDescent="0.3">
      <c r="A595" t="str">
        <f>titanic!C595</f>
        <v>Miss. Jessie Wills Leitch</v>
      </c>
      <c r="B595">
        <f>titanic!E595</f>
        <v>31</v>
      </c>
    </row>
    <row r="596" spans="1:2" x14ac:dyDescent="0.3">
      <c r="A596" t="str">
        <f>titanic!C596</f>
        <v>Mr. Alfred Johnson</v>
      </c>
      <c r="B596">
        <f>titanic!E596</f>
        <v>49</v>
      </c>
    </row>
    <row r="597" spans="1:2" x14ac:dyDescent="0.3">
      <c r="A597" t="str">
        <f>titanic!C597</f>
        <v>Mr. Hanna Boulos</v>
      </c>
      <c r="B597">
        <f>titanic!E597</f>
        <v>18</v>
      </c>
    </row>
    <row r="598" spans="1:2" x14ac:dyDescent="0.3">
      <c r="A598" t="str">
        <f>titanic!C598</f>
        <v>Sir. Cosmo Edmund Duff Gordon</v>
      </c>
      <c r="B598">
        <f>titanic!E598</f>
        <v>49</v>
      </c>
    </row>
    <row r="599" spans="1:2" x14ac:dyDescent="0.3">
      <c r="A599" t="str">
        <f>titanic!C599</f>
        <v>Mrs. Sidney Samuel (Amy Frances Christy) Jacobsohn</v>
      </c>
      <c r="B599">
        <f>titanic!E599</f>
        <v>24</v>
      </c>
    </row>
    <row r="600" spans="1:2" x14ac:dyDescent="0.3">
      <c r="A600" t="str">
        <f>titanic!C600</f>
        <v>Mr. Petco Slabenoff</v>
      </c>
      <c r="B600">
        <f>titanic!E600</f>
        <v>42</v>
      </c>
    </row>
    <row r="601" spans="1:2" x14ac:dyDescent="0.3">
      <c r="A601" t="str">
        <f>titanic!C601</f>
        <v>Mr. Charles H Harrington</v>
      </c>
      <c r="B601">
        <f>titanic!E601</f>
        <v>37</v>
      </c>
    </row>
    <row r="602" spans="1:2" x14ac:dyDescent="0.3">
      <c r="A602" t="str">
        <f>titanic!C602</f>
        <v>Mr. Ernst William Torber</v>
      </c>
      <c r="B602">
        <f>titanic!E602</f>
        <v>44</v>
      </c>
    </row>
    <row r="603" spans="1:2" x14ac:dyDescent="0.3">
      <c r="A603" t="str">
        <f>titanic!C603</f>
        <v>Mr. Harry Homer</v>
      </c>
      <c r="B603">
        <f>titanic!E603</f>
        <v>35</v>
      </c>
    </row>
    <row r="604" spans="1:2" x14ac:dyDescent="0.3">
      <c r="A604" t="str">
        <f>titanic!C604</f>
        <v>Mr. Edvard Bengtsson Lindell</v>
      </c>
      <c r="B604">
        <f>titanic!E604</f>
        <v>36</v>
      </c>
    </row>
    <row r="605" spans="1:2" x14ac:dyDescent="0.3">
      <c r="A605" t="str">
        <f>titanic!C605</f>
        <v>Mr. Milan Karaic</v>
      </c>
      <c r="B605">
        <f>titanic!E605</f>
        <v>30</v>
      </c>
    </row>
    <row r="606" spans="1:2" x14ac:dyDescent="0.3">
      <c r="A606" t="str">
        <f>titanic!C606</f>
        <v>Mr. Robert Williams Daniel</v>
      </c>
      <c r="B606">
        <f>titanic!E606</f>
        <v>27</v>
      </c>
    </row>
    <row r="607" spans="1:2" x14ac:dyDescent="0.3">
      <c r="A607" t="str">
        <f>titanic!C607</f>
        <v>Mrs. Joseph (Juliette Marie Louise Lafargue) Laroche</v>
      </c>
      <c r="B607">
        <f>titanic!E607</f>
        <v>22</v>
      </c>
    </row>
    <row r="608" spans="1:2" x14ac:dyDescent="0.3">
      <c r="A608" t="str">
        <f>titanic!C608</f>
        <v>Miss. Elizabeth W Shutes</v>
      </c>
      <c r="B608">
        <f>titanic!E608</f>
        <v>40</v>
      </c>
    </row>
    <row r="609" spans="1:2" x14ac:dyDescent="0.3">
      <c r="A609" t="str">
        <f>titanic!C609</f>
        <v>Mrs. Anders Johan (Alfrida Konstantia Brogren) Andersson</v>
      </c>
      <c r="B609">
        <f>titanic!E609</f>
        <v>39</v>
      </c>
    </row>
    <row r="610" spans="1:2" x14ac:dyDescent="0.3">
      <c r="A610" t="str">
        <f>titanic!C610</f>
        <v>Mr. Jose Neto Jardin</v>
      </c>
      <c r="B610">
        <f>titanic!E610</f>
        <v>21</v>
      </c>
    </row>
    <row r="611" spans="1:2" x14ac:dyDescent="0.3">
      <c r="A611" t="str">
        <f>titanic!C611</f>
        <v>Miss. Margaret Jane Murphy</v>
      </c>
      <c r="B611">
        <f>titanic!E611</f>
        <v>18</v>
      </c>
    </row>
    <row r="612" spans="1:2" x14ac:dyDescent="0.3">
      <c r="A612" t="str">
        <f>titanic!C612</f>
        <v>Mr. John Horgan</v>
      </c>
      <c r="B612">
        <f>titanic!E612</f>
        <v>22</v>
      </c>
    </row>
    <row r="613" spans="1:2" x14ac:dyDescent="0.3">
      <c r="A613" t="str">
        <f>titanic!C613</f>
        <v>Mr. William Alfred Brocklebank</v>
      </c>
      <c r="B613">
        <f>titanic!E613</f>
        <v>35</v>
      </c>
    </row>
    <row r="614" spans="1:2" x14ac:dyDescent="0.3">
      <c r="A614" t="str">
        <f>titanic!C614</f>
        <v>Miss. Alice Herman</v>
      </c>
      <c r="B614">
        <f>titanic!E614</f>
        <v>24</v>
      </c>
    </row>
    <row r="615" spans="1:2" x14ac:dyDescent="0.3">
      <c r="A615" t="str">
        <f>titanic!C615</f>
        <v>Mr. Ernst Gilbert Danbom</v>
      </c>
      <c r="B615">
        <f>titanic!E615</f>
        <v>34</v>
      </c>
    </row>
    <row r="616" spans="1:2" x14ac:dyDescent="0.3">
      <c r="A616" t="str">
        <f>titanic!C616</f>
        <v>Mrs. William Arthur (Cordelia K Stanlick) Lobb</v>
      </c>
      <c r="B616">
        <f>titanic!E616</f>
        <v>26</v>
      </c>
    </row>
    <row r="617" spans="1:2" x14ac:dyDescent="0.3">
      <c r="A617" t="str">
        <f>titanic!C617</f>
        <v>Miss. Marion Louise Becker</v>
      </c>
      <c r="B617">
        <f>titanic!E617</f>
        <v>4</v>
      </c>
    </row>
    <row r="618" spans="1:2" x14ac:dyDescent="0.3">
      <c r="A618" t="str">
        <f>titanic!C618</f>
        <v>Mr. Lawrence Gavey</v>
      </c>
      <c r="B618">
        <f>titanic!E618</f>
        <v>26</v>
      </c>
    </row>
    <row r="619" spans="1:2" x14ac:dyDescent="0.3">
      <c r="A619" t="str">
        <f>titanic!C619</f>
        <v>Mr. Antoni Yasbeck</v>
      </c>
      <c r="B619">
        <f>titanic!E619</f>
        <v>27</v>
      </c>
    </row>
    <row r="620" spans="1:2" x14ac:dyDescent="0.3">
      <c r="A620" t="str">
        <f>titanic!C620</f>
        <v>Mr. Edwin Nelson Jr Kimball</v>
      </c>
      <c r="B620">
        <f>titanic!E620</f>
        <v>42</v>
      </c>
    </row>
    <row r="621" spans="1:2" x14ac:dyDescent="0.3">
      <c r="A621" t="str">
        <f>titanic!C621</f>
        <v>Mr. Sahid Nakid</v>
      </c>
      <c r="B621">
        <f>titanic!E621</f>
        <v>20</v>
      </c>
    </row>
    <row r="622" spans="1:2" x14ac:dyDescent="0.3">
      <c r="A622" t="str">
        <f>titanic!C622</f>
        <v>Mr. Henry Damsgaard Hansen</v>
      </c>
      <c r="B622">
        <f>titanic!E622</f>
        <v>21</v>
      </c>
    </row>
    <row r="623" spans="1:2" x14ac:dyDescent="0.3">
      <c r="A623" t="str">
        <f>titanic!C623</f>
        <v>Mr. David John Bowen</v>
      </c>
      <c r="B623">
        <f>titanic!E623</f>
        <v>21</v>
      </c>
    </row>
    <row r="624" spans="1:2" x14ac:dyDescent="0.3">
      <c r="A624" t="str">
        <f>titanic!C624</f>
        <v>Mr. Frederick Sutton</v>
      </c>
      <c r="B624">
        <f>titanic!E624</f>
        <v>61</v>
      </c>
    </row>
    <row r="625" spans="1:2" x14ac:dyDescent="0.3">
      <c r="A625" t="str">
        <f>titanic!C625</f>
        <v>Rev. Charles Leonard Kirkland</v>
      </c>
      <c r="B625">
        <f>titanic!E625</f>
        <v>57</v>
      </c>
    </row>
    <row r="626" spans="1:2" x14ac:dyDescent="0.3">
      <c r="A626" t="str">
        <f>titanic!C626</f>
        <v>Miss. Gretchen Fiske Longley</v>
      </c>
      <c r="B626">
        <f>titanic!E626</f>
        <v>21</v>
      </c>
    </row>
    <row r="627" spans="1:2" x14ac:dyDescent="0.3">
      <c r="A627" t="str">
        <f>titanic!C627</f>
        <v>Mr. Guentcho Bostandyeff</v>
      </c>
      <c r="B627">
        <f>titanic!E627</f>
        <v>26</v>
      </c>
    </row>
    <row r="628" spans="1:2" x14ac:dyDescent="0.3">
      <c r="A628" t="str">
        <f>titanic!C628</f>
        <v>Mr. Patrick D O'Connell</v>
      </c>
      <c r="B628">
        <f>titanic!E628</f>
        <v>18</v>
      </c>
    </row>
    <row r="629" spans="1:2" x14ac:dyDescent="0.3">
      <c r="A629" t="str">
        <f>titanic!C629</f>
        <v>Mr. Algernon Henry Wilson Barkworth</v>
      </c>
      <c r="B629">
        <f>titanic!E629</f>
        <v>80</v>
      </c>
    </row>
    <row r="630" spans="1:2" x14ac:dyDescent="0.3">
      <c r="A630" t="str">
        <f>titanic!C630</f>
        <v>Mr. Johan Svensson Lundahl</v>
      </c>
      <c r="B630">
        <f>titanic!E630</f>
        <v>51</v>
      </c>
    </row>
    <row r="631" spans="1:2" x14ac:dyDescent="0.3">
      <c r="A631" t="str">
        <f>titanic!C631</f>
        <v>Dr. Max Stahelin-Maeglin</v>
      </c>
      <c r="B631">
        <f>titanic!E631</f>
        <v>32</v>
      </c>
    </row>
    <row r="632" spans="1:2" x14ac:dyDescent="0.3">
      <c r="A632" t="str">
        <f>titanic!C632</f>
        <v>Mr. William Henry Marsh Parr</v>
      </c>
      <c r="B632">
        <f>titanic!E632</f>
        <v>30</v>
      </c>
    </row>
    <row r="633" spans="1:2" x14ac:dyDescent="0.3">
      <c r="A633" t="str">
        <f>titanic!C633</f>
        <v>Miss. Mabel Skoog</v>
      </c>
      <c r="B633">
        <f>titanic!E633</f>
        <v>9</v>
      </c>
    </row>
    <row r="634" spans="1:2" x14ac:dyDescent="0.3">
      <c r="A634" t="str">
        <f>titanic!C634</f>
        <v>Miss. Mary Davis</v>
      </c>
      <c r="B634">
        <f>titanic!E634</f>
        <v>28</v>
      </c>
    </row>
    <row r="635" spans="1:2" x14ac:dyDescent="0.3">
      <c r="A635" t="str">
        <f>titanic!C635</f>
        <v>Mr. Antti Gustaf Leinonen</v>
      </c>
      <c r="B635">
        <f>titanic!E635</f>
        <v>32</v>
      </c>
    </row>
    <row r="636" spans="1:2" x14ac:dyDescent="0.3">
      <c r="A636" t="str">
        <f>titanic!C636</f>
        <v>Mr. Harvey Collyer</v>
      </c>
      <c r="B636">
        <f>titanic!E636</f>
        <v>31</v>
      </c>
    </row>
    <row r="637" spans="1:2" x14ac:dyDescent="0.3">
      <c r="A637" t="str">
        <f>titanic!C637</f>
        <v>Mrs. Juha (Maria Emilia Ojala) Panula</v>
      </c>
      <c r="B637">
        <f>titanic!E637</f>
        <v>41</v>
      </c>
    </row>
    <row r="638" spans="1:2" x14ac:dyDescent="0.3">
      <c r="A638" t="str">
        <f>titanic!C638</f>
        <v>Mr. Percival Thorneycroft</v>
      </c>
      <c r="B638">
        <f>titanic!E638</f>
        <v>37</v>
      </c>
    </row>
    <row r="639" spans="1:2" x14ac:dyDescent="0.3">
      <c r="A639" t="str">
        <f>titanic!C639</f>
        <v>Mr. Hans Peder Jensen</v>
      </c>
      <c r="B639">
        <f>titanic!E639</f>
        <v>20</v>
      </c>
    </row>
    <row r="640" spans="1:2" x14ac:dyDescent="0.3">
      <c r="A640" t="str">
        <f>titanic!C640</f>
        <v>Mlle. Emma Sagesser</v>
      </c>
      <c r="B640">
        <f>titanic!E640</f>
        <v>24</v>
      </c>
    </row>
    <row r="641" spans="1:2" x14ac:dyDescent="0.3">
      <c r="A641" t="str">
        <f>titanic!C641</f>
        <v>Miss. Margit Elizabeth Skoog</v>
      </c>
      <c r="B641">
        <f>titanic!E641</f>
        <v>2</v>
      </c>
    </row>
    <row r="642" spans="1:2" x14ac:dyDescent="0.3">
      <c r="A642" t="str">
        <f>titanic!C642</f>
        <v>Mr. Choong Foo</v>
      </c>
      <c r="B642">
        <f>titanic!E642</f>
        <v>32</v>
      </c>
    </row>
    <row r="643" spans="1:2" x14ac:dyDescent="0.3">
      <c r="A643" t="str">
        <f>titanic!C643</f>
        <v>Miss. Eugenie Baclini</v>
      </c>
      <c r="B643">
        <f>titanic!E643</f>
        <v>0.75</v>
      </c>
    </row>
    <row r="644" spans="1:2" x14ac:dyDescent="0.3">
      <c r="A644" t="str">
        <f>titanic!C644</f>
        <v>Mr. Henry Sleeper Harper</v>
      </c>
      <c r="B644">
        <f>titanic!E644</f>
        <v>48</v>
      </c>
    </row>
    <row r="645" spans="1:2" x14ac:dyDescent="0.3">
      <c r="A645" t="str">
        <f>titanic!C645</f>
        <v>Mr. Liudevit Cor</v>
      </c>
      <c r="B645">
        <f>titanic!E645</f>
        <v>19</v>
      </c>
    </row>
    <row r="646" spans="1:2" x14ac:dyDescent="0.3">
      <c r="A646" t="str">
        <f>titanic!C646</f>
        <v>Col. Oberst Alfons Simonius-Blumer</v>
      </c>
      <c r="B646">
        <f>titanic!E646</f>
        <v>56</v>
      </c>
    </row>
    <row r="647" spans="1:2" x14ac:dyDescent="0.3">
      <c r="A647" t="str">
        <f>titanic!C647</f>
        <v>Mr. Edward Willey</v>
      </c>
      <c r="B647">
        <f>titanic!E647</f>
        <v>21</v>
      </c>
    </row>
    <row r="648" spans="1:2" x14ac:dyDescent="0.3">
      <c r="A648" t="str">
        <f>titanic!C648</f>
        <v>Miss. Amy Zillah Elsie Stanley</v>
      </c>
      <c r="B648">
        <f>titanic!E648</f>
        <v>23</v>
      </c>
    </row>
    <row r="649" spans="1:2" x14ac:dyDescent="0.3">
      <c r="A649" t="str">
        <f>titanic!C649</f>
        <v>Mr. Mito Mitkoff</v>
      </c>
      <c r="B649">
        <f>titanic!E649</f>
        <v>23</v>
      </c>
    </row>
    <row r="650" spans="1:2" x14ac:dyDescent="0.3">
      <c r="A650" t="str">
        <f>titanic!C650</f>
        <v>Miss. Elsie Doling</v>
      </c>
      <c r="B650">
        <f>titanic!E650</f>
        <v>18</v>
      </c>
    </row>
    <row r="651" spans="1:2" x14ac:dyDescent="0.3">
      <c r="A651" t="str">
        <f>titanic!C651</f>
        <v>Mr. Johannes Halvorsen Kalvik</v>
      </c>
      <c r="B651">
        <f>titanic!E651</f>
        <v>21</v>
      </c>
    </row>
    <row r="652" spans="1:2" x14ac:dyDescent="0.3">
      <c r="A652" t="str">
        <f>titanic!C652</f>
        <v>Miss. Hanora O'Leary</v>
      </c>
      <c r="B652">
        <f>titanic!E652</f>
        <v>16</v>
      </c>
    </row>
    <row r="653" spans="1:2" x14ac:dyDescent="0.3">
      <c r="A653" t="str">
        <f>titanic!C653</f>
        <v>Miss. Hanora Hegarty</v>
      </c>
      <c r="B653">
        <f>titanic!E653</f>
        <v>18</v>
      </c>
    </row>
    <row r="654" spans="1:2" x14ac:dyDescent="0.3">
      <c r="A654" t="str">
        <f>titanic!C654</f>
        <v>Mr. Leonard Mark Hickman</v>
      </c>
      <c r="B654">
        <f>titanic!E654</f>
        <v>24</v>
      </c>
    </row>
    <row r="655" spans="1:2" x14ac:dyDescent="0.3">
      <c r="A655" t="str">
        <f>titanic!C655</f>
        <v>Mr. Alexander Radeff</v>
      </c>
      <c r="B655">
        <f>titanic!E655</f>
        <v>27</v>
      </c>
    </row>
    <row r="656" spans="1:2" x14ac:dyDescent="0.3">
      <c r="A656" t="str">
        <f>titanic!C656</f>
        <v>Mrs. John (Catherine) Bourke</v>
      </c>
      <c r="B656">
        <f>titanic!E656</f>
        <v>32</v>
      </c>
    </row>
    <row r="657" spans="1:2" x14ac:dyDescent="0.3">
      <c r="A657" t="str">
        <f>titanic!C657</f>
        <v>Mr. George Floyd Eitemiller</v>
      </c>
      <c r="B657">
        <f>titanic!E657</f>
        <v>23</v>
      </c>
    </row>
    <row r="658" spans="1:2" x14ac:dyDescent="0.3">
      <c r="A658" t="str">
        <f>titanic!C658</f>
        <v>Mr. Arthur Webster Newell</v>
      </c>
      <c r="B658">
        <f>titanic!E658</f>
        <v>58</v>
      </c>
    </row>
    <row r="659" spans="1:2" x14ac:dyDescent="0.3">
      <c r="A659" t="str">
        <f>titanic!C659</f>
        <v>Dr. Henry William Frauenthal</v>
      </c>
      <c r="B659">
        <f>titanic!E659</f>
        <v>50</v>
      </c>
    </row>
    <row r="660" spans="1:2" x14ac:dyDescent="0.3">
      <c r="A660" t="str">
        <f>titanic!C660</f>
        <v>Mr. Mohamed Badt</v>
      </c>
      <c r="B660">
        <f>titanic!E660</f>
        <v>40</v>
      </c>
    </row>
    <row r="661" spans="1:2" x14ac:dyDescent="0.3">
      <c r="A661" t="str">
        <f>titanic!C661</f>
        <v>Mr. Edward Pomeroy Colley</v>
      </c>
      <c r="B661">
        <f>titanic!E661</f>
        <v>47</v>
      </c>
    </row>
    <row r="662" spans="1:2" x14ac:dyDescent="0.3">
      <c r="A662" t="str">
        <f>titanic!C662</f>
        <v>Mr. Peju Coleff</v>
      </c>
      <c r="B662">
        <f>titanic!E662</f>
        <v>36</v>
      </c>
    </row>
    <row r="663" spans="1:2" x14ac:dyDescent="0.3">
      <c r="A663" t="str">
        <f>titanic!C663</f>
        <v>Mr. Eino William Lindqvist</v>
      </c>
      <c r="B663">
        <f>titanic!E663</f>
        <v>20</v>
      </c>
    </row>
    <row r="664" spans="1:2" x14ac:dyDescent="0.3">
      <c r="A664" t="str">
        <f>titanic!C664</f>
        <v>Mr. Lewis Hickman</v>
      </c>
      <c r="B664">
        <f>titanic!E664</f>
        <v>32</v>
      </c>
    </row>
    <row r="665" spans="1:2" x14ac:dyDescent="0.3">
      <c r="A665" t="str">
        <f>titanic!C665</f>
        <v>Mr. Reginald Fenton Butler</v>
      </c>
      <c r="B665">
        <f>titanic!E665</f>
        <v>25</v>
      </c>
    </row>
    <row r="666" spans="1:2" x14ac:dyDescent="0.3">
      <c r="A666" t="str">
        <f>titanic!C666</f>
        <v>Mr. Knud Paust Rommetvedt</v>
      </c>
      <c r="B666">
        <f>titanic!E666</f>
        <v>49</v>
      </c>
    </row>
    <row r="667" spans="1:2" x14ac:dyDescent="0.3">
      <c r="A667" t="str">
        <f>titanic!C667</f>
        <v>Mr. Jacob Cook</v>
      </c>
      <c r="B667">
        <f>titanic!E667</f>
        <v>43</v>
      </c>
    </row>
    <row r="668" spans="1:2" x14ac:dyDescent="0.3">
      <c r="A668" t="str">
        <f>titanic!C668</f>
        <v>Mrs. Elmer Zebley (Juliet Cummins Wright) Taylor</v>
      </c>
      <c r="B668">
        <f>titanic!E668</f>
        <v>48</v>
      </c>
    </row>
    <row r="669" spans="1:2" x14ac:dyDescent="0.3">
      <c r="A669" t="str">
        <f>titanic!C669</f>
        <v>Mrs. Thomas William Solomon (Elizabeth Catherine Ford) Brown</v>
      </c>
      <c r="B669">
        <f>titanic!E669</f>
        <v>40</v>
      </c>
    </row>
    <row r="670" spans="1:2" x14ac:dyDescent="0.3">
      <c r="A670" t="str">
        <f>titanic!C670</f>
        <v>Mr. Thornton Davidson</v>
      </c>
      <c r="B670">
        <f>titanic!E670</f>
        <v>31</v>
      </c>
    </row>
    <row r="671" spans="1:2" x14ac:dyDescent="0.3">
      <c r="A671" t="str">
        <f>titanic!C671</f>
        <v>Mr. Henry Michael Mitchell</v>
      </c>
      <c r="B671">
        <f>titanic!E671</f>
        <v>70</v>
      </c>
    </row>
    <row r="672" spans="1:2" x14ac:dyDescent="0.3">
      <c r="A672" t="str">
        <f>titanic!C672</f>
        <v>Mr. Charles Wilhelms</v>
      </c>
      <c r="B672">
        <f>titanic!E672</f>
        <v>31</v>
      </c>
    </row>
    <row r="673" spans="1:2" x14ac:dyDescent="0.3">
      <c r="A673" t="str">
        <f>titanic!C673</f>
        <v>Mr. Ennis Hastings Watson</v>
      </c>
      <c r="B673">
        <f>titanic!E673</f>
        <v>19</v>
      </c>
    </row>
    <row r="674" spans="1:2" x14ac:dyDescent="0.3">
      <c r="A674" t="str">
        <f>titanic!C674</f>
        <v>Mr. Gustaf Hjalmar Edvardsson</v>
      </c>
      <c r="B674">
        <f>titanic!E674</f>
        <v>18</v>
      </c>
    </row>
    <row r="675" spans="1:2" x14ac:dyDescent="0.3">
      <c r="A675" t="str">
        <f>titanic!C675</f>
        <v>Mr. Frederick Charles Sawyer</v>
      </c>
      <c r="B675">
        <f>titanic!E675</f>
        <v>24.5</v>
      </c>
    </row>
    <row r="676" spans="1:2" x14ac:dyDescent="0.3">
      <c r="A676" t="str">
        <f>titanic!C676</f>
        <v>Miss. Anna Sofia Turja</v>
      </c>
      <c r="B676">
        <f>titanic!E676</f>
        <v>18</v>
      </c>
    </row>
    <row r="677" spans="1:2" x14ac:dyDescent="0.3">
      <c r="A677" t="str">
        <f>titanic!C677</f>
        <v>Mrs. Frederick (Augusta Tyler) Goodwin</v>
      </c>
      <c r="B677">
        <f>titanic!E677</f>
        <v>43</v>
      </c>
    </row>
    <row r="678" spans="1:2" x14ac:dyDescent="0.3">
      <c r="A678" t="str">
        <f>titanic!C678</f>
        <v>Mr. Thomas Drake Martinez Cardeza</v>
      </c>
      <c r="B678">
        <f>titanic!E678</f>
        <v>36</v>
      </c>
    </row>
    <row r="679" spans="1:2" x14ac:dyDescent="0.3">
      <c r="A679" t="str">
        <f>titanic!C679</f>
        <v>Miss. Katie Peters</v>
      </c>
      <c r="B679">
        <f>titanic!E679</f>
        <v>28</v>
      </c>
    </row>
    <row r="680" spans="1:2" x14ac:dyDescent="0.3">
      <c r="A680" t="str">
        <f>titanic!C680</f>
        <v>Mr. Hammad Hassab</v>
      </c>
      <c r="B680">
        <f>titanic!E680</f>
        <v>27</v>
      </c>
    </row>
    <row r="681" spans="1:2" x14ac:dyDescent="0.3">
      <c r="A681" t="str">
        <f>titanic!C681</f>
        <v>Mr. Thor Anderson Olsvigen</v>
      </c>
      <c r="B681">
        <f>titanic!E681</f>
        <v>20</v>
      </c>
    </row>
    <row r="682" spans="1:2" x14ac:dyDescent="0.3">
      <c r="A682" t="str">
        <f>titanic!C682</f>
        <v>Mr. Charles Edward Goodwin</v>
      </c>
      <c r="B682">
        <f>titanic!E682</f>
        <v>14</v>
      </c>
    </row>
    <row r="683" spans="1:2" x14ac:dyDescent="0.3">
      <c r="A683" t="str">
        <f>titanic!C683</f>
        <v>Mr. Thomas William Solomon Brown</v>
      </c>
      <c r="B683">
        <f>titanic!E683</f>
        <v>60</v>
      </c>
    </row>
    <row r="684" spans="1:2" x14ac:dyDescent="0.3">
      <c r="A684" t="str">
        <f>titanic!C684</f>
        <v>Mr. Joseph Philippe Lemercier Laroche</v>
      </c>
      <c r="B684">
        <f>titanic!E684</f>
        <v>25</v>
      </c>
    </row>
    <row r="685" spans="1:2" x14ac:dyDescent="0.3">
      <c r="A685" t="str">
        <f>titanic!C685</f>
        <v>Mr. Jaako Arnold Panula</v>
      </c>
      <c r="B685">
        <f>titanic!E685</f>
        <v>14</v>
      </c>
    </row>
    <row r="686" spans="1:2" x14ac:dyDescent="0.3">
      <c r="A686" t="str">
        <f>titanic!C686</f>
        <v>Mr. Branko Dakic</v>
      </c>
      <c r="B686">
        <f>titanic!E686</f>
        <v>19</v>
      </c>
    </row>
    <row r="687" spans="1:2" x14ac:dyDescent="0.3">
      <c r="A687" t="str">
        <f>titanic!C687</f>
        <v>Mr. Eberhard Thelander Fischer</v>
      </c>
      <c r="B687">
        <f>titanic!E687</f>
        <v>18</v>
      </c>
    </row>
    <row r="688" spans="1:2" x14ac:dyDescent="0.3">
      <c r="A688" t="str">
        <f>titanic!C688</f>
        <v>Miss. Georgette Alexandra Madill</v>
      </c>
      <c r="B688">
        <f>titanic!E688</f>
        <v>15</v>
      </c>
    </row>
    <row r="689" spans="1:2" x14ac:dyDescent="0.3">
      <c r="A689" t="str">
        <f>titanic!C689</f>
        <v>Mr. Albert Adrian Dick</v>
      </c>
      <c r="B689">
        <f>titanic!E689</f>
        <v>31</v>
      </c>
    </row>
    <row r="690" spans="1:2" x14ac:dyDescent="0.3">
      <c r="A690" t="str">
        <f>titanic!C690</f>
        <v>Miss. Manca Karun</v>
      </c>
      <c r="B690">
        <f>titanic!E690</f>
        <v>4</v>
      </c>
    </row>
    <row r="691" spans="1:2" x14ac:dyDescent="0.3">
      <c r="A691" t="str">
        <f>titanic!C691</f>
        <v>Mr. Ali Lam</v>
      </c>
      <c r="B691">
        <f>titanic!E691</f>
        <v>37</v>
      </c>
    </row>
    <row r="692" spans="1:2" x14ac:dyDescent="0.3">
      <c r="A692" t="str">
        <f>titanic!C692</f>
        <v>Mr. Khalil Saad</v>
      </c>
      <c r="B692">
        <f>titanic!E692</f>
        <v>25</v>
      </c>
    </row>
    <row r="693" spans="1:2" x14ac:dyDescent="0.3">
      <c r="A693" t="str">
        <f>titanic!C693</f>
        <v>Col. John Weir</v>
      </c>
      <c r="B693">
        <f>titanic!E693</f>
        <v>60</v>
      </c>
    </row>
    <row r="694" spans="1:2" x14ac:dyDescent="0.3">
      <c r="A694" t="str">
        <f>titanic!C694</f>
        <v>Mr. Charles Henry Chapman</v>
      </c>
      <c r="B694">
        <f>titanic!E694</f>
        <v>52</v>
      </c>
    </row>
    <row r="695" spans="1:2" x14ac:dyDescent="0.3">
      <c r="A695" t="str">
        <f>titanic!C695</f>
        <v>Mr. James Kelly</v>
      </c>
      <c r="B695">
        <f>titanic!E695</f>
        <v>44</v>
      </c>
    </row>
    <row r="696" spans="1:2" x14ac:dyDescent="0.3">
      <c r="A696" t="str">
        <f>titanic!C696</f>
        <v>Miss. Katherine Mullens</v>
      </c>
      <c r="B696">
        <f>titanic!E696</f>
        <v>19</v>
      </c>
    </row>
    <row r="697" spans="1:2" x14ac:dyDescent="0.3">
      <c r="A697" t="str">
        <f>titanic!C697</f>
        <v>Mr. John Borland Thayer</v>
      </c>
      <c r="B697">
        <f>titanic!E697</f>
        <v>49</v>
      </c>
    </row>
    <row r="698" spans="1:2" x14ac:dyDescent="0.3">
      <c r="A698" t="str">
        <f>titanic!C698</f>
        <v>Mr. Adolf Mathias Nicolai Olsen Humblen</v>
      </c>
      <c r="B698">
        <f>titanic!E698</f>
        <v>42</v>
      </c>
    </row>
    <row r="699" spans="1:2" x14ac:dyDescent="0.3">
      <c r="A699" t="str">
        <f>titanic!C699</f>
        <v>Mrs. John Jacob (Madeleine Talmadge Force) Astor</v>
      </c>
      <c r="B699">
        <f>titanic!E699</f>
        <v>18</v>
      </c>
    </row>
    <row r="700" spans="1:2" x14ac:dyDescent="0.3">
      <c r="A700" t="str">
        <f>titanic!C700</f>
        <v>Mr. Spencer Victor Silverthorne</v>
      </c>
      <c r="B700">
        <f>titanic!E700</f>
        <v>35</v>
      </c>
    </row>
    <row r="701" spans="1:2" x14ac:dyDescent="0.3">
      <c r="A701" t="str">
        <f>titanic!C701</f>
        <v>Miss. Saiide Barbara</v>
      </c>
      <c r="B701">
        <f>titanic!E701</f>
        <v>18</v>
      </c>
    </row>
    <row r="702" spans="1:2" x14ac:dyDescent="0.3">
      <c r="A702" t="str">
        <f>titanic!C702</f>
        <v>Mr. Martin Gallagher</v>
      </c>
      <c r="B702">
        <f>titanic!E702</f>
        <v>25</v>
      </c>
    </row>
    <row r="703" spans="1:2" x14ac:dyDescent="0.3">
      <c r="A703" t="str">
        <f>titanic!C703</f>
        <v>Mr. Henrik Juul Hansen</v>
      </c>
      <c r="B703">
        <f>titanic!E703</f>
        <v>26</v>
      </c>
    </row>
    <row r="704" spans="1:2" x14ac:dyDescent="0.3">
      <c r="A704" t="str">
        <f>titanic!C704</f>
        <v>Mr. Henry Samuel Morley</v>
      </c>
      <c r="B704">
        <f>titanic!E704</f>
        <v>39</v>
      </c>
    </row>
    <row r="705" spans="1:2" x14ac:dyDescent="0.3">
      <c r="A705" t="str">
        <f>titanic!C705</f>
        <v>Mrs. Florence Kelly</v>
      </c>
      <c r="B705">
        <f>titanic!E705</f>
        <v>45</v>
      </c>
    </row>
    <row r="706" spans="1:2" x14ac:dyDescent="0.3">
      <c r="A706" t="str">
        <f>titanic!C706</f>
        <v>Mr. Edward Pennington Calderhead</v>
      </c>
      <c r="B706">
        <f>titanic!E706</f>
        <v>42</v>
      </c>
    </row>
    <row r="707" spans="1:2" x14ac:dyDescent="0.3">
      <c r="A707" t="str">
        <f>titanic!C707</f>
        <v>Miss. Alice Cleaver</v>
      </c>
      <c r="B707">
        <f>titanic!E707</f>
        <v>22</v>
      </c>
    </row>
    <row r="708" spans="1:2" x14ac:dyDescent="0.3">
      <c r="A708" t="str">
        <f>titanic!C708</f>
        <v>Master. Halim Gonios Moubarek</v>
      </c>
      <c r="B708">
        <f>titanic!E708</f>
        <v>4</v>
      </c>
    </row>
    <row r="709" spans="1:2" x14ac:dyDescent="0.3">
      <c r="A709" t="str">
        <f>titanic!C709</f>
        <v>Mlle. Berthe Antonine Mayne</v>
      </c>
      <c r="B709">
        <f>titanic!E709</f>
        <v>24</v>
      </c>
    </row>
    <row r="710" spans="1:2" x14ac:dyDescent="0.3">
      <c r="A710" t="str">
        <f>titanic!C710</f>
        <v>Mr. Herman Klaber</v>
      </c>
      <c r="B710">
        <f>titanic!E710</f>
        <v>41</v>
      </c>
    </row>
    <row r="711" spans="1:2" x14ac:dyDescent="0.3">
      <c r="A711" t="str">
        <f>titanic!C711</f>
        <v>Mr. Elmer Zebley Taylor</v>
      </c>
      <c r="B711">
        <f>titanic!E711</f>
        <v>48</v>
      </c>
    </row>
    <row r="712" spans="1:2" x14ac:dyDescent="0.3">
      <c r="A712" t="str">
        <f>titanic!C712</f>
        <v>Mr. August Viktor Larsson</v>
      </c>
      <c r="B712">
        <f>titanic!E712</f>
        <v>29</v>
      </c>
    </row>
    <row r="713" spans="1:2" x14ac:dyDescent="0.3">
      <c r="A713" t="str">
        <f>titanic!C713</f>
        <v>Mr. Samuel Greenberg</v>
      </c>
      <c r="B713">
        <f>titanic!E713</f>
        <v>52</v>
      </c>
    </row>
    <row r="714" spans="1:2" x14ac:dyDescent="0.3">
      <c r="A714" t="str">
        <f>titanic!C714</f>
        <v>Mr. Peter Andreas Lauritz Andersen Soholt</v>
      </c>
      <c r="B714">
        <f>titanic!E714</f>
        <v>19</v>
      </c>
    </row>
    <row r="715" spans="1:2" x14ac:dyDescent="0.3">
      <c r="A715" t="str">
        <f>titanic!C715</f>
        <v>Miss. Caroline Louise Endres</v>
      </c>
      <c r="B715">
        <f>titanic!E715</f>
        <v>38</v>
      </c>
    </row>
    <row r="716" spans="1:2" x14ac:dyDescent="0.3">
      <c r="A716" t="str">
        <f>titanic!C716</f>
        <v>Miss. Edwina Celia Troutt</v>
      </c>
      <c r="B716">
        <f>titanic!E716</f>
        <v>27</v>
      </c>
    </row>
    <row r="717" spans="1:2" x14ac:dyDescent="0.3">
      <c r="A717" t="str">
        <f>titanic!C717</f>
        <v>Mr. Malkolm Joackim Johnson</v>
      </c>
      <c r="B717">
        <f>titanic!E717</f>
        <v>33</v>
      </c>
    </row>
    <row r="718" spans="1:2" x14ac:dyDescent="0.3">
      <c r="A718" t="str">
        <f>titanic!C718</f>
        <v>Miss. Annie Jessie Harper</v>
      </c>
      <c r="B718">
        <f>titanic!E718</f>
        <v>6</v>
      </c>
    </row>
    <row r="719" spans="1:2" x14ac:dyDescent="0.3">
      <c r="A719" t="str">
        <f>titanic!C719</f>
        <v>Mr. Svend Lauritz Jensen</v>
      </c>
      <c r="B719">
        <f>titanic!E719</f>
        <v>17</v>
      </c>
    </row>
    <row r="720" spans="1:2" x14ac:dyDescent="0.3">
      <c r="A720" t="str">
        <f>titanic!C720</f>
        <v>Mr. William Henry Gillespie</v>
      </c>
      <c r="B720">
        <f>titanic!E720</f>
        <v>34</v>
      </c>
    </row>
    <row r="721" spans="1:2" x14ac:dyDescent="0.3">
      <c r="A721" t="str">
        <f>titanic!C721</f>
        <v>Mr. Henry Price Hodges</v>
      </c>
      <c r="B721">
        <f>titanic!E721</f>
        <v>50</v>
      </c>
    </row>
    <row r="722" spans="1:2" x14ac:dyDescent="0.3">
      <c r="A722" t="str">
        <f>titanic!C722</f>
        <v>Mr. Norman Campbell Chambers</v>
      </c>
      <c r="B722">
        <f>titanic!E722</f>
        <v>27</v>
      </c>
    </row>
    <row r="723" spans="1:2" x14ac:dyDescent="0.3">
      <c r="A723" t="str">
        <f>titanic!C723</f>
        <v>Mr. Luka Oreskovic</v>
      </c>
      <c r="B723">
        <f>titanic!E723</f>
        <v>20</v>
      </c>
    </row>
    <row r="724" spans="1:2" x14ac:dyDescent="0.3">
      <c r="A724" t="str">
        <f>titanic!C724</f>
        <v>Mrs. Peter Henry (Lillian Jefferys) Renouf</v>
      </c>
      <c r="B724">
        <f>titanic!E724</f>
        <v>30</v>
      </c>
    </row>
    <row r="725" spans="1:2" x14ac:dyDescent="0.3">
      <c r="A725" t="str">
        <f>titanic!C725</f>
        <v>Miss. Margareth Mannion</v>
      </c>
      <c r="B725">
        <f>titanic!E725</f>
        <v>28</v>
      </c>
    </row>
    <row r="726" spans="1:2" x14ac:dyDescent="0.3">
      <c r="A726" t="str">
        <f>titanic!C726</f>
        <v>Mr. Kurt Arnold Gottfrid Bryhl</v>
      </c>
      <c r="B726">
        <f>titanic!E726</f>
        <v>25</v>
      </c>
    </row>
    <row r="727" spans="1:2" x14ac:dyDescent="0.3">
      <c r="A727" t="str">
        <f>titanic!C727</f>
        <v>Miss. Pieta Sofia Ilmakangas</v>
      </c>
      <c r="B727">
        <f>titanic!E727</f>
        <v>25</v>
      </c>
    </row>
    <row r="728" spans="1:2" x14ac:dyDescent="0.3">
      <c r="A728" t="str">
        <f>titanic!C728</f>
        <v>Miss. Elisabeth Walton Allen</v>
      </c>
      <c r="B728">
        <f>titanic!E728</f>
        <v>29</v>
      </c>
    </row>
    <row r="729" spans="1:2" x14ac:dyDescent="0.3">
      <c r="A729" t="str">
        <f>titanic!C729</f>
        <v>Mr. Houssein G N Hassan</v>
      </c>
      <c r="B729">
        <f>titanic!E729</f>
        <v>11</v>
      </c>
    </row>
    <row r="730" spans="1:2" x14ac:dyDescent="0.3">
      <c r="A730" t="str">
        <f>titanic!C730</f>
        <v>Mr. Robert J Knight</v>
      </c>
      <c r="B730">
        <f>titanic!E730</f>
        <v>41</v>
      </c>
    </row>
    <row r="731" spans="1:2" x14ac:dyDescent="0.3">
      <c r="A731" t="str">
        <f>titanic!C731</f>
        <v>Mr. William John Berriman</v>
      </c>
      <c r="B731">
        <f>titanic!E731</f>
        <v>23</v>
      </c>
    </row>
    <row r="732" spans="1:2" x14ac:dyDescent="0.3">
      <c r="A732" t="str">
        <f>titanic!C732</f>
        <v>Mr. Moses Aaron Troupiansky</v>
      </c>
      <c r="B732">
        <f>titanic!E732</f>
        <v>23</v>
      </c>
    </row>
    <row r="733" spans="1:2" x14ac:dyDescent="0.3">
      <c r="A733" t="str">
        <f>titanic!C733</f>
        <v>Mr. Leslie Williams</v>
      </c>
      <c r="B733">
        <f>titanic!E733</f>
        <v>28.5</v>
      </c>
    </row>
    <row r="734" spans="1:2" x14ac:dyDescent="0.3">
      <c r="A734" t="str">
        <f>titanic!C734</f>
        <v>Mrs. Edward (Margaret Ann Watson) Ford</v>
      </c>
      <c r="B734">
        <f>titanic!E734</f>
        <v>48</v>
      </c>
    </row>
    <row r="735" spans="1:2" x14ac:dyDescent="0.3">
      <c r="A735" t="str">
        <f>titanic!C735</f>
        <v>Mr. Gustave J Lesurer</v>
      </c>
      <c r="B735">
        <f>titanic!E735</f>
        <v>35</v>
      </c>
    </row>
    <row r="736" spans="1:2" x14ac:dyDescent="0.3">
      <c r="A736" t="str">
        <f>titanic!C736</f>
        <v>Mr. Kanio Ivanoff</v>
      </c>
      <c r="B736">
        <f>titanic!E736</f>
        <v>20</v>
      </c>
    </row>
    <row r="737" spans="1:2" x14ac:dyDescent="0.3">
      <c r="A737" t="str">
        <f>titanic!C737</f>
        <v>Mr. Minko Nankoff</v>
      </c>
      <c r="B737">
        <f>titanic!E737</f>
        <v>32</v>
      </c>
    </row>
    <row r="738" spans="1:2" x14ac:dyDescent="0.3">
      <c r="A738" t="str">
        <f>titanic!C738</f>
        <v>Mr. Walter James Hawksford</v>
      </c>
      <c r="B738">
        <f>titanic!E738</f>
        <v>45</v>
      </c>
    </row>
    <row r="739" spans="1:2" x14ac:dyDescent="0.3">
      <c r="A739" t="str">
        <f>titanic!C739</f>
        <v>Mr. Tyrell William Cavendish</v>
      </c>
      <c r="B739">
        <f>titanic!E739</f>
        <v>36</v>
      </c>
    </row>
    <row r="740" spans="1:2" x14ac:dyDescent="0.3">
      <c r="A740" t="str">
        <f>titanic!C740</f>
        <v>Miss. Susan Parker Ryerson</v>
      </c>
      <c r="B740">
        <f>titanic!E740</f>
        <v>21</v>
      </c>
    </row>
    <row r="741" spans="1:2" x14ac:dyDescent="0.3">
      <c r="A741" t="str">
        <f>titanic!C741</f>
        <v>Mr. Neal McNamee</v>
      </c>
      <c r="B741">
        <f>titanic!E741</f>
        <v>24</v>
      </c>
    </row>
    <row r="742" spans="1:2" x14ac:dyDescent="0.3">
      <c r="A742" t="str">
        <f>titanic!C742</f>
        <v>Mr. Juho Stranden</v>
      </c>
      <c r="B742">
        <f>titanic!E742</f>
        <v>31</v>
      </c>
    </row>
    <row r="743" spans="1:2" x14ac:dyDescent="0.3">
      <c r="A743" t="str">
        <f>titanic!C743</f>
        <v>Capt. Edward Gifford Crosby</v>
      </c>
      <c r="B743">
        <f>titanic!E743</f>
        <v>70</v>
      </c>
    </row>
    <row r="744" spans="1:2" x14ac:dyDescent="0.3">
      <c r="A744" t="str">
        <f>titanic!C744</f>
        <v>Mr. Rossmore Edward Abbott</v>
      </c>
      <c r="B744">
        <f>titanic!E744</f>
        <v>16</v>
      </c>
    </row>
    <row r="745" spans="1:2" x14ac:dyDescent="0.3">
      <c r="A745" t="str">
        <f>titanic!C745</f>
        <v>Miss. Anna Sinkkonen</v>
      </c>
      <c r="B745">
        <f>titanic!E745</f>
        <v>30</v>
      </c>
    </row>
    <row r="746" spans="1:2" x14ac:dyDescent="0.3">
      <c r="A746" t="str">
        <f>titanic!C746</f>
        <v>Mr. Daniel Warner Marvin</v>
      </c>
      <c r="B746">
        <f>titanic!E746</f>
        <v>19</v>
      </c>
    </row>
    <row r="747" spans="1:2" x14ac:dyDescent="0.3">
      <c r="A747" t="str">
        <f>titanic!C747</f>
        <v>Mr. Michael Connaghton</v>
      </c>
      <c r="B747">
        <f>titanic!E747</f>
        <v>31</v>
      </c>
    </row>
    <row r="748" spans="1:2" x14ac:dyDescent="0.3">
      <c r="A748" t="str">
        <f>titanic!C748</f>
        <v>Miss. Joan Wells</v>
      </c>
      <c r="B748">
        <f>titanic!E748</f>
        <v>4</v>
      </c>
    </row>
    <row r="749" spans="1:2" x14ac:dyDescent="0.3">
      <c r="A749" t="str">
        <f>titanic!C749</f>
        <v>Master. Meier Moor</v>
      </c>
      <c r="B749">
        <f>titanic!E749</f>
        <v>6</v>
      </c>
    </row>
    <row r="750" spans="1:2" x14ac:dyDescent="0.3">
      <c r="A750" t="str">
        <f>titanic!C750</f>
        <v>Mr. Johannes Joseph Vande Velde</v>
      </c>
      <c r="B750">
        <f>titanic!E750</f>
        <v>33</v>
      </c>
    </row>
    <row r="751" spans="1:2" x14ac:dyDescent="0.3">
      <c r="A751" t="str">
        <f>titanic!C751</f>
        <v>Mr. Lalio Jonkoff</v>
      </c>
      <c r="B751">
        <f>titanic!E751</f>
        <v>23</v>
      </c>
    </row>
    <row r="752" spans="1:2" x14ac:dyDescent="0.3">
      <c r="A752" t="str">
        <f>titanic!C752</f>
        <v>Mrs. Samuel (Jane Laver) Herman</v>
      </c>
      <c r="B752">
        <f>titanic!E752</f>
        <v>48</v>
      </c>
    </row>
    <row r="753" spans="1:2" x14ac:dyDescent="0.3">
      <c r="A753" t="str">
        <f>titanic!C753</f>
        <v>Master. Viljo Hamalainen</v>
      </c>
      <c r="B753">
        <f>titanic!E753</f>
        <v>0.67</v>
      </c>
    </row>
    <row r="754" spans="1:2" x14ac:dyDescent="0.3">
      <c r="A754" t="str">
        <f>titanic!C754</f>
        <v>Mr. August Sigfrid Carlsson</v>
      </c>
      <c r="B754">
        <f>titanic!E754</f>
        <v>28</v>
      </c>
    </row>
    <row r="755" spans="1:2" x14ac:dyDescent="0.3">
      <c r="A755" t="str">
        <f>titanic!C755</f>
        <v>Mr. Percy Andrew Bailey</v>
      </c>
      <c r="B755">
        <f>titanic!E755</f>
        <v>18</v>
      </c>
    </row>
    <row r="756" spans="1:2" x14ac:dyDescent="0.3">
      <c r="A756" t="str">
        <f>titanic!C756</f>
        <v>Mr. Thomas Leonard Theobald</v>
      </c>
      <c r="B756">
        <f>titanic!E756</f>
        <v>34</v>
      </c>
    </row>
    <row r="757" spans="1:2" x14ac:dyDescent="0.3">
      <c r="A757" t="str">
        <f>titanic!C757</f>
        <v>the Countess. of (Lucy Noel Martha Dyer-Edwards) Rothes</v>
      </c>
      <c r="B757">
        <f>titanic!E757</f>
        <v>33</v>
      </c>
    </row>
    <row r="758" spans="1:2" x14ac:dyDescent="0.3">
      <c r="A758" t="str">
        <f>titanic!C758</f>
        <v>Mr. John Garfirth</v>
      </c>
      <c r="B758">
        <f>titanic!E758</f>
        <v>23</v>
      </c>
    </row>
    <row r="759" spans="1:2" x14ac:dyDescent="0.3">
      <c r="A759" t="str">
        <f>titanic!C759</f>
        <v>Mr. Iisakki Antino Aijo Nirva</v>
      </c>
      <c r="B759">
        <f>titanic!E759</f>
        <v>41</v>
      </c>
    </row>
    <row r="760" spans="1:2" x14ac:dyDescent="0.3">
      <c r="A760" t="str">
        <f>titanic!C760</f>
        <v>Mr. Hanna Assi Barah</v>
      </c>
      <c r="B760">
        <f>titanic!E760</f>
        <v>20</v>
      </c>
    </row>
    <row r="761" spans="1:2" x14ac:dyDescent="0.3">
      <c r="A761" t="str">
        <f>titanic!C761</f>
        <v>Mrs. William Ernest (Lucile Polk) Carter</v>
      </c>
      <c r="B761">
        <f>titanic!E761</f>
        <v>36</v>
      </c>
    </row>
    <row r="762" spans="1:2" x14ac:dyDescent="0.3">
      <c r="A762" t="str">
        <f>titanic!C762</f>
        <v>Mr. Hans Linus Eklund</v>
      </c>
      <c r="B762">
        <f>titanic!E762</f>
        <v>16</v>
      </c>
    </row>
    <row r="763" spans="1:2" x14ac:dyDescent="0.3">
      <c r="A763" t="str">
        <f>titanic!C763</f>
        <v>Mrs. John C (Anna Andrews) Hogeboom</v>
      </c>
      <c r="B763">
        <f>titanic!E763</f>
        <v>51</v>
      </c>
    </row>
    <row r="764" spans="1:2" x14ac:dyDescent="0.3">
      <c r="A764" t="str">
        <f>titanic!C764</f>
        <v>Dr. Arthur Jackson Brewe</v>
      </c>
      <c r="B764">
        <f>titanic!E764</f>
        <v>46</v>
      </c>
    </row>
    <row r="765" spans="1:2" x14ac:dyDescent="0.3">
      <c r="A765" t="str">
        <f>titanic!C765</f>
        <v>Miss. Mary Mangan</v>
      </c>
      <c r="B765">
        <f>titanic!E765</f>
        <v>30.5</v>
      </c>
    </row>
    <row r="766" spans="1:2" x14ac:dyDescent="0.3">
      <c r="A766" t="str">
        <f>titanic!C766</f>
        <v>Mr. Daniel J Moran</v>
      </c>
      <c r="B766">
        <f>titanic!E766</f>
        <v>28</v>
      </c>
    </row>
    <row r="767" spans="1:2" x14ac:dyDescent="0.3">
      <c r="A767" t="str">
        <f>titanic!C767</f>
        <v>Mr. Daniel Danielsen Gronnestad</v>
      </c>
      <c r="B767">
        <f>titanic!E767</f>
        <v>32</v>
      </c>
    </row>
    <row r="768" spans="1:2" x14ac:dyDescent="0.3">
      <c r="A768" t="str">
        <f>titanic!C768</f>
        <v>Mr. Rene Aime Lievens</v>
      </c>
      <c r="B768">
        <f>titanic!E768</f>
        <v>24</v>
      </c>
    </row>
    <row r="769" spans="1:2" x14ac:dyDescent="0.3">
      <c r="A769" t="str">
        <f>titanic!C769</f>
        <v>Mr. Niels Peder Jensen</v>
      </c>
      <c r="B769">
        <f>titanic!E769</f>
        <v>48</v>
      </c>
    </row>
    <row r="770" spans="1:2" x14ac:dyDescent="0.3">
      <c r="A770" t="str">
        <f>titanic!C770</f>
        <v>Mrs. (Mary) Mack</v>
      </c>
      <c r="B770">
        <f>titanic!E770</f>
        <v>57</v>
      </c>
    </row>
    <row r="771" spans="1:2" x14ac:dyDescent="0.3">
      <c r="A771" t="str">
        <f>titanic!C771</f>
        <v>Mr. Dibo Elias</v>
      </c>
      <c r="B771">
        <f>titanic!E771</f>
        <v>29</v>
      </c>
    </row>
    <row r="772" spans="1:2" x14ac:dyDescent="0.3">
      <c r="A772" t="str">
        <f>titanic!C772</f>
        <v>Mrs. Elizabeth (Eliza Needs) Hocking</v>
      </c>
      <c r="B772">
        <f>titanic!E772</f>
        <v>54</v>
      </c>
    </row>
    <row r="773" spans="1:2" x14ac:dyDescent="0.3">
      <c r="A773" t="str">
        <f>titanic!C773</f>
        <v>Mr. Pehr Fabian Oliver Malkolm Myhrman</v>
      </c>
      <c r="B773">
        <f>titanic!E773</f>
        <v>18</v>
      </c>
    </row>
    <row r="774" spans="1:2" x14ac:dyDescent="0.3">
      <c r="A774" t="str">
        <f>titanic!C774</f>
        <v>Mr. Roger Tobin</v>
      </c>
      <c r="B774">
        <f>titanic!E774</f>
        <v>20</v>
      </c>
    </row>
    <row r="775" spans="1:2" x14ac:dyDescent="0.3">
      <c r="A775" t="str">
        <f>titanic!C775</f>
        <v>Miss. Virginia Ethel Emanuel</v>
      </c>
      <c r="B775">
        <f>titanic!E775</f>
        <v>5</v>
      </c>
    </row>
    <row r="776" spans="1:2" x14ac:dyDescent="0.3">
      <c r="A776" t="str">
        <f>titanic!C776</f>
        <v>Mr. Thomas J Kilgannon</v>
      </c>
      <c r="B776">
        <f>titanic!E776</f>
        <v>22</v>
      </c>
    </row>
    <row r="777" spans="1:2" x14ac:dyDescent="0.3">
      <c r="A777" t="str">
        <f>titanic!C777</f>
        <v>Mrs. Edward Scott (Elisabeth Walton McMillan) Robert</v>
      </c>
      <c r="B777">
        <f>titanic!E777</f>
        <v>43</v>
      </c>
    </row>
    <row r="778" spans="1:2" x14ac:dyDescent="0.3">
      <c r="A778" t="str">
        <f>titanic!C778</f>
        <v>Miss. Banoura Ayoub</v>
      </c>
      <c r="B778">
        <f>titanic!E778</f>
        <v>13</v>
      </c>
    </row>
    <row r="779" spans="1:2" x14ac:dyDescent="0.3">
      <c r="A779" t="str">
        <f>titanic!C779</f>
        <v>Mrs. Albert Adrian (Vera Gillespie) Dick</v>
      </c>
      <c r="B779">
        <f>titanic!E779</f>
        <v>17</v>
      </c>
    </row>
    <row r="780" spans="1:2" x14ac:dyDescent="0.3">
      <c r="A780" t="str">
        <f>titanic!C780</f>
        <v>Mr. Milton Clyde Long</v>
      </c>
      <c r="B780">
        <f>titanic!E780</f>
        <v>29</v>
      </c>
    </row>
    <row r="781" spans="1:2" x14ac:dyDescent="0.3">
      <c r="A781" t="str">
        <f>titanic!C781</f>
        <v>Mr. Andrew G Johnston</v>
      </c>
      <c r="B781">
        <f>titanic!E781</f>
        <v>35</v>
      </c>
    </row>
    <row r="782" spans="1:2" x14ac:dyDescent="0.3">
      <c r="A782" t="str">
        <f>titanic!C782</f>
        <v>Mr. William Ali</v>
      </c>
      <c r="B782">
        <f>titanic!E782</f>
        <v>25</v>
      </c>
    </row>
    <row r="783" spans="1:2" x14ac:dyDescent="0.3">
      <c r="A783" t="str">
        <f>titanic!C783</f>
        <v>Mr. Abraham (David Lishin) Harmer</v>
      </c>
      <c r="B783">
        <f>titanic!E783</f>
        <v>25</v>
      </c>
    </row>
    <row r="784" spans="1:2" x14ac:dyDescent="0.3">
      <c r="A784" t="str">
        <f>titanic!C784</f>
        <v>Miss. Anna Sofia Sjoblom</v>
      </c>
      <c r="B784">
        <f>titanic!E784</f>
        <v>18</v>
      </c>
    </row>
    <row r="785" spans="1:2" x14ac:dyDescent="0.3">
      <c r="A785" t="str">
        <f>titanic!C785</f>
        <v>Master. George Hugh Rice</v>
      </c>
      <c r="B785">
        <f>titanic!E785</f>
        <v>8</v>
      </c>
    </row>
    <row r="786" spans="1:2" x14ac:dyDescent="0.3">
      <c r="A786" t="str">
        <f>titanic!C786</f>
        <v>Master. Bertram Vere Dean</v>
      </c>
      <c r="B786">
        <f>titanic!E786</f>
        <v>1</v>
      </c>
    </row>
    <row r="787" spans="1:2" x14ac:dyDescent="0.3">
      <c r="A787" t="str">
        <f>titanic!C787</f>
        <v>Mr. Benjamin Guggenheim</v>
      </c>
      <c r="B787">
        <f>titanic!E787</f>
        <v>46</v>
      </c>
    </row>
    <row r="788" spans="1:2" x14ac:dyDescent="0.3">
      <c r="A788" t="str">
        <f>titanic!C788</f>
        <v>Mr. Andrew Keane</v>
      </c>
      <c r="B788">
        <f>titanic!E788</f>
        <v>20</v>
      </c>
    </row>
    <row r="789" spans="1:2" x14ac:dyDescent="0.3">
      <c r="A789" t="str">
        <f>titanic!C789</f>
        <v>Mr. Alfred Gaskell</v>
      </c>
      <c r="B789">
        <f>titanic!E789</f>
        <v>16</v>
      </c>
    </row>
    <row r="790" spans="1:2" x14ac:dyDescent="0.3">
      <c r="A790" t="str">
        <f>titanic!C790</f>
        <v>Miss. Stella Anna Sage</v>
      </c>
      <c r="B790">
        <f>titanic!E790</f>
        <v>21</v>
      </c>
    </row>
    <row r="791" spans="1:2" x14ac:dyDescent="0.3">
      <c r="A791" t="str">
        <f>titanic!C791</f>
        <v>Mr. William Fisher Hoyt</v>
      </c>
      <c r="B791">
        <f>titanic!E791</f>
        <v>43</v>
      </c>
    </row>
    <row r="792" spans="1:2" x14ac:dyDescent="0.3">
      <c r="A792" t="str">
        <f>titanic!C792</f>
        <v>Mr. Ristiu Dantcheff</v>
      </c>
      <c r="B792">
        <f>titanic!E792</f>
        <v>25</v>
      </c>
    </row>
    <row r="793" spans="1:2" x14ac:dyDescent="0.3">
      <c r="A793" t="str">
        <f>titanic!C793</f>
        <v>Mr. Richard Otter</v>
      </c>
      <c r="B793">
        <f>titanic!E793</f>
        <v>39</v>
      </c>
    </row>
    <row r="794" spans="1:2" x14ac:dyDescent="0.3">
      <c r="A794" t="str">
        <f>titanic!C794</f>
        <v>Dr. Alice (Farnham) Leader</v>
      </c>
      <c r="B794">
        <f>titanic!E794</f>
        <v>49</v>
      </c>
    </row>
    <row r="795" spans="1:2" x14ac:dyDescent="0.3">
      <c r="A795" t="str">
        <f>titanic!C795</f>
        <v>Mrs. Mara Osman</v>
      </c>
      <c r="B795">
        <f>titanic!E795</f>
        <v>31</v>
      </c>
    </row>
    <row r="796" spans="1:2" x14ac:dyDescent="0.3">
      <c r="A796" t="str">
        <f>titanic!C796</f>
        <v>Mr. Yousseff Ibrahim Shawah</v>
      </c>
      <c r="B796">
        <f>titanic!E796</f>
        <v>30</v>
      </c>
    </row>
    <row r="797" spans="1:2" x14ac:dyDescent="0.3">
      <c r="A797" t="str">
        <f>titanic!C797</f>
        <v>Mrs. Jean Baptiste (Rosalie Paula Govaert) Van Impe</v>
      </c>
      <c r="B797">
        <f>titanic!E797</f>
        <v>30</v>
      </c>
    </row>
    <row r="798" spans="1:2" x14ac:dyDescent="0.3">
      <c r="A798" t="str">
        <f>titanic!C798</f>
        <v>Mr. Martin Ponesell</v>
      </c>
      <c r="B798">
        <f>titanic!E798</f>
        <v>34</v>
      </c>
    </row>
    <row r="799" spans="1:2" x14ac:dyDescent="0.3">
      <c r="A799" t="str">
        <f>titanic!C799</f>
        <v>Mrs. Harvey (Charlotte Annie Tate) Collyer</v>
      </c>
      <c r="B799">
        <f>titanic!E799</f>
        <v>31</v>
      </c>
    </row>
    <row r="800" spans="1:2" x14ac:dyDescent="0.3">
      <c r="A800" t="str">
        <f>titanic!C800</f>
        <v>Master. William Thornton II Carter</v>
      </c>
      <c r="B800">
        <f>titanic!E800</f>
        <v>11</v>
      </c>
    </row>
    <row r="801" spans="1:2" x14ac:dyDescent="0.3">
      <c r="A801" t="str">
        <f>titanic!C801</f>
        <v>Master. Assad Alexander Thomas</v>
      </c>
      <c r="B801">
        <f>titanic!E801</f>
        <v>0.42</v>
      </c>
    </row>
    <row r="802" spans="1:2" x14ac:dyDescent="0.3">
      <c r="A802" t="str">
        <f>titanic!C802</f>
        <v>Mr. Oskar Arvid Hedman</v>
      </c>
      <c r="B802">
        <f>titanic!E802</f>
        <v>27</v>
      </c>
    </row>
    <row r="803" spans="1:2" x14ac:dyDescent="0.3">
      <c r="A803" t="str">
        <f>titanic!C803</f>
        <v>Mr. Karl Johan Johansson</v>
      </c>
      <c r="B803">
        <f>titanic!E803</f>
        <v>31</v>
      </c>
    </row>
    <row r="804" spans="1:2" x14ac:dyDescent="0.3">
      <c r="A804" t="str">
        <f>titanic!C804</f>
        <v>Mr. Thomas Jr Andrews</v>
      </c>
      <c r="B804">
        <f>titanic!E804</f>
        <v>39</v>
      </c>
    </row>
    <row r="805" spans="1:2" x14ac:dyDescent="0.3">
      <c r="A805" t="str">
        <f>titanic!C805</f>
        <v>Miss. Ellen Natalia Pettersson</v>
      </c>
      <c r="B805">
        <f>titanic!E805</f>
        <v>18</v>
      </c>
    </row>
    <row r="806" spans="1:2" x14ac:dyDescent="0.3">
      <c r="A806" t="str">
        <f>titanic!C806</f>
        <v>Mr. August Meyer</v>
      </c>
      <c r="B806">
        <f>titanic!E806</f>
        <v>39</v>
      </c>
    </row>
    <row r="807" spans="1:2" x14ac:dyDescent="0.3">
      <c r="A807" t="str">
        <f>titanic!C807</f>
        <v>Mrs. Norman Campbell (Bertha Griggs) Chambers</v>
      </c>
      <c r="B807">
        <f>titanic!E807</f>
        <v>33</v>
      </c>
    </row>
    <row r="808" spans="1:2" x14ac:dyDescent="0.3">
      <c r="A808" t="str">
        <f>titanic!C808</f>
        <v>Mr. William Alexander</v>
      </c>
      <c r="B808">
        <f>titanic!E808</f>
        <v>26</v>
      </c>
    </row>
    <row r="809" spans="1:2" x14ac:dyDescent="0.3">
      <c r="A809" t="str">
        <f>titanic!C809</f>
        <v>Mr. James Lester</v>
      </c>
      <c r="B809">
        <f>titanic!E809</f>
        <v>39</v>
      </c>
    </row>
    <row r="810" spans="1:2" x14ac:dyDescent="0.3">
      <c r="A810" t="str">
        <f>titanic!C810</f>
        <v>Mr. Richard James Slemen</v>
      </c>
      <c r="B810">
        <f>titanic!E810</f>
        <v>35</v>
      </c>
    </row>
    <row r="811" spans="1:2" x14ac:dyDescent="0.3">
      <c r="A811" t="str">
        <f>titanic!C811</f>
        <v>Miss. Ebba Iris Alfrida Andersson</v>
      </c>
      <c r="B811">
        <f>titanic!E811</f>
        <v>6</v>
      </c>
    </row>
    <row r="812" spans="1:2" x14ac:dyDescent="0.3">
      <c r="A812" t="str">
        <f>titanic!C812</f>
        <v>Mr. Ernest Portage Tomlin</v>
      </c>
      <c r="B812">
        <f>titanic!E812</f>
        <v>30.5</v>
      </c>
    </row>
    <row r="813" spans="1:2" x14ac:dyDescent="0.3">
      <c r="A813" t="str">
        <f>titanic!C813</f>
        <v>Mr. Richard Fry</v>
      </c>
      <c r="B813">
        <f>titanic!E813</f>
        <v>39</v>
      </c>
    </row>
    <row r="814" spans="1:2" x14ac:dyDescent="0.3">
      <c r="A814" t="str">
        <f>titanic!C814</f>
        <v>Miss. Wendla Maria Heininen</v>
      </c>
      <c r="B814">
        <f>titanic!E814</f>
        <v>23</v>
      </c>
    </row>
    <row r="815" spans="1:2" x14ac:dyDescent="0.3">
      <c r="A815" t="str">
        <f>titanic!C815</f>
        <v>Mr. Albert Mallet</v>
      </c>
      <c r="B815">
        <f>titanic!E815</f>
        <v>31</v>
      </c>
    </row>
    <row r="816" spans="1:2" x14ac:dyDescent="0.3">
      <c r="A816" t="str">
        <f>titanic!C816</f>
        <v>Mr. John Fredrik Alexander Holm</v>
      </c>
      <c r="B816">
        <f>titanic!E816</f>
        <v>43</v>
      </c>
    </row>
    <row r="817" spans="1:2" x14ac:dyDescent="0.3">
      <c r="A817" t="str">
        <f>titanic!C817</f>
        <v>Master. Karl Thorsten Skoog</v>
      </c>
      <c r="B817">
        <f>titanic!E817</f>
        <v>10</v>
      </c>
    </row>
    <row r="818" spans="1:2" x14ac:dyDescent="0.3">
      <c r="A818" t="str">
        <f>titanic!C818</f>
        <v>Mrs. Charles Melville (Clara Jennings Gregg) Hays</v>
      </c>
      <c r="B818">
        <f>titanic!E818</f>
        <v>52</v>
      </c>
    </row>
    <row r="819" spans="1:2" x14ac:dyDescent="0.3">
      <c r="A819" t="str">
        <f>titanic!C819</f>
        <v>Mr. Nikola Lulic</v>
      </c>
      <c r="B819">
        <f>titanic!E819</f>
        <v>27</v>
      </c>
    </row>
    <row r="820" spans="1:2" x14ac:dyDescent="0.3">
      <c r="A820" t="str">
        <f>titanic!C820</f>
        <v>Jonkheer. John George Reuchlin</v>
      </c>
      <c r="B820">
        <f>titanic!E820</f>
        <v>38</v>
      </c>
    </row>
    <row r="821" spans="1:2" x14ac:dyDescent="0.3">
      <c r="A821" t="str">
        <f>titanic!C821</f>
        <v>Mrs. (Beila) Moor</v>
      </c>
      <c r="B821">
        <f>titanic!E821</f>
        <v>27</v>
      </c>
    </row>
    <row r="822" spans="1:2" x14ac:dyDescent="0.3">
      <c r="A822" t="str">
        <f>titanic!C822</f>
        <v>Master. Urho Abraham Panula</v>
      </c>
      <c r="B822">
        <f>titanic!E822</f>
        <v>2</v>
      </c>
    </row>
    <row r="823" spans="1:2" x14ac:dyDescent="0.3">
      <c r="A823" t="str">
        <f>titanic!C823</f>
        <v>Mr. John Flynn</v>
      </c>
      <c r="B823">
        <f>titanic!E823</f>
        <v>36</v>
      </c>
    </row>
    <row r="824" spans="1:2" x14ac:dyDescent="0.3">
      <c r="A824" t="str">
        <f>titanic!C824</f>
        <v>Mr. Len Lam</v>
      </c>
      <c r="B824">
        <f>titanic!E824</f>
        <v>23</v>
      </c>
    </row>
    <row r="825" spans="1:2" x14ac:dyDescent="0.3">
      <c r="A825" t="str">
        <f>titanic!C825</f>
        <v>Master. Andre Mallet</v>
      </c>
      <c r="B825">
        <f>titanic!E825</f>
        <v>1</v>
      </c>
    </row>
    <row r="826" spans="1:2" x14ac:dyDescent="0.3">
      <c r="A826" t="str">
        <f>titanic!C826</f>
        <v>Mr. Thomas Joseph McCormack</v>
      </c>
      <c r="B826">
        <f>titanic!E826</f>
        <v>19</v>
      </c>
    </row>
    <row r="827" spans="1:2" x14ac:dyDescent="0.3">
      <c r="A827" t="str">
        <f>titanic!C827</f>
        <v>Mrs. George Nelson (Martha Evelyn) Stone</v>
      </c>
      <c r="B827">
        <f>titanic!E827</f>
        <v>62</v>
      </c>
    </row>
    <row r="828" spans="1:2" x14ac:dyDescent="0.3">
      <c r="A828" t="str">
        <f>titanic!C828</f>
        <v>Mrs. Antoni (Selini Alexander) Yasbeck</v>
      </c>
      <c r="B828">
        <f>titanic!E828</f>
        <v>15</v>
      </c>
    </row>
    <row r="829" spans="1:2" x14ac:dyDescent="0.3">
      <c r="A829" t="str">
        <f>titanic!C829</f>
        <v>Master. George Sibley Richards</v>
      </c>
      <c r="B829">
        <f>titanic!E829</f>
        <v>0.83</v>
      </c>
    </row>
    <row r="830" spans="1:2" x14ac:dyDescent="0.3">
      <c r="A830" t="str">
        <f>titanic!C830</f>
        <v>Mr. Amin Saad</v>
      </c>
      <c r="B830">
        <f>titanic!E830</f>
        <v>30</v>
      </c>
    </row>
    <row r="831" spans="1:2" x14ac:dyDescent="0.3">
      <c r="A831" t="str">
        <f>titanic!C831</f>
        <v>Mr. Albert Augustsson</v>
      </c>
      <c r="B831">
        <f>titanic!E831</f>
        <v>23</v>
      </c>
    </row>
    <row r="832" spans="1:2" x14ac:dyDescent="0.3">
      <c r="A832" t="str">
        <f>titanic!C832</f>
        <v>Mr. Owen George Allum</v>
      </c>
      <c r="B832">
        <f>titanic!E832</f>
        <v>18</v>
      </c>
    </row>
    <row r="833" spans="1:2" x14ac:dyDescent="0.3">
      <c r="A833" t="str">
        <f>titanic!C833</f>
        <v>Miss. Sara Rebecca Compton</v>
      </c>
      <c r="B833">
        <f>titanic!E833</f>
        <v>39</v>
      </c>
    </row>
    <row r="834" spans="1:2" x14ac:dyDescent="0.3">
      <c r="A834" t="str">
        <f>titanic!C834</f>
        <v>Mr. Jakob Pasic</v>
      </c>
      <c r="B834">
        <f>titanic!E834</f>
        <v>21</v>
      </c>
    </row>
    <row r="835" spans="1:2" x14ac:dyDescent="0.3">
      <c r="A835" t="str">
        <f>titanic!C835</f>
        <v>Mr. Maurice Sirota</v>
      </c>
      <c r="B835">
        <f>titanic!E835</f>
        <v>20</v>
      </c>
    </row>
    <row r="836" spans="1:2" x14ac:dyDescent="0.3">
      <c r="A836" t="str">
        <f>titanic!C836</f>
        <v>Mr. Chang Chip</v>
      </c>
      <c r="B836">
        <f>titanic!E836</f>
        <v>32</v>
      </c>
    </row>
    <row r="837" spans="1:2" x14ac:dyDescent="0.3">
      <c r="A837" t="str">
        <f>titanic!C837</f>
        <v>Mr. Pierre Marechal</v>
      </c>
      <c r="B837">
        <f>titanic!E837</f>
        <v>29</v>
      </c>
    </row>
    <row r="838" spans="1:2" x14ac:dyDescent="0.3">
      <c r="A838" t="str">
        <f>titanic!C838</f>
        <v>Mr. Ilmari Rudolf Alhomaki</v>
      </c>
      <c r="B838">
        <f>titanic!E838</f>
        <v>20</v>
      </c>
    </row>
    <row r="839" spans="1:2" x14ac:dyDescent="0.3">
      <c r="A839" t="str">
        <f>titanic!C839</f>
        <v>Mr. Thomas Charles Mudd</v>
      </c>
      <c r="B839">
        <f>titanic!E839</f>
        <v>16</v>
      </c>
    </row>
    <row r="840" spans="1:2" x14ac:dyDescent="0.3">
      <c r="A840" t="str">
        <f>titanic!C840</f>
        <v>Miss. Augusta Serepeca</v>
      </c>
      <c r="B840">
        <f>titanic!E840</f>
        <v>30</v>
      </c>
    </row>
    <row r="841" spans="1:2" x14ac:dyDescent="0.3">
      <c r="A841" t="str">
        <f>titanic!C841</f>
        <v>Mr. Peter L Lemberopolous</v>
      </c>
      <c r="B841">
        <f>titanic!E841</f>
        <v>34.5</v>
      </c>
    </row>
    <row r="842" spans="1:2" x14ac:dyDescent="0.3">
      <c r="A842" t="str">
        <f>titanic!C842</f>
        <v>Mr. Jeso Culumovic</v>
      </c>
      <c r="B842">
        <f>titanic!E842</f>
        <v>17</v>
      </c>
    </row>
    <row r="843" spans="1:2" x14ac:dyDescent="0.3">
      <c r="A843" t="str">
        <f>titanic!C843</f>
        <v>Mr. Anthony Abbing</v>
      </c>
      <c r="B843">
        <f>titanic!E843</f>
        <v>42</v>
      </c>
    </row>
    <row r="844" spans="1:2" x14ac:dyDescent="0.3">
      <c r="A844" t="str">
        <f>titanic!C844</f>
        <v>Mr. Douglas Bullen Sage</v>
      </c>
      <c r="B844">
        <f>titanic!E844</f>
        <v>18</v>
      </c>
    </row>
    <row r="845" spans="1:2" x14ac:dyDescent="0.3">
      <c r="A845" t="str">
        <f>titanic!C845</f>
        <v>Mr. Marin Markoff</v>
      </c>
      <c r="B845">
        <f>titanic!E845</f>
        <v>35</v>
      </c>
    </row>
    <row r="846" spans="1:2" x14ac:dyDescent="0.3">
      <c r="A846" t="str">
        <f>titanic!C846</f>
        <v>Rev. John Harper</v>
      </c>
      <c r="B846">
        <f>titanic!E846</f>
        <v>28</v>
      </c>
    </row>
    <row r="847" spans="1:2" x14ac:dyDescent="0.3">
      <c r="A847" t="str">
        <f>titanic!C847</f>
        <v>Mrs. Samuel L (Edwiga Grabowska) Goldenberg</v>
      </c>
      <c r="B847">
        <f>titanic!E847</f>
        <v>40</v>
      </c>
    </row>
    <row r="848" spans="1:2" x14ac:dyDescent="0.3">
      <c r="A848" t="str">
        <f>titanic!C848</f>
        <v>Master. Sigvard Harald Elias Andersson</v>
      </c>
      <c r="B848">
        <f>titanic!E848</f>
        <v>4</v>
      </c>
    </row>
    <row r="849" spans="1:2" x14ac:dyDescent="0.3">
      <c r="A849" t="str">
        <f>titanic!C849</f>
        <v>Mr. Johan Svensson</v>
      </c>
      <c r="B849">
        <f>titanic!E849</f>
        <v>74</v>
      </c>
    </row>
    <row r="850" spans="1:2" x14ac:dyDescent="0.3">
      <c r="A850" t="str">
        <f>titanic!C850</f>
        <v>Miss. Nourelain Boulos</v>
      </c>
      <c r="B850">
        <f>titanic!E850</f>
        <v>9</v>
      </c>
    </row>
    <row r="851" spans="1:2" x14ac:dyDescent="0.3">
      <c r="A851" t="str">
        <f>titanic!C851</f>
        <v>Miss. Mary Conover Lines</v>
      </c>
      <c r="B851">
        <f>titanic!E851</f>
        <v>16</v>
      </c>
    </row>
    <row r="852" spans="1:2" x14ac:dyDescent="0.3">
      <c r="A852" t="str">
        <f>titanic!C852</f>
        <v>Mrs. Ernest Courtenay (Lilian Hughes) Carter</v>
      </c>
      <c r="B852">
        <f>titanic!E852</f>
        <v>44</v>
      </c>
    </row>
    <row r="853" spans="1:2" x14ac:dyDescent="0.3">
      <c r="A853" t="str">
        <f>titanic!C853</f>
        <v>Mrs. Sam (Leah Rosen) Aks</v>
      </c>
      <c r="B853">
        <f>titanic!E853</f>
        <v>18</v>
      </c>
    </row>
    <row r="854" spans="1:2" x14ac:dyDescent="0.3">
      <c r="A854" t="str">
        <f>titanic!C854</f>
        <v>Mrs. George Dennick (Mary Hitchcock) Wick</v>
      </c>
      <c r="B854">
        <f>titanic!E854</f>
        <v>45</v>
      </c>
    </row>
    <row r="855" spans="1:2" x14ac:dyDescent="0.3">
      <c r="A855" t="str">
        <f>titanic!C855</f>
        <v>Mr. Peter Denis Daly</v>
      </c>
      <c r="B855">
        <f>titanic!E855</f>
        <v>51</v>
      </c>
    </row>
    <row r="856" spans="1:2" x14ac:dyDescent="0.3">
      <c r="A856" t="str">
        <f>titanic!C856</f>
        <v>Mrs. Solomon (Latifa Qurban) Baclini</v>
      </c>
      <c r="B856">
        <f>titanic!E856</f>
        <v>24</v>
      </c>
    </row>
    <row r="857" spans="1:2" x14ac:dyDescent="0.3">
      <c r="A857" t="str">
        <f>titanic!C857</f>
        <v>Mr. Raihed Razi</v>
      </c>
      <c r="B857">
        <f>titanic!E857</f>
        <v>30</v>
      </c>
    </row>
    <row r="858" spans="1:2" x14ac:dyDescent="0.3">
      <c r="A858" t="str">
        <f>titanic!C858</f>
        <v>Mr. Claus Peter Hansen</v>
      </c>
      <c r="B858">
        <f>titanic!E858</f>
        <v>41</v>
      </c>
    </row>
    <row r="859" spans="1:2" x14ac:dyDescent="0.3">
      <c r="A859" t="str">
        <f>titanic!C859</f>
        <v>Mr. Frederick Edward Giles</v>
      </c>
      <c r="B859">
        <f>titanic!E859</f>
        <v>21</v>
      </c>
    </row>
    <row r="860" spans="1:2" x14ac:dyDescent="0.3">
      <c r="A860" t="str">
        <f>titanic!C860</f>
        <v>Mrs. Frederick Joel (Margaret Welles Barron) Swift</v>
      </c>
      <c r="B860">
        <f>titanic!E860</f>
        <v>48</v>
      </c>
    </row>
    <row r="861" spans="1:2" x14ac:dyDescent="0.3">
      <c r="A861" t="str">
        <f>titanic!C861</f>
        <v>Miss. Dorothy Edith Sage</v>
      </c>
      <c r="B861">
        <f>titanic!E861</f>
        <v>14</v>
      </c>
    </row>
    <row r="862" spans="1:2" x14ac:dyDescent="0.3">
      <c r="A862" t="str">
        <f>titanic!C862</f>
        <v>Mr. John William Gill</v>
      </c>
      <c r="B862">
        <f>titanic!E862</f>
        <v>24</v>
      </c>
    </row>
    <row r="863" spans="1:2" x14ac:dyDescent="0.3">
      <c r="A863" t="str">
        <f>titanic!C863</f>
        <v>Mrs. (Karolina) Bystrom</v>
      </c>
      <c r="B863">
        <f>titanic!E863</f>
        <v>42</v>
      </c>
    </row>
    <row r="864" spans="1:2" x14ac:dyDescent="0.3">
      <c r="A864" t="str">
        <f>titanic!C864</f>
        <v>Miss. Asuncion Duran y More</v>
      </c>
      <c r="B864">
        <f>titanic!E864</f>
        <v>27</v>
      </c>
    </row>
    <row r="865" spans="1:2" x14ac:dyDescent="0.3">
      <c r="A865" t="str">
        <f>titanic!C865</f>
        <v>Mr. Washington Augustus II Roebling</v>
      </c>
      <c r="B865">
        <f>titanic!E865</f>
        <v>31</v>
      </c>
    </row>
    <row r="866" spans="1:2" x14ac:dyDescent="0.3">
      <c r="A866" t="str">
        <f>titanic!C866</f>
        <v>Mr. Philemon van Melkebeke</v>
      </c>
      <c r="B866">
        <f>titanic!E866</f>
        <v>23</v>
      </c>
    </row>
    <row r="867" spans="1:2" x14ac:dyDescent="0.3">
      <c r="A867" t="str">
        <f>titanic!C867</f>
        <v>Master. Harold Theodor Johnson</v>
      </c>
      <c r="B867">
        <f>titanic!E867</f>
        <v>4</v>
      </c>
    </row>
    <row r="868" spans="1:2" x14ac:dyDescent="0.3">
      <c r="A868" t="str">
        <f>titanic!C868</f>
        <v>Mr. Cerin Balkic</v>
      </c>
      <c r="B868">
        <f>titanic!E868</f>
        <v>26</v>
      </c>
    </row>
    <row r="869" spans="1:2" x14ac:dyDescent="0.3">
      <c r="A869" t="str">
        <f>titanic!C869</f>
        <v>Mrs. Richard Leonard (Sallie Monypeny) Beckwith</v>
      </c>
      <c r="B869">
        <f>titanic!E869</f>
        <v>47</v>
      </c>
    </row>
    <row r="870" spans="1:2" x14ac:dyDescent="0.3">
      <c r="A870" t="str">
        <f>titanic!C870</f>
        <v>Mr. Frans Olof Carlsson</v>
      </c>
      <c r="B870">
        <f>titanic!E870</f>
        <v>33</v>
      </c>
    </row>
    <row r="871" spans="1:2" x14ac:dyDescent="0.3">
      <c r="A871" t="str">
        <f>titanic!C871</f>
        <v>Mr. Victor Vander Cruyssen</v>
      </c>
      <c r="B871">
        <f>titanic!E871</f>
        <v>47</v>
      </c>
    </row>
    <row r="872" spans="1:2" x14ac:dyDescent="0.3">
      <c r="A872" t="str">
        <f>titanic!C872</f>
        <v>Mrs. Samuel (Hannah Wizosky) Abelson</v>
      </c>
      <c r="B872">
        <f>titanic!E872</f>
        <v>28</v>
      </c>
    </row>
    <row r="873" spans="1:2" x14ac:dyDescent="0.3">
      <c r="A873" t="str">
        <f>titanic!C873</f>
        <v>Miss. Adele Kiamie Najib</v>
      </c>
      <c r="B873">
        <f>titanic!E873</f>
        <v>15</v>
      </c>
    </row>
    <row r="874" spans="1:2" x14ac:dyDescent="0.3">
      <c r="A874" t="str">
        <f>titanic!C874</f>
        <v>Mr. Alfred Ossian Gustafsson</v>
      </c>
      <c r="B874">
        <f>titanic!E874</f>
        <v>20</v>
      </c>
    </row>
    <row r="875" spans="1:2" x14ac:dyDescent="0.3">
      <c r="A875" t="str">
        <f>titanic!C875</f>
        <v>Mr. Nedelio Petroff</v>
      </c>
      <c r="B875">
        <f>titanic!E875</f>
        <v>19</v>
      </c>
    </row>
    <row r="876" spans="1:2" x14ac:dyDescent="0.3">
      <c r="A876" t="str">
        <f>titanic!C876</f>
        <v>Mr. Kristo Laleff</v>
      </c>
      <c r="B876">
        <f>titanic!E876</f>
        <v>23</v>
      </c>
    </row>
    <row r="877" spans="1:2" x14ac:dyDescent="0.3">
      <c r="A877" t="str">
        <f>titanic!C877</f>
        <v>Mrs. Thomas Jr (Lily Alexenia Wilson) Potter</v>
      </c>
      <c r="B877">
        <f>titanic!E877</f>
        <v>56</v>
      </c>
    </row>
    <row r="878" spans="1:2" x14ac:dyDescent="0.3">
      <c r="A878" t="str">
        <f>titanic!C878</f>
        <v>Mrs. William (Imanita Parrish Hall) Shelley</v>
      </c>
      <c r="B878">
        <f>titanic!E878</f>
        <v>25</v>
      </c>
    </row>
    <row r="879" spans="1:2" x14ac:dyDescent="0.3">
      <c r="A879" t="str">
        <f>titanic!C879</f>
        <v>Mr. Johann Markun</v>
      </c>
      <c r="B879">
        <f>titanic!E879</f>
        <v>33</v>
      </c>
    </row>
    <row r="880" spans="1:2" x14ac:dyDescent="0.3">
      <c r="A880" t="str">
        <f>titanic!C880</f>
        <v>Miss. Gerda Ulrika Dahlberg</v>
      </c>
      <c r="B880">
        <f>titanic!E880</f>
        <v>22</v>
      </c>
    </row>
    <row r="881" spans="1:2" x14ac:dyDescent="0.3">
      <c r="A881" t="str">
        <f>titanic!C881</f>
        <v>Mr. Frederick James Banfield</v>
      </c>
      <c r="B881">
        <f>titanic!E881</f>
        <v>28</v>
      </c>
    </row>
  </sheetData>
  <pageMargins left="0.7" right="0.7" top="0.75" bottom="0.75" header="0.3" footer="0.3"/>
  <pageSetup orientation="portrait" horizontalDpi="300" verticalDpi="30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B97D94-1A92-44B7-A2B3-D0D088B246CF}">
  <dimension ref="A1"/>
  <sheetViews>
    <sheetView tabSelected="1"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Props1.xml><?xml version="1.0" encoding="utf-8"?>
<ds:datastoreItem xmlns:ds="http://schemas.openxmlformats.org/officeDocument/2006/customXml" ds:itemID="{8FA5EE54-C248-4F46-A194-53EB7BACD9A6}">
  <ds:schemaRefs/>
</ds:datastoreItem>
</file>

<file path=customXml/itemProps2.xml><?xml version="1.0" encoding="utf-8"?>
<ds:datastoreItem xmlns:ds="http://schemas.openxmlformats.org/officeDocument/2006/customXml" ds:itemID="{209E7126-E3BB-49A1-8521-4F5D505D4E3E}">
  <ds:schemaRefs/>
</ds:datastoreItem>
</file>

<file path=customXml/itemProps3.xml><?xml version="1.0" encoding="utf-8"?>
<ds:datastoreItem xmlns:ds="http://schemas.openxmlformats.org/officeDocument/2006/customXml" ds:itemID="{D7F95FA8-05BF-4656-8A4C-872875ACEE2B}">
  <ds:schemaRefs/>
</ds:datastoreItem>
</file>

<file path=customXml/itemProps4.xml><?xml version="1.0" encoding="utf-8"?>
<ds:datastoreItem xmlns:ds="http://schemas.openxmlformats.org/officeDocument/2006/customXml" ds:itemID="{EAABE73E-9921-497C-88A0-EAE3988615ED}">
  <ds:schemaRefs/>
</ds:datastoreItem>
</file>

<file path=customXml/itemProps5.xml><?xml version="1.0" encoding="utf-8"?>
<ds:datastoreItem xmlns:ds="http://schemas.openxmlformats.org/officeDocument/2006/customXml" ds:itemID="{7544C65B-F987-47B3-8309-E1B40BBBAD72}">
  <ds:schemaRefs/>
</ds:datastoreItem>
</file>

<file path=customXml/itemProps6.xml><?xml version="1.0" encoding="utf-8"?>
<ds:datastoreItem xmlns:ds="http://schemas.openxmlformats.org/officeDocument/2006/customXml" ds:itemID="{95B429F0-70F8-484F-95DC-0C889851FDC5}">
  <ds:schemaRefs/>
</ds:datastoreItem>
</file>

<file path=customXml/itemProps7.xml><?xml version="1.0" encoding="utf-8"?>
<ds:datastoreItem xmlns:ds="http://schemas.openxmlformats.org/officeDocument/2006/customXml" ds:itemID="{147C1624-C8A0-45C8-B3DF-C97713CBCE17}">
  <ds:schemaRefs/>
</ds:datastoreItem>
</file>

<file path=customXml/itemProps8.xml><?xml version="1.0" encoding="utf-8"?>
<ds:datastoreItem xmlns:ds="http://schemas.openxmlformats.org/officeDocument/2006/customXml" ds:itemID="{C760F641-AE5A-49F1-BDC5-2DB59F650B42}">
  <ds:schemaRefs/>
</ds:datastoreItem>
</file>

<file path=customXml/itemProps9.xml><?xml version="1.0" encoding="utf-8"?>
<ds:datastoreItem xmlns:ds="http://schemas.openxmlformats.org/officeDocument/2006/customXml" ds:itemID="{548EB6A0-8A85-4A11-A05E-B2251EE03AC2}">
  <ds:schemaRefs/>
</ds:datastoreItem>
</file>

<file path=customXml/itemProps10.xml><?xml version="1.0" encoding="utf-8"?>
<ds:datastoreItem xmlns:ds="http://schemas.openxmlformats.org/officeDocument/2006/customXml" ds:itemID="{EA8D8406-F1DB-4890-BBA1-4DE543DE31F6}">
  <ds:schemaRefs/>
</ds:datastoreItem>
</file>

<file path=customXml/itemProps11.xml><?xml version="1.0" encoding="utf-8"?>
<ds:datastoreItem xmlns:ds="http://schemas.openxmlformats.org/officeDocument/2006/customXml" ds:itemID="{45C13B56-C1A4-47B0-8676-EC19B2BA73DF}">
  <ds:schemaRefs/>
</ds:datastoreItem>
</file>

<file path=customXml/itemProps12.xml><?xml version="1.0" encoding="utf-8"?>
<ds:datastoreItem xmlns:ds="http://schemas.openxmlformats.org/officeDocument/2006/customXml" ds:itemID="{02ACF856-8D1D-495B-AB3B-536DB031D7D8}">
  <ds:schemaRefs/>
</ds:datastoreItem>
</file>

<file path=customXml/itemProps13.xml><?xml version="1.0" encoding="utf-8"?>
<ds:datastoreItem xmlns:ds="http://schemas.openxmlformats.org/officeDocument/2006/customXml" ds:itemID="{77A785E7-61E0-4322-A99E-711AA53F9DE8}">
  <ds:schemaRefs/>
</ds:datastoreItem>
</file>

<file path=customXml/itemProps14.xml><?xml version="1.0" encoding="utf-8"?>
<ds:datastoreItem xmlns:ds="http://schemas.openxmlformats.org/officeDocument/2006/customXml" ds:itemID="{72929165-BC5C-4D57-9674-22FBAF1AA5A0}">
  <ds:schemaRefs/>
</ds:datastoreItem>
</file>

<file path=customXml/itemProps15.xml><?xml version="1.0" encoding="utf-8"?>
<ds:datastoreItem xmlns:ds="http://schemas.openxmlformats.org/officeDocument/2006/customXml" ds:itemID="{54821E18-A634-433C-8E65-FB5A45777975}">
  <ds:schemaRefs/>
</ds:datastoreItem>
</file>

<file path=customXml/itemProps16.xml><?xml version="1.0" encoding="utf-8"?>
<ds:datastoreItem xmlns:ds="http://schemas.openxmlformats.org/officeDocument/2006/customXml" ds:itemID="{89FE0C03-F34C-4E2C-A231-F1D4C06E6C50}">
  <ds:schemaRefs/>
</ds:datastoreItem>
</file>

<file path=customXml/itemProps17.xml><?xml version="1.0" encoding="utf-8"?>
<ds:datastoreItem xmlns:ds="http://schemas.openxmlformats.org/officeDocument/2006/customXml" ds:itemID="{0CC389D8-6B88-4FCF-AE9B-AE8047353798}">
  <ds:schemaRefs/>
</ds:datastoreItem>
</file>

<file path=customXml/itemProps18.xml><?xml version="1.0" encoding="utf-8"?>
<ds:datastoreItem xmlns:ds="http://schemas.openxmlformats.org/officeDocument/2006/customXml" ds:itemID="{9A2D3D3C-3EA3-4125-8333-002CD4D41CE1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titanic</vt:lpstr>
      <vt:lpstr>Descriptive Stats</vt:lpstr>
      <vt:lpstr>XLOOKUP</vt:lpstr>
      <vt:lpstr>PivotChart</vt:lpstr>
      <vt:lpstr>KDE</vt:lpstr>
      <vt:lpstr>PowerPivot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Cliff Whitworth</dc:creator>
  <cp:lastModifiedBy>Cliff Whitworth</cp:lastModifiedBy>
  <dcterms:modified xsi:type="dcterms:W3CDTF">2023-06-25T20:49:17Z</dcterms:modified>
</cp:coreProperties>
</file>