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embeddings/oleObject2.bin" ContentType="application/vnd.openxmlformats-officedocument.oleObject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iff\Documents\1aaaaClasses\DataScience\spring 2022\Week 8\"/>
    </mc:Choice>
  </mc:AlternateContent>
  <xr:revisionPtr revIDLastSave="0" documentId="8_{F55FF709-F712-44A6-AAB0-6901A64F3FE9}" xr6:coauthVersionLast="47" xr6:coauthVersionMax="47" xr10:uidLastSave="{00000000-0000-0000-0000-000000000000}"/>
  <bookViews>
    <workbookView xWindow="-108" yWindow="-108" windowWidth="23256" windowHeight="12576" xr2:uid="{10DBF38E-E6CA-49B2-8040-9A4111D49074}"/>
  </bookViews>
  <sheets>
    <sheet name="One Way" sheetId="1" r:id="rId1"/>
    <sheet name="One Way Summary" sheetId="2" r:id="rId2"/>
    <sheet name="Two Way" sheetId="3" r:id="rId3"/>
    <sheet name="Two Way Summary" sheetId="4" r:id="rId4"/>
    <sheet name="With Replication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U9" i="3" l="1"/>
  <c r="Q13" i="3"/>
  <c r="Q9" i="3"/>
  <c r="I21" i="3"/>
  <c r="H15" i="1"/>
  <c r="E5" i="3"/>
  <c r="E6" i="3"/>
  <c r="E7" i="3"/>
  <c r="K11" i="3" s="1"/>
  <c r="D8" i="3"/>
  <c r="C8" i="3"/>
  <c r="E8" i="3" s="1"/>
  <c r="J14" i="3" s="1"/>
  <c r="J16" i="3" l="1"/>
  <c r="J15" i="3"/>
  <c r="J17" i="3" s="1"/>
  <c r="J11" i="3"/>
  <c r="I16" i="3"/>
  <c r="J8" i="3"/>
  <c r="I11" i="3"/>
  <c r="I14" i="3"/>
  <c r="I8" i="3"/>
  <c r="I15" i="3"/>
  <c r="L11" i="3" l="1"/>
  <c r="M11" i="3" s="1"/>
  <c r="L8" i="3"/>
  <c r="M8" i="3" s="1"/>
  <c r="I17" i="3"/>
  <c r="K17" i="3" s="1"/>
  <c r="T6" i="1" l="1"/>
  <c r="R7" i="1"/>
  <c r="R5" i="1"/>
  <c r="I25" i="1"/>
  <c r="C34" i="1"/>
  <c r="D33" i="1"/>
  <c r="E33" i="1"/>
  <c r="C33" i="1"/>
  <c r="D24" i="1"/>
  <c r="E24" i="1"/>
  <c r="D25" i="1"/>
  <c r="E25" i="1"/>
  <c r="D26" i="1"/>
  <c r="E26" i="1"/>
  <c r="D27" i="1"/>
  <c r="E27" i="1"/>
  <c r="D28" i="1"/>
  <c r="E28" i="1"/>
  <c r="D29" i="1"/>
  <c r="E29" i="1"/>
  <c r="D30" i="1"/>
  <c r="E30" i="1"/>
  <c r="D31" i="1"/>
  <c r="E31" i="1"/>
  <c r="D32" i="1"/>
  <c r="E32" i="1"/>
  <c r="E23" i="1"/>
  <c r="D23" i="1"/>
  <c r="C24" i="1"/>
  <c r="C25" i="1"/>
  <c r="C26" i="1"/>
  <c r="C27" i="1"/>
  <c r="C28" i="1"/>
  <c r="C29" i="1"/>
  <c r="C30" i="1"/>
  <c r="C31" i="1"/>
  <c r="C32" i="1"/>
  <c r="C23" i="1"/>
  <c r="I19" i="1"/>
  <c r="K15" i="1"/>
  <c r="L15" i="1" s="1"/>
  <c r="I15" i="1"/>
  <c r="J15" i="1"/>
  <c r="C16" i="1"/>
  <c r="C15" i="1"/>
  <c r="D15" i="1"/>
  <c r="E15" i="1"/>
</calcChain>
</file>

<file path=xl/sharedStrings.xml><?xml version="1.0" encoding="utf-8"?>
<sst xmlns="http://schemas.openxmlformats.org/spreadsheetml/2006/main" count="105" uniqueCount="72">
  <si>
    <t>Group1</t>
  </si>
  <si>
    <t>Group2</t>
  </si>
  <si>
    <t>Group3</t>
  </si>
  <si>
    <t>Col Means</t>
  </si>
  <si>
    <t>Tot Mean</t>
  </si>
  <si>
    <t>SUM OF SQUARES GROUP</t>
  </si>
  <si>
    <t>SUM</t>
  </si>
  <si>
    <t>* Items in Group</t>
  </si>
  <si>
    <t>Resources:</t>
  </si>
  <si>
    <t>https://www.statology.org/one-way-anova/</t>
  </si>
  <si>
    <t>https://www.itl.nist.gov/div898/handbook/ppc/section2/ppc231.htm</t>
  </si>
  <si>
    <t>https://en.wikipedia.org/wiki/One-way_analysis_of_variance</t>
  </si>
  <si>
    <t>ngroups - 1</t>
  </si>
  <si>
    <t>SUMS OF SQUARES GROUPS/dfgroups (NUMERATOR)</t>
  </si>
  <si>
    <t>SUMS OF SQUARES ERROR/dferror (DENOMINATOR)</t>
  </si>
  <si>
    <t>Col Sums</t>
  </si>
  <si>
    <t>Tot Sum</t>
  </si>
  <si>
    <t>SSG</t>
  </si>
  <si>
    <t>dfgroups</t>
  </si>
  <si>
    <t>SSE</t>
  </si>
  <si>
    <t>dferror</t>
  </si>
  <si>
    <t>DEGREES OF FREEDOM GROUPS</t>
  </si>
  <si>
    <t>DEGREES OF FREEDOM ERROR</t>
  </si>
  <si>
    <t>(nrows - 1) * ngroups</t>
  </si>
  <si>
    <t>9 * 3</t>
  </si>
  <si>
    <t>Anova: Single Factor</t>
  </si>
  <si>
    <t>SUMMARY</t>
  </si>
  <si>
    <t>Groups</t>
  </si>
  <si>
    <t>Count</t>
  </si>
  <si>
    <t>Sum</t>
  </si>
  <si>
    <t>Average</t>
  </si>
  <si>
    <t>Variance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</si>
  <si>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</si>
  <si>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</si>
  <si>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</si>
  <si>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</si>
  <si>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</si>
  <si>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</si>
  <si>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</si>
  <si>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</si>
  <si>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</si>
  <si>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</si>
  <si>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</si>
  <si>
    <t>Block</t>
  </si>
  <si>
    <t>Block1</t>
  </si>
  <si>
    <t>Block2</t>
  </si>
  <si>
    <t>Block3</t>
  </si>
  <si>
    <t>Row Means</t>
  </si>
  <si>
    <t>Mean Total</t>
  </si>
  <si>
    <t>Sum of Errors (SSE) within groups</t>
  </si>
  <si>
    <t>Sum of Groups (SSG) between groups</t>
  </si>
  <si>
    <t>Sum of Blocks (SSB) between blocks</t>
  </si>
  <si>
    <t>SUM OF SQUARES GROUPS</t>
  </si>
  <si>
    <t>SUM OF SQUARE BLOCKS</t>
  </si>
  <si>
    <t>* Items in Block</t>
  </si>
  <si>
    <t>SUM OF SQUARES TOTAL</t>
  </si>
  <si>
    <t>No need to multipy since every item is represented</t>
  </si>
  <si>
    <t>SUM OF SQUARES ERROR</t>
  </si>
  <si>
    <t>SSE = SST - SSG - SSB</t>
  </si>
  <si>
    <t>DFGROUPS</t>
  </si>
  <si>
    <t>DFERRORS</t>
  </si>
  <si>
    <t>(nblocks - 1)(ngroups-1)</t>
  </si>
  <si>
    <t>6/1</t>
  </si>
  <si>
    <t>1/2</t>
  </si>
  <si>
    <t>Anova: Two-Factor Without Replication</t>
  </si>
  <si>
    <t>Rows</t>
  </si>
  <si>
    <t>Columns</t>
  </si>
  <si>
    <t>Error</t>
  </si>
  <si>
    <t>https://www.real-statistics.com/two-way-anova/two-factor-anova-with-replication/</t>
  </si>
  <si>
    <t>https://courses.pieriandata.com/</t>
  </si>
  <si>
    <t>Sum of Squares Errors (SSE) variance within groups</t>
  </si>
  <si>
    <t>Sum of Squares Groups (SSG) variance between groups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</si>
</sst>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1" xfId="0" applyFill="1" applyBorder="1"/>
    <xf numFmtId="0" fontId="0" fillId="2" borderId="0" xfId="0" applyFill="1"/>
    <xf numFmtId="0" fontId="0" fillId="3" borderId="1" xfId="0" applyFill="1" applyBorder="1"/>
    <xf numFmtId="0" fontId="1" fillId="2" borderId="1" xfId="0" applyFont="1" applyFill="1" applyBorder="1"/>
    <xf numFmtId="0" fontId="1" fillId="0" borderId="0" xfId="0" applyFont="1"/>
    <xf numFmtId="0" fontId="0" fillId="0" borderId="0" xfId="0" applyFill="1" applyBorder="1" applyAlignment="1"/>
    <xf numFmtId="0" fontId="0" fillId="0" borderId="2" xfId="0" applyFill="1" applyBorder="1" applyAlignment="1"/>
    <xf numFmtId="0" fontId="2" fillId="0" borderId="3" xfId="0" applyFont="1" applyFill="1" applyBorder="1" applyAlignment="1">
      <alignment horizontal="center"/>
    </xf>
    <xf numFmtId="0" fontId="0" fillId="2" borderId="4" xfId="0" applyFill="1" applyBorder="1"/>
    <xf numFmtId="0" fontId="0" fillId="4" borderId="1" xfId="0" applyFill="1" applyBorder="1"/>
    <xf numFmtId="0" fontId="0" fillId="5" borderId="1" xfId="0" applyFill="1" applyBorder="1"/>
    <xf numFmtId="0" fontId="0" fillId="2" borderId="5" xfId="0" applyFill="1" applyBorder="1"/>
    <xf numFmtId="0" fontId="0" fillId="0" borderId="6" xfId="0" applyBorder="1"/>
    <xf numFmtId="0" fontId="0" fillId="0" borderId="1" xfId="0" applyBorder="1"/>
    <xf numFmtId="16" fontId="0" fillId="0" borderId="0" xfId="0" quotePrefix="1" applyNumberFormat="1"/>
    <xf numFmtId="0" fontId="0" fillId="0" borderId="0" xfId="0" quotePrefix="1"/>
    <xf numFmtId="0" fontId="0" fillId="0" borderId="0" xfId="0" applyAlignment="1">
      <alignment horizontal="right"/>
    </xf>
    <xf numFmtId="0" fontId="0" fillId="0" borderId="0" xfId="0" applyAlignment="1">
      <alignment horizontal="center"/>
    </xf>
  </cellXfs>
  <cellStyles count="1">
    <cellStyle name="Normal" xfId="0" builtinId="0"/>
  </cellStyles>
  <dxfs count="16">
    <dxf>
      <numFmt numFmtId="0" formatCode="General"/>
      <fill>
        <patternFill>
          <fgColor indexed="64"/>
          <bgColor theme="9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right style="thin">
          <color indexed="64"/>
        </right>
        <vertical/>
      </border>
    </dxf>
    <dxf>
      <fill>
        <patternFill patternType="solid">
          <fgColor indexed="64"/>
          <bgColor theme="9" tint="0.59999389629810485"/>
        </patternFill>
      </fill>
      <border diagonalUp="0" diagonalDown="0">
        <left style="thin">
          <color indexed="64"/>
        </left>
        <right/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9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9" tint="0.59999389629810485"/>
        </patternFill>
      </fill>
      <border diagonalUp="0" diagonalDown="0">
        <left/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fill>
        <patternFill patternType="solid">
          <fgColor indexed="64"/>
          <bgColor theme="9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15240</xdr:colOff>
          <xdr:row>3</xdr:row>
          <xdr:rowOff>0</xdr:rowOff>
        </xdr:from>
        <xdr:to>
          <xdr:col>13</xdr:col>
          <xdr:colOff>381000</xdr:colOff>
          <xdr:row>12</xdr:row>
          <xdr:rowOff>30480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</xdr:colOff>
          <xdr:row>10</xdr:row>
          <xdr:rowOff>7620</xdr:rowOff>
        </xdr:from>
        <xdr:to>
          <xdr:col>7</xdr:col>
          <xdr:colOff>0</xdr:colOff>
          <xdr:row>19</xdr:row>
          <xdr:rowOff>38100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7256CE-D026-4AD0-9280-21E3D75AF649}" name="Table1" displayName="Table1" ref="C4:E14" totalsRowShown="0" headerRowDxfId="15" headerRowBorderDxfId="14">
  <autoFilter ref="C4:E14" xr:uid="{787256CE-D026-4AD0-9280-21E3D75AF649}">
    <filterColumn colId="0" hiddenButton="1"/>
    <filterColumn colId="1" hiddenButton="1"/>
    <filterColumn colId="2" hiddenButton="1"/>
  </autoFilter>
  <tableColumns count="3">
    <tableColumn id="1" xr3:uid="{FA691C1B-989A-4100-8F4A-347047E4E422}" name="Group1" dataDxfId="13"/>
    <tableColumn id="2" xr3:uid="{355F547C-D009-4F65-BC3B-3D561B1E9E2B}" name="Group2" dataDxfId="12"/>
    <tableColumn id="3" xr3:uid="{55B82A26-A68A-4391-9363-865709A2030B}" name="Group3" dataDxfId="11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08CE685-E710-45F5-9CD7-75673E9D0FCC}" name="Table2" displayName="Table2" ref="C22:E33" totalsRowCount="1" headerRowDxfId="10" totalsRowDxfId="9" totalsRowBorderDxfId="8">
  <autoFilter ref="C22:E32" xr:uid="{A08CE685-E710-45F5-9CD7-75673E9D0FCC}">
    <filterColumn colId="0" hiddenButton="1"/>
    <filterColumn colId="1" hiddenButton="1"/>
    <filterColumn colId="2" hiddenButton="1"/>
  </autoFilter>
  <tableColumns count="3">
    <tableColumn id="1" xr3:uid="{E1352733-C904-4A19-AF3C-D23F14241AAE}" name="Group1" totalsRowFunction="sum" dataDxfId="7" totalsRowDxfId="6">
      <calculatedColumnFormula>POWER(C5-$C$15, 2)</calculatedColumnFormula>
    </tableColumn>
    <tableColumn id="2" xr3:uid="{ABD7161D-5A3E-4593-9A8E-56745E29A238}" name="Group2" totalsRowFunction="sum" dataDxfId="5" totalsRowDxfId="4">
      <calculatedColumnFormula>POWER(D5-$D$15, 2)</calculatedColumnFormula>
    </tableColumn>
    <tableColumn id="3" xr3:uid="{96821F5D-E7D0-40D4-8444-E28C570D9ACE}" name="Group3" totalsRowFunction="sum" dataDxfId="3" totalsRowDxfId="2">
      <calculatedColumnFormula>POWER(E5-$E$15, 2)</calculatedColumnFormula>
    </tableColumn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3382889-0BEC-4C21-85EF-B7B631FBB335}" name="Table3" displayName="Table3" ref="B4:E8" totalsRowShown="0">
  <autoFilter ref="B4:E8" xr:uid="{93382889-0BEC-4C21-85EF-B7B631FBB335}">
    <filterColumn colId="0" hiddenButton="1"/>
    <filterColumn colId="1" hiddenButton="1"/>
    <filterColumn colId="2" hiddenButton="1"/>
    <filterColumn colId="3" hiddenButton="1"/>
  </autoFilter>
  <tableColumns count="4">
    <tableColumn id="1" xr3:uid="{30186EC2-A44F-4485-90E1-1E83733B69FE}" name="Block" dataDxfId="1"/>
    <tableColumn id="2" xr3:uid="{DC0FF959-369E-4CB2-86E5-69C1C88FDD43}" name="Group1"/>
    <tableColumn id="3" xr3:uid="{4AA51884-CA0D-421D-8E7E-D2746ACC58F9}" name="Group2"/>
    <tableColumn id="4" xr3:uid="{34EBBBE3-DBF2-438C-9F46-B171DE35B5AA}" name="Row Means" dataDxfId="0">
      <calculatedColumnFormula>AVERAGE(Table3[[#This Row],[Group1]:[Group2]])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1.xml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2.bin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5" Type="http://schemas.openxmlformats.org/officeDocument/2006/relationships/table" Target="../tables/table3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19696-84D7-4086-A3E2-4DFE25F5DDD7}">
  <dimension ref="B2:T35"/>
  <sheetViews>
    <sheetView tabSelected="1" workbookViewId="0">
      <selection activeCell="C23" sqref="C23"/>
    </sheetView>
  </sheetViews>
  <sheetFormatPr defaultRowHeight="14.4" x14ac:dyDescent="0.3"/>
  <cols>
    <col min="1" max="1" width="8.88671875" customWidth="1"/>
    <col min="2" max="2" width="11.33203125" customWidth="1"/>
    <col min="3" max="5" width="9.109375" customWidth="1"/>
  </cols>
  <sheetData>
    <row r="2" spans="2:20" x14ac:dyDescent="0.3">
      <c r="C2" s="5" t="s">
        <v>13</v>
      </c>
      <c r="I2" t="s">
        <v>71</v>
      </c>
    </row>
    <row r="3" spans="2:20" x14ac:dyDescent="0.3">
      <c r="I3" t="s">
        <v>70</v>
      </c>
    </row>
    <row r="4" spans="2:20" x14ac:dyDescent="0.3">
      <c r="C4" s="14" t="s">
        <v>0</v>
      </c>
      <c r="D4" s="14" t="s">
        <v>1</v>
      </c>
      <c r="E4" s="14" t="s">
        <v>2</v>
      </c>
      <c r="O4" t="s">
        <v>17</v>
      </c>
      <c r="P4">
        <v>420</v>
      </c>
    </row>
    <row r="5" spans="2:20" x14ac:dyDescent="0.3">
      <c r="C5" s="14">
        <v>37</v>
      </c>
      <c r="D5" s="14">
        <v>62</v>
      </c>
      <c r="E5" s="14">
        <v>50</v>
      </c>
      <c r="O5" t="s">
        <v>18</v>
      </c>
      <c r="P5">
        <v>2</v>
      </c>
      <c r="R5">
        <f>P4/P5</f>
        <v>210</v>
      </c>
    </row>
    <row r="6" spans="2:20" x14ac:dyDescent="0.3">
      <c r="C6" s="14">
        <v>60</v>
      </c>
      <c r="D6" s="14">
        <v>27</v>
      </c>
      <c r="E6" s="14">
        <v>63</v>
      </c>
      <c r="T6">
        <f>R5/R7</f>
        <v>1.718181818181818</v>
      </c>
    </row>
    <row r="7" spans="2:20" x14ac:dyDescent="0.3">
      <c r="C7" s="14">
        <v>52</v>
      </c>
      <c r="D7" s="14">
        <v>69</v>
      </c>
      <c r="E7" s="14">
        <v>58</v>
      </c>
      <c r="O7" t="s">
        <v>19</v>
      </c>
      <c r="P7">
        <v>3300</v>
      </c>
      <c r="R7">
        <f>P7/P8</f>
        <v>122.22222222222223</v>
      </c>
    </row>
    <row r="8" spans="2:20" x14ac:dyDescent="0.3">
      <c r="C8" s="14">
        <v>43</v>
      </c>
      <c r="D8" s="14">
        <v>64</v>
      </c>
      <c r="E8" s="14">
        <v>54</v>
      </c>
      <c r="O8" t="s">
        <v>20</v>
      </c>
      <c r="P8">
        <v>27</v>
      </c>
    </row>
    <row r="9" spans="2:20" x14ac:dyDescent="0.3">
      <c r="C9" s="14">
        <v>40</v>
      </c>
      <c r="D9" s="14">
        <v>43</v>
      </c>
      <c r="E9" s="14">
        <v>49</v>
      </c>
    </row>
    <row r="10" spans="2:20" x14ac:dyDescent="0.3">
      <c r="C10" s="14">
        <v>52</v>
      </c>
      <c r="D10" s="14">
        <v>54</v>
      </c>
      <c r="E10" s="14">
        <v>52</v>
      </c>
    </row>
    <row r="11" spans="2:20" x14ac:dyDescent="0.3">
      <c r="C11" s="14">
        <v>55</v>
      </c>
      <c r="D11" s="14">
        <v>44</v>
      </c>
      <c r="E11" s="14">
        <v>53</v>
      </c>
    </row>
    <row r="12" spans="2:20" x14ac:dyDescent="0.3">
      <c r="C12" s="14">
        <v>39</v>
      </c>
      <c r="D12" s="14">
        <v>31</v>
      </c>
      <c r="E12" s="14">
        <v>43</v>
      </c>
    </row>
    <row r="13" spans="2:20" x14ac:dyDescent="0.3">
      <c r="C13" s="14">
        <v>39</v>
      </c>
      <c r="D13" s="14">
        <v>49</v>
      </c>
      <c r="E13" s="14">
        <v>65</v>
      </c>
    </row>
    <row r="14" spans="2:20" x14ac:dyDescent="0.3">
      <c r="C14" s="14">
        <v>23</v>
      </c>
      <c r="D14" s="14">
        <v>57</v>
      </c>
      <c r="E14" s="14">
        <v>43</v>
      </c>
      <c r="H14" t="s">
        <v>5</v>
      </c>
      <c r="K14" t="s">
        <v>6</v>
      </c>
      <c r="L14" t="s">
        <v>7</v>
      </c>
    </row>
    <row r="15" spans="2:20" x14ac:dyDescent="0.3">
      <c r="B15" s="1" t="s">
        <v>3</v>
      </c>
      <c r="C15" s="1">
        <f t="shared" ref="C15:E15" si="0">AVERAGE(C5:C14)</f>
        <v>44</v>
      </c>
      <c r="D15" s="1">
        <f t="shared" si="0"/>
        <v>50</v>
      </c>
      <c r="E15" s="1">
        <f t="shared" si="0"/>
        <v>53</v>
      </c>
      <c r="H15" s="3">
        <f>POWER(C15-$C$16, 2)</f>
        <v>25</v>
      </c>
      <c r="I15" s="3">
        <f t="shared" ref="I15:J15" si="1">POWER(D15-$C$16, 2)</f>
        <v>1</v>
      </c>
      <c r="J15" s="3">
        <f t="shared" si="1"/>
        <v>16</v>
      </c>
      <c r="K15">
        <f>SUM(H15:J15)</f>
        <v>42</v>
      </c>
      <c r="L15" s="2">
        <f>K15*10</f>
        <v>420</v>
      </c>
    </row>
    <row r="16" spans="2:20" x14ac:dyDescent="0.3">
      <c r="B16" s="1" t="s">
        <v>4</v>
      </c>
      <c r="C16" s="1">
        <f>AVERAGE(C15:E15)</f>
        <v>49</v>
      </c>
    </row>
    <row r="17" spans="3:9" x14ac:dyDescent="0.3">
      <c r="H17" s="5" t="s">
        <v>21</v>
      </c>
    </row>
    <row r="18" spans="3:9" x14ac:dyDescent="0.3">
      <c r="H18" s="17" t="s">
        <v>12</v>
      </c>
      <c r="I18" s="17"/>
    </row>
    <row r="19" spans="3:9" x14ac:dyDescent="0.3">
      <c r="I19" s="2">
        <f xml:space="preserve"> 3 - 1</f>
        <v>2</v>
      </c>
    </row>
    <row r="20" spans="3:9" x14ac:dyDescent="0.3">
      <c r="C20" s="5" t="s">
        <v>14</v>
      </c>
    </row>
    <row r="22" spans="3:9" x14ac:dyDescent="0.3">
      <c r="C22" s="14" t="s">
        <v>0</v>
      </c>
      <c r="D22" s="14" t="s">
        <v>1</v>
      </c>
      <c r="E22" s="14" t="s">
        <v>2</v>
      </c>
      <c r="H22" s="5" t="s">
        <v>22</v>
      </c>
    </row>
    <row r="23" spans="3:9" x14ac:dyDescent="0.3">
      <c r="C23" s="14">
        <f>POWER(C5-$C$15, 2)</f>
        <v>49</v>
      </c>
      <c r="D23" s="14">
        <f>POWER(D5-$D$15, 2)</f>
        <v>144</v>
      </c>
      <c r="E23" s="14">
        <f>POWER(E5-$E$15, 2)</f>
        <v>9</v>
      </c>
      <c r="H23" s="18" t="s">
        <v>23</v>
      </c>
      <c r="I23" s="18"/>
    </row>
    <row r="24" spans="3:9" x14ac:dyDescent="0.3">
      <c r="C24" s="14">
        <f t="shared" ref="C24:C32" si="2">POWER(C6-$C$15, 2)</f>
        <v>256</v>
      </c>
      <c r="D24" s="14">
        <f t="shared" ref="D24:D32" si="3">POWER(D6-$D$15, 2)</f>
        <v>529</v>
      </c>
      <c r="E24" s="14">
        <f t="shared" ref="E24:E32" si="4">POWER(E6-$E$15, 2)</f>
        <v>100</v>
      </c>
      <c r="I24" t="s">
        <v>24</v>
      </c>
    </row>
    <row r="25" spans="3:9" x14ac:dyDescent="0.3">
      <c r="C25" s="14">
        <f t="shared" si="2"/>
        <v>64</v>
      </c>
      <c r="D25" s="14">
        <f t="shared" si="3"/>
        <v>361</v>
      </c>
      <c r="E25" s="14">
        <f t="shared" si="4"/>
        <v>25</v>
      </c>
      <c r="I25" s="2">
        <f>9*3</f>
        <v>27</v>
      </c>
    </row>
    <row r="26" spans="3:9" x14ac:dyDescent="0.3">
      <c r="C26" s="14">
        <f t="shared" si="2"/>
        <v>1</v>
      </c>
      <c r="D26" s="14">
        <f t="shared" si="3"/>
        <v>196</v>
      </c>
      <c r="E26" s="14">
        <f t="shared" si="4"/>
        <v>1</v>
      </c>
    </row>
    <row r="27" spans="3:9" x14ac:dyDescent="0.3">
      <c r="C27" s="14">
        <f t="shared" si="2"/>
        <v>16</v>
      </c>
      <c r="D27" s="14">
        <f t="shared" si="3"/>
        <v>49</v>
      </c>
      <c r="E27" s="14">
        <f t="shared" si="4"/>
        <v>16</v>
      </c>
    </row>
    <row r="28" spans="3:9" x14ac:dyDescent="0.3">
      <c r="C28" s="14">
        <f t="shared" si="2"/>
        <v>64</v>
      </c>
      <c r="D28" s="14">
        <f t="shared" si="3"/>
        <v>16</v>
      </c>
      <c r="E28" s="14">
        <f t="shared" si="4"/>
        <v>1</v>
      </c>
    </row>
    <row r="29" spans="3:9" x14ac:dyDescent="0.3">
      <c r="C29" s="14">
        <f t="shared" si="2"/>
        <v>121</v>
      </c>
      <c r="D29" s="14">
        <f t="shared" si="3"/>
        <v>36</v>
      </c>
      <c r="E29" s="14">
        <f t="shared" si="4"/>
        <v>0</v>
      </c>
    </row>
    <row r="30" spans="3:9" x14ac:dyDescent="0.3">
      <c r="C30" s="14">
        <f t="shared" si="2"/>
        <v>25</v>
      </c>
      <c r="D30" s="14">
        <f t="shared" si="3"/>
        <v>361</v>
      </c>
      <c r="E30" s="14">
        <f t="shared" si="4"/>
        <v>100</v>
      </c>
    </row>
    <row r="31" spans="3:9" x14ac:dyDescent="0.3">
      <c r="C31" s="14">
        <f t="shared" si="2"/>
        <v>25</v>
      </c>
      <c r="D31" s="14">
        <f t="shared" si="3"/>
        <v>1</v>
      </c>
      <c r="E31" s="14">
        <f t="shared" si="4"/>
        <v>144</v>
      </c>
      <c r="H31" t="s">
        <v>8</v>
      </c>
    </row>
    <row r="32" spans="3:9" x14ac:dyDescent="0.3">
      <c r="C32" s="14">
        <f t="shared" si="2"/>
        <v>441</v>
      </c>
      <c r="D32" s="14">
        <f t="shared" si="3"/>
        <v>49</v>
      </c>
      <c r="E32" s="14">
        <f t="shared" si="4"/>
        <v>100</v>
      </c>
      <c r="H32" t="s">
        <v>9</v>
      </c>
    </row>
    <row r="33" spans="2:8" x14ac:dyDescent="0.3">
      <c r="B33" s="1" t="s">
        <v>15</v>
      </c>
      <c r="C33" s="1">
        <f>SUBTOTAL(109,Table2[Group1])</f>
        <v>1062</v>
      </c>
      <c r="D33" s="1">
        <f>SUBTOTAL(109,Table2[Group2])</f>
        <v>1742</v>
      </c>
      <c r="E33" s="1">
        <f>SUBTOTAL(109,Table2[Group3])</f>
        <v>496</v>
      </c>
      <c r="H33" t="s">
        <v>10</v>
      </c>
    </row>
    <row r="34" spans="2:8" x14ac:dyDescent="0.3">
      <c r="B34" s="1" t="s">
        <v>16</v>
      </c>
      <c r="C34" s="4">
        <f>SUM(Table2[#Totals])</f>
        <v>3300</v>
      </c>
      <c r="H34" t="s">
        <v>11</v>
      </c>
    </row>
    <row r="35" spans="2:8" x14ac:dyDescent="0.3">
      <c r="H35" t="s">
        <v>69</v>
      </c>
    </row>
  </sheetData>
  <mergeCells count="2">
    <mergeCell ref="H18:I18"/>
    <mergeCell ref="H23:I23"/>
  </mergeCells>
  <pageMargins left="0.7" right="0.7" top="0.75" bottom="0.75" header="0.3" footer="0.3"/>
  <pageSetup orientation="portrait" verticalDpi="300" r:id="rId1"/>
  <drawing r:id="rId2"/>
  <legacyDrawing r:id="rId3"/>
  <oleObjects>
    <mc:AlternateContent xmlns:mc="http://schemas.openxmlformats.org/markup-compatibility/2006">
      <mc:Choice Requires="x14">
        <oleObject progId="Paint.Picture" shapeId="1025" r:id="rId4">
          <objectPr defaultSize="0" autoPict="0" r:id="rId5">
            <anchor moveWithCells="1">
              <from>
                <xdr:col>7</xdr:col>
                <xdr:colOff>15240</xdr:colOff>
                <xdr:row>3</xdr:row>
                <xdr:rowOff>0</xdr:rowOff>
              </from>
              <to>
                <xdr:col>13</xdr:col>
                <xdr:colOff>381000</xdr:colOff>
                <xdr:row>12</xdr:row>
                <xdr:rowOff>30480</xdr:rowOff>
              </to>
            </anchor>
          </objectPr>
        </oleObject>
      </mc:Choice>
      <mc:Fallback>
        <oleObject progId="Paint.Picture" shapeId="1025" r:id="rId4"/>
      </mc:Fallback>
    </mc:AlternateContent>
  </oleObjects>
  <tableParts count="2"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5C700-9CC5-4016-9893-601A9FAE328C}">
  <dimension ref="A1:G15"/>
  <sheetViews>
    <sheetView workbookViewId="0">
      <selection activeCell="K4" sqref="K4"/>
    </sheetView>
  </sheetViews>
  <sheetFormatPr defaultRowHeight="14.4" x14ac:dyDescent="0.3"/>
  <cols>
    <col min="1" max="1" width="25.21875" customWidth="1"/>
  </cols>
  <sheetData>
    <row r="1" spans="1:7" x14ac:dyDescent="0.3">
      <c r="A1" t="s">
        <v>25</v>
      </c>
    </row>
    <row r="3" spans="1:7" ht="15" thickBot="1" x14ac:dyDescent="0.35">
      <c r="A3" t="s">
        <v>26</v>
      </c>
    </row>
    <row r="4" spans="1:7" x14ac:dyDescent="0.3">
      <c r="A4" s="8" t="s">
        <v>27</v>
      </c>
      <c r="B4" s="8" t="s">
        <v>28</v>
      </c>
      <c r="C4" s="8" t="s">
        <v>29</v>
      </c>
      <c r="D4" s="8" t="s">
        <v>30</v>
      </c>
      <c r="E4" s="8" t="s">
        <v>31</v>
      </c>
    </row>
    <row r="5" spans="1:7" x14ac:dyDescent="0.3">
      <c r="A5" s="6" t="s">
        <v>0</v>
      </c>
      <c r="B5" s="6">
        <v>10</v>
      </c>
      <c r="C5" s="6">
        <v>440</v>
      </c>
      <c r="D5" s="6">
        <v>44</v>
      </c>
      <c r="E5" s="6">
        <v>118</v>
      </c>
    </row>
    <row r="6" spans="1:7" x14ac:dyDescent="0.3">
      <c r="A6" s="6" t="s">
        <v>1</v>
      </c>
      <c r="B6" s="6">
        <v>10</v>
      </c>
      <c r="C6" s="6">
        <v>500</v>
      </c>
      <c r="D6" s="6">
        <v>50</v>
      </c>
      <c r="E6" s="6">
        <v>193.55555555555554</v>
      </c>
    </row>
    <row r="7" spans="1:7" ht="15" thickBot="1" x14ac:dyDescent="0.35">
      <c r="A7" s="7" t="s">
        <v>2</v>
      </c>
      <c r="B7" s="7">
        <v>10</v>
      </c>
      <c r="C7" s="7">
        <v>530</v>
      </c>
      <c r="D7" s="7">
        <v>53</v>
      </c>
      <c r="E7" s="7">
        <v>55.111111111111114</v>
      </c>
    </row>
    <row r="10" spans="1:7" ht="15" thickBot="1" x14ac:dyDescent="0.35">
      <c r="A10" t="s">
        <v>32</v>
      </c>
    </row>
    <row r="11" spans="1:7" x14ac:dyDescent="0.3">
      <c r="A11" s="8" t="s">
        <v>33</v>
      </c>
      <c r="B11" s="8" t="s">
        <v>34</v>
      </c>
      <c r="C11" s="8" t="s">
        <v>35</v>
      </c>
      <c r="D11" s="8" t="s">
        <v>36</v>
      </c>
      <c r="E11" s="8" t="s">
        <v>37</v>
      </c>
      <c r="F11" s="8" t="s">
        <v>38</v>
      </c>
      <c r="G11" s="8" t="s">
        <v>39</v>
      </c>
    </row>
    <row r="12" spans="1:7" x14ac:dyDescent="0.3">
      <c r="A12" s="6" t="s">
        <v>40</v>
      </c>
      <c r="B12" s="6">
        <v>420</v>
      </c>
      <c r="C12" s="6">
        <v>2</v>
      </c>
      <c r="D12" s="6">
        <v>210</v>
      </c>
      <c r="E12" s="6">
        <v>1.718181818181818</v>
      </c>
      <c r="F12" s="6">
        <v>0.19843053346282569</v>
      </c>
      <c r="G12" s="6">
        <v>3.3541308285291991</v>
      </c>
    </row>
    <row r="13" spans="1:7" x14ac:dyDescent="0.3">
      <c r="A13" s="6" t="s">
        <v>41</v>
      </c>
      <c r="B13" s="6">
        <v>3300</v>
      </c>
      <c r="C13" s="6">
        <v>27</v>
      </c>
      <c r="D13" s="6">
        <v>122.22222222222223</v>
      </c>
      <c r="E13" s="6"/>
      <c r="F13" s="6"/>
      <c r="G13" s="6"/>
    </row>
    <row r="14" spans="1:7" x14ac:dyDescent="0.3">
      <c r="A14" s="6"/>
      <c r="B14" s="6"/>
      <c r="C14" s="6"/>
      <c r="D14" s="6"/>
      <c r="E14" s="6"/>
      <c r="F14" s="6"/>
      <c r="G14" s="6"/>
    </row>
    <row r="15" spans="1:7" ht="15" thickBot="1" x14ac:dyDescent="0.35">
      <c r="A15" s="7" t="s">
        <v>42</v>
      </c>
      <c r="B15" s="7">
        <v>3720</v>
      </c>
      <c r="C15" s="7">
        <v>29</v>
      </c>
      <c r="D15" s="7"/>
      <c r="E15" s="7"/>
      <c r="F15" s="7"/>
      <c r="G15" s="7"/>
    </row>
  </sheetData>
  <pageMargins left="0.7" right="0.7" top="0.75" bottom="0.75" header="0.3" footer="0.3"/>
  <pageSetup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B94E4-E800-4FDC-95FC-B9DE7A4876C1}">
  <dimension ref="B2:U21"/>
  <sheetViews>
    <sheetView workbookViewId="0">
      <selection activeCell="N36" sqref="N36"/>
    </sheetView>
  </sheetViews>
  <sheetFormatPr defaultRowHeight="14.4" x14ac:dyDescent="0.3"/>
  <cols>
    <col min="3" max="3" width="10.88671875" customWidth="1"/>
    <col min="4" max="5" width="9.109375" customWidth="1"/>
    <col min="6" max="6" width="12.109375" customWidth="1"/>
  </cols>
  <sheetData>
    <row r="2" spans="2:21" x14ac:dyDescent="0.3">
      <c r="B2" s="5" t="s">
        <v>13</v>
      </c>
      <c r="I2" t="s">
        <v>51</v>
      </c>
    </row>
    <row r="3" spans="2:21" x14ac:dyDescent="0.3">
      <c r="I3" t="s">
        <v>50</v>
      </c>
    </row>
    <row r="4" spans="2:21" x14ac:dyDescent="0.3">
      <c r="B4" s="13" t="s">
        <v>43</v>
      </c>
      <c r="C4" t="s">
        <v>0</v>
      </c>
      <c r="D4" t="s">
        <v>1</v>
      </c>
      <c r="E4" s="10" t="s">
        <v>47</v>
      </c>
      <c r="I4" t="s">
        <v>49</v>
      </c>
    </row>
    <row r="5" spans="2:21" x14ac:dyDescent="0.3">
      <c r="B5" s="13" t="s">
        <v>44</v>
      </c>
      <c r="C5" s="14">
        <v>8</v>
      </c>
      <c r="D5" s="14">
        <v>11</v>
      </c>
      <c r="E5" s="1">
        <f>AVERAGE(Table3[[#This Row],[Group1]:[Group2]])</f>
        <v>9.5</v>
      </c>
    </row>
    <row r="6" spans="2:21" x14ac:dyDescent="0.3">
      <c r="B6" s="13" t="s">
        <v>45</v>
      </c>
      <c r="C6" s="14">
        <v>10</v>
      </c>
      <c r="D6" s="14">
        <v>12</v>
      </c>
      <c r="E6" s="1">
        <f>AVERAGE(Table3[[#This Row],[Group1]:[Group2]])</f>
        <v>11</v>
      </c>
    </row>
    <row r="7" spans="2:21" x14ac:dyDescent="0.3">
      <c r="B7" s="13" t="s">
        <v>46</v>
      </c>
      <c r="C7" s="14">
        <v>12</v>
      </c>
      <c r="D7" s="14">
        <v>13</v>
      </c>
      <c r="E7" s="1">
        <f>AVERAGE(Table3[[#This Row],[Group1]:[Group2]])</f>
        <v>12.5</v>
      </c>
      <c r="I7" s="5" t="s">
        <v>52</v>
      </c>
      <c r="L7" t="s">
        <v>6</v>
      </c>
      <c r="M7" t="s">
        <v>7</v>
      </c>
      <c r="Q7" s="5" t="s">
        <v>59</v>
      </c>
    </row>
    <row r="8" spans="2:21" x14ac:dyDescent="0.3">
      <c r="B8" s="1" t="s">
        <v>3</v>
      </c>
      <c r="C8" s="12">
        <f>SUBTOTAL(101,C5:C7)</f>
        <v>10</v>
      </c>
      <c r="D8" s="9">
        <f>SUBTOTAL(101,D5:D7)</f>
        <v>12</v>
      </c>
      <c r="E8" s="1">
        <f>AVERAGE(Table3[[#This Row],[Group1]:[Group2]])</f>
        <v>11</v>
      </c>
      <c r="I8" s="3">
        <f>POWER(C8 - $E$8, 2)</f>
        <v>1</v>
      </c>
      <c r="J8" s="3">
        <f>POWER(D8 - $E$8, 2)</f>
        <v>1</v>
      </c>
      <c r="K8" s="11"/>
      <c r="L8" s="11">
        <f>SUM(I8:K8)</f>
        <v>2</v>
      </c>
      <c r="M8" s="1">
        <f>L8*3</f>
        <v>6</v>
      </c>
      <c r="Q8" t="s">
        <v>12</v>
      </c>
      <c r="T8" s="15" t="s">
        <v>62</v>
      </c>
    </row>
    <row r="9" spans="2:21" x14ac:dyDescent="0.3">
      <c r="F9" t="s">
        <v>48</v>
      </c>
      <c r="Q9" s="2">
        <f xml:space="preserve"> 2 - 1</f>
        <v>1</v>
      </c>
      <c r="U9">
        <f>(6/1)/(1/2)</f>
        <v>12</v>
      </c>
    </row>
    <row r="10" spans="2:21" x14ac:dyDescent="0.3">
      <c r="I10" s="5" t="s">
        <v>53</v>
      </c>
      <c r="L10" t="s">
        <v>6</v>
      </c>
      <c r="M10" t="s">
        <v>54</v>
      </c>
      <c r="T10" s="16" t="s">
        <v>63</v>
      </c>
    </row>
    <row r="11" spans="2:21" x14ac:dyDescent="0.3">
      <c r="I11" s="3">
        <f>POWER(E5 - $E$8, 2)</f>
        <v>2.25</v>
      </c>
      <c r="J11" s="3">
        <f>POWER(E6 - $E$8, 2)</f>
        <v>0</v>
      </c>
      <c r="K11" s="3">
        <f>POWER(E7 - $E$8, 2)</f>
        <v>2.25</v>
      </c>
      <c r="L11">
        <f>SUM(I11:K11)</f>
        <v>4.5</v>
      </c>
      <c r="M11" s="2">
        <f>L11 * 2</f>
        <v>9</v>
      </c>
      <c r="Q11" s="5" t="s">
        <v>60</v>
      </c>
    </row>
    <row r="12" spans="2:21" x14ac:dyDescent="0.3">
      <c r="Q12" t="s">
        <v>61</v>
      </c>
    </row>
    <row r="13" spans="2:21" x14ac:dyDescent="0.3">
      <c r="I13" s="5" t="s">
        <v>55</v>
      </c>
      <c r="Q13" s="2">
        <f>(3-1)*(2-1)</f>
        <v>2</v>
      </c>
    </row>
    <row r="14" spans="2:21" x14ac:dyDescent="0.3">
      <c r="I14" s="3">
        <f t="shared" ref="I14:J16" si="0">POWER(C5 - $E$8, 2)</f>
        <v>9</v>
      </c>
      <c r="J14" s="3">
        <f t="shared" si="0"/>
        <v>0</v>
      </c>
    </row>
    <row r="15" spans="2:21" x14ac:dyDescent="0.3">
      <c r="I15" s="3">
        <f t="shared" si="0"/>
        <v>1</v>
      </c>
      <c r="J15" s="3">
        <f t="shared" si="0"/>
        <v>1</v>
      </c>
    </row>
    <row r="16" spans="2:21" x14ac:dyDescent="0.3">
      <c r="I16" s="3">
        <f t="shared" si="0"/>
        <v>1</v>
      </c>
      <c r="J16" s="3">
        <f t="shared" si="0"/>
        <v>4</v>
      </c>
    </row>
    <row r="17" spans="9:12" x14ac:dyDescent="0.3">
      <c r="I17">
        <f>SUM(I14:I16)</f>
        <v>11</v>
      </c>
      <c r="J17">
        <f>SUM(J14:J16)</f>
        <v>5</v>
      </c>
      <c r="K17" s="2">
        <f>SUM(I17:J17)</f>
        <v>16</v>
      </c>
      <c r="L17" t="s">
        <v>56</v>
      </c>
    </row>
    <row r="19" spans="9:12" x14ac:dyDescent="0.3">
      <c r="I19" s="5" t="s">
        <v>57</v>
      </c>
    </row>
    <row r="20" spans="9:12" x14ac:dyDescent="0.3">
      <c r="I20" t="s">
        <v>58</v>
      </c>
    </row>
    <row r="21" spans="9:12" x14ac:dyDescent="0.3">
      <c r="I21" s="2">
        <f xml:space="preserve"> 16 - 6 - 9</f>
        <v>1</v>
      </c>
    </row>
  </sheetData>
  <phoneticPr fontId="3" type="noConversion"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Paint.Picture" shapeId="2049" r:id="rId3">
          <objectPr defaultSize="0" autoPict="0" r:id="rId4">
            <anchor moveWithCells="1">
              <from>
                <xdr:col>1</xdr:col>
                <xdr:colOff>22860</xdr:colOff>
                <xdr:row>10</xdr:row>
                <xdr:rowOff>7620</xdr:rowOff>
              </from>
              <to>
                <xdr:col>7</xdr:col>
                <xdr:colOff>0</xdr:colOff>
                <xdr:row>19</xdr:row>
                <xdr:rowOff>38100</xdr:rowOff>
              </to>
            </anchor>
          </objectPr>
        </oleObject>
      </mc:Choice>
      <mc:Fallback>
        <oleObject progId="Paint.Picture" shapeId="2049" r:id="rId3"/>
      </mc:Fallback>
    </mc:AlternateContent>
  </oleObjects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D3D2C-3DFB-4663-AF44-D2A6FE3C886C}">
  <dimension ref="A1:G18"/>
  <sheetViews>
    <sheetView workbookViewId="0">
      <selection activeCell="H24" sqref="H24"/>
    </sheetView>
  </sheetViews>
  <sheetFormatPr defaultRowHeight="14.4" x14ac:dyDescent="0.3"/>
  <sheetData>
    <row r="1" spans="1:7" x14ac:dyDescent="0.3">
      <c r="A1" t="s">
        <v>64</v>
      </c>
    </row>
    <row r="2" spans="1:7" ht="15" thickBot="1" x14ac:dyDescent="0.35"/>
    <row r="3" spans="1:7" x14ac:dyDescent="0.3">
      <c r="A3" s="8" t="s">
        <v>26</v>
      </c>
      <c r="B3" s="8" t="s">
        <v>28</v>
      </c>
      <c r="C3" s="8" t="s">
        <v>29</v>
      </c>
      <c r="D3" s="8" t="s">
        <v>30</v>
      </c>
      <c r="E3" s="8" t="s">
        <v>31</v>
      </c>
    </row>
    <row r="4" spans="1:7" x14ac:dyDescent="0.3">
      <c r="A4" s="6" t="s">
        <v>44</v>
      </c>
      <c r="B4" s="6">
        <v>2</v>
      </c>
      <c r="C4" s="6">
        <v>19</v>
      </c>
      <c r="D4" s="6">
        <v>9.5</v>
      </c>
      <c r="E4" s="6">
        <v>4.5</v>
      </c>
    </row>
    <row r="5" spans="1:7" x14ac:dyDescent="0.3">
      <c r="A5" s="6" t="s">
        <v>45</v>
      </c>
      <c r="B5" s="6">
        <v>2</v>
      </c>
      <c r="C5" s="6">
        <v>22</v>
      </c>
      <c r="D5" s="6">
        <v>11</v>
      </c>
      <c r="E5" s="6">
        <v>2</v>
      </c>
    </row>
    <row r="6" spans="1:7" x14ac:dyDescent="0.3">
      <c r="A6" s="6" t="s">
        <v>46</v>
      </c>
      <c r="B6" s="6">
        <v>2</v>
      </c>
      <c r="C6" s="6">
        <v>25</v>
      </c>
      <c r="D6" s="6">
        <v>12.5</v>
      </c>
      <c r="E6" s="6">
        <v>0.5</v>
      </c>
    </row>
    <row r="7" spans="1:7" x14ac:dyDescent="0.3">
      <c r="A7" s="6"/>
      <c r="B7" s="6"/>
      <c r="C7" s="6"/>
      <c r="D7" s="6"/>
      <c r="E7" s="6"/>
    </row>
    <row r="8" spans="1:7" x14ac:dyDescent="0.3">
      <c r="A8" s="6" t="s">
        <v>0</v>
      </c>
      <c r="B8" s="6">
        <v>3</v>
      </c>
      <c r="C8" s="6">
        <v>30</v>
      </c>
      <c r="D8" s="6">
        <v>10</v>
      </c>
      <c r="E8" s="6">
        <v>4</v>
      </c>
    </row>
    <row r="9" spans="1:7" ht="15" thickBot="1" x14ac:dyDescent="0.35">
      <c r="A9" s="7" t="s">
        <v>1</v>
      </c>
      <c r="B9" s="7">
        <v>3</v>
      </c>
      <c r="C9" s="7">
        <v>36</v>
      </c>
      <c r="D9" s="7">
        <v>12</v>
      </c>
      <c r="E9" s="7">
        <v>1</v>
      </c>
    </row>
    <row r="12" spans="1:7" ht="15" thickBot="1" x14ac:dyDescent="0.35">
      <c r="A12" t="s">
        <v>32</v>
      </c>
    </row>
    <row r="13" spans="1:7" x14ac:dyDescent="0.3">
      <c r="A13" s="8" t="s">
        <v>33</v>
      </c>
      <c r="B13" s="8" t="s">
        <v>34</v>
      </c>
      <c r="C13" s="8" t="s">
        <v>35</v>
      </c>
      <c r="D13" s="8" t="s">
        <v>36</v>
      </c>
      <c r="E13" s="8" t="s">
        <v>37</v>
      </c>
      <c r="F13" s="8" t="s">
        <v>38</v>
      </c>
      <c r="G13" s="8" t="s">
        <v>39</v>
      </c>
    </row>
    <row r="14" spans="1:7" x14ac:dyDescent="0.3">
      <c r="A14" s="6" t="s">
        <v>65</v>
      </c>
      <c r="B14" s="6">
        <v>9</v>
      </c>
      <c r="C14" s="6">
        <v>2</v>
      </c>
      <c r="D14" s="6">
        <v>4.5</v>
      </c>
      <c r="E14" s="6">
        <v>9</v>
      </c>
      <c r="F14" s="6">
        <v>0.10000000000000002</v>
      </c>
      <c r="G14" s="6">
        <v>18.999999999999996</v>
      </c>
    </row>
    <row r="15" spans="1:7" x14ac:dyDescent="0.3">
      <c r="A15" s="6" t="s">
        <v>66</v>
      </c>
      <c r="B15" s="6">
        <v>6</v>
      </c>
      <c r="C15" s="6">
        <v>1</v>
      </c>
      <c r="D15" s="6">
        <v>6</v>
      </c>
      <c r="E15" s="6">
        <v>12</v>
      </c>
      <c r="F15" s="6">
        <v>7.417990022744847E-2</v>
      </c>
      <c r="G15" s="6">
        <v>18.512820512820511</v>
      </c>
    </row>
    <row r="16" spans="1:7" x14ac:dyDescent="0.3">
      <c r="A16" s="6" t="s">
        <v>67</v>
      </c>
      <c r="B16" s="6">
        <v>1</v>
      </c>
      <c r="C16" s="6">
        <v>2</v>
      </c>
      <c r="D16" s="6">
        <v>0.5</v>
      </c>
      <c r="E16" s="6"/>
      <c r="F16" s="6"/>
      <c r="G16" s="6"/>
    </row>
    <row r="17" spans="1:7" x14ac:dyDescent="0.3">
      <c r="A17" s="6"/>
      <c r="B17" s="6"/>
      <c r="C17" s="6"/>
      <c r="D17" s="6"/>
      <c r="E17" s="6"/>
      <c r="F17" s="6"/>
      <c r="G17" s="6"/>
    </row>
    <row r="18" spans="1:7" ht="15" thickBot="1" x14ac:dyDescent="0.35">
      <c r="A18" s="7" t="s">
        <v>42</v>
      </c>
      <c r="B18" s="7">
        <v>16</v>
      </c>
      <c r="C18" s="7">
        <v>5</v>
      </c>
      <c r="D18" s="7"/>
      <c r="E18" s="7"/>
      <c r="F18" s="7"/>
      <c r="G18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E813E-45FF-4D24-A093-D1CA47BA60D0}">
  <dimension ref="A1"/>
  <sheetViews>
    <sheetView workbookViewId="0">
      <selection activeCell="D5" sqref="D5"/>
    </sheetView>
  </sheetViews>
  <sheetFormatPr defaultRowHeight="14.4" x14ac:dyDescent="0.3"/>
  <sheetData>
    <row r="1" spans="1:1" x14ac:dyDescent="0.3">
      <c r="A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One Way</vt:lpstr>
      <vt:lpstr>One Way Summary</vt:lpstr>
      <vt:lpstr>Two Way</vt:lpstr>
      <vt:lpstr>Two Way Summary</vt:lpstr>
      <vt:lpstr>With Replication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Cliff Whitworth</dc:creator>
  <cp:lastModifiedBy>Cliff Whitworth</cp:lastModifiedBy>
  <dcterms:created xsi:type="dcterms:W3CDTF">2022-03-08T14:15:32Z</dcterms:created>
  <dcterms:modified xsi:type="dcterms:W3CDTF">2022-03-10T13:17:47Z</dcterms:modified>
</cp:coreProperties>
</file>